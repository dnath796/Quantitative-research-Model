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rry\iCloudDrive\Documents\School\BC\BC Semester 2\MFIN8852 - Financial Econometrics\Final Project\myWork\"/>
    </mc:Choice>
  </mc:AlternateContent>
  <xr:revisionPtr revIDLastSave="0" documentId="13_ncr:1_{945DA5D6-B33A-4135-8EF7-1F93C292DBF9}" xr6:coauthVersionLast="47" xr6:coauthVersionMax="47" xr10:uidLastSave="{00000000-0000-0000-0000-000000000000}"/>
  <bookViews>
    <workbookView xWindow="-38520" yWindow="-120" windowWidth="38640" windowHeight="21120" activeTab="1" xr2:uid="{00000000-000D-0000-FFFF-FFFF00000000}"/>
  </bookViews>
  <sheets>
    <sheet name="Drivers" sheetId="1" r:id="rId1"/>
    <sheet name="Combined Monthly" sheetId="3" r:id="rId2"/>
    <sheet name="New Monthl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" i="3" l="1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5" i="3"/>
  <c r="BR436" i="3"/>
  <c r="BJ436" i="3"/>
  <c r="BF436" i="3"/>
  <c r="AX436" i="3"/>
  <c r="AQ436" i="3"/>
  <c r="AI436" i="3"/>
  <c r="AD436" i="3"/>
  <c r="Y436" i="3"/>
  <c r="T436" i="3"/>
  <c r="O436" i="3"/>
  <c r="J436" i="3"/>
  <c r="E436" i="3"/>
  <c r="BR435" i="3"/>
  <c r="BJ435" i="3"/>
  <c r="BF435" i="3"/>
  <c r="AX435" i="3"/>
  <c r="AQ435" i="3"/>
  <c r="AI435" i="3"/>
  <c r="AD435" i="3"/>
  <c r="Y435" i="3"/>
  <c r="T435" i="3"/>
  <c r="O435" i="3"/>
  <c r="J435" i="3"/>
  <c r="E435" i="3"/>
  <c r="BR434" i="3"/>
  <c r="BJ434" i="3"/>
  <c r="BF434" i="3"/>
  <c r="AX434" i="3"/>
  <c r="AQ434" i="3"/>
  <c r="AI434" i="3"/>
  <c r="AD434" i="3"/>
  <c r="Y434" i="3"/>
  <c r="T434" i="3"/>
  <c r="O434" i="3"/>
  <c r="J434" i="3"/>
  <c r="E434" i="3"/>
  <c r="BR433" i="3"/>
  <c r="BJ433" i="3"/>
  <c r="BF433" i="3"/>
  <c r="AX433" i="3"/>
  <c r="AQ433" i="3"/>
  <c r="AI433" i="3"/>
  <c r="AD433" i="3"/>
  <c r="Y433" i="3"/>
  <c r="T433" i="3"/>
  <c r="O433" i="3"/>
  <c r="J433" i="3"/>
  <c r="E433" i="3"/>
  <c r="BR432" i="3"/>
  <c r="BJ432" i="3"/>
  <c r="BF432" i="3"/>
  <c r="AX432" i="3"/>
  <c r="AQ432" i="3"/>
  <c r="AI432" i="3"/>
  <c r="AD432" i="3"/>
  <c r="Y432" i="3"/>
  <c r="T432" i="3"/>
  <c r="O432" i="3"/>
  <c r="J432" i="3"/>
  <c r="E432" i="3"/>
  <c r="BR431" i="3"/>
  <c r="BJ431" i="3"/>
  <c r="BF431" i="3"/>
  <c r="AX431" i="3"/>
  <c r="AQ431" i="3"/>
  <c r="AI431" i="3"/>
  <c r="AD431" i="3"/>
  <c r="Y431" i="3"/>
  <c r="T431" i="3"/>
  <c r="O431" i="3"/>
  <c r="J431" i="3"/>
  <c r="E431" i="3"/>
  <c r="BR430" i="3"/>
  <c r="BJ430" i="3"/>
  <c r="BF430" i="3"/>
  <c r="AX430" i="3"/>
  <c r="AQ430" i="3"/>
  <c r="AI430" i="3"/>
  <c r="AD430" i="3"/>
  <c r="Y430" i="3"/>
  <c r="T430" i="3"/>
  <c r="O430" i="3"/>
  <c r="J430" i="3"/>
  <c r="E430" i="3"/>
  <c r="BR429" i="3"/>
  <c r="BJ429" i="3"/>
  <c r="BF429" i="3"/>
  <c r="AX429" i="3"/>
  <c r="AQ429" i="3"/>
  <c r="AI429" i="3"/>
  <c r="AD429" i="3"/>
  <c r="Y429" i="3"/>
  <c r="T429" i="3"/>
  <c r="O429" i="3"/>
  <c r="J429" i="3"/>
  <c r="E429" i="3"/>
  <c r="BR428" i="3"/>
  <c r="BJ428" i="3"/>
  <c r="BF428" i="3"/>
  <c r="AX428" i="3"/>
  <c r="AQ428" i="3"/>
  <c r="AI428" i="3"/>
  <c r="AD428" i="3"/>
  <c r="Y428" i="3"/>
  <c r="T428" i="3"/>
  <c r="O428" i="3"/>
  <c r="J428" i="3"/>
  <c r="E428" i="3"/>
  <c r="BR427" i="3"/>
  <c r="BJ427" i="3"/>
  <c r="BF427" i="3"/>
  <c r="AX427" i="3"/>
  <c r="AQ427" i="3"/>
  <c r="AI427" i="3"/>
  <c r="AD427" i="3"/>
  <c r="Y427" i="3"/>
  <c r="T427" i="3"/>
  <c r="O427" i="3"/>
  <c r="J427" i="3"/>
  <c r="E427" i="3"/>
  <c r="BR426" i="3"/>
  <c r="BJ426" i="3"/>
  <c r="BF426" i="3"/>
  <c r="AX426" i="3"/>
  <c r="AQ426" i="3"/>
  <c r="AI426" i="3"/>
  <c r="AD426" i="3"/>
  <c r="Y426" i="3"/>
  <c r="T426" i="3"/>
  <c r="O426" i="3"/>
  <c r="J426" i="3"/>
  <c r="E426" i="3"/>
  <c r="BR425" i="3"/>
  <c r="BJ425" i="3"/>
  <c r="BF425" i="3"/>
  <c r="AX425" i="3"/>
  <c r="AQ425" i="3"/>
  <c r="AI425" i="3"/>
  <c r="AD425" i="3"/>
  <c r="Y425" i="3"/>
  <c r="T425" i="3"/>
  <c r="O425" i="3"/>
  <c r="J425" i="3"/>
  <c r="E425" i="3"/>
  <c r="BR424" i="3"/>
  <c r="BJ424" i="3"/>
  <c r="BF424" i="3"/>
  <c r="AX424" i="3"/>
  <c r="AQ424" i="3"/>
  <c r="AI424" i="3"/>
  <c r="AD424" i="3"/>
  <c r="Y424" i="3"/>
  <c r="T424" i="3"/>
  <c r="O424" i="3"/>
  <c r="J424" i="3"/>
  <c r="E424" i="3"/>
  <c r="BR423" i="3"/>
  <c r="BJ423" i="3"/>
  <c r="BF423" i="3"/>
  <c r="AX423" i="3"/>
  <c r="AQ423" i="3"/>
  <c r="AI423" i="3"/>
  <c r="AD423" i="3"/>
  <c r="Y423" i="3"/>
  <c r="T423" i="3"/>
  <c r="O423" i="3"/>
  <c r="J423" i="3"/>
  <c r="E423" i="3"/>
  <c r="BR422" i="3"/>
  <c r="BJ422" i="3"/>
  <c r="BF422" i="3"/>
  <c r="AX422" i="3"/>
  <c r="AQ422" i="3"/>
  <c r="AI422" i="3"/>
  <c r="AD422" i="3"/>
  <c r="Y422" i="3"/>
  <c r="T422" i="3"/>
  <c r="O422" i="3"/>
  <c r="J422" i="3"/>
  <c r="E422" i="3"/>
  <c r="BR421" i="3"/>
  <c r="BJ421" i="3"/>
  <c r="BF421" i="3"/>
  <c r="AX421" i="3"/>
  <c r="AQ421" i="3"/>
  <c r="AI421" i="3"/>
  <c r="AD421" i="3"/>
  <c r="Y421" i="3"/>
  <c r="T421" i="3"/>
  <c r="O421" i="3"/>
  <c r="J421" i="3"/>
  <c r="E421" i="3"/>
  <c r="BR420" i="3"/>
  <c r="BJ420" i="3"/>
  <c r="BF420" i="3"/>
  <c r="AX420" i="3"/>
  <c r="AQ420" i="3"/>
  <c r="AI420" i="3"/>
  <c r="AD420" i="3"/>
  <c r="Y420" i="3"/>
  <c r="T420" i="3"/>
  <c r="O420" i="3"/>
  <c r="J420" i="3"/>
  <c r="E420" i="3"/>
  <c r="BR419" i="3"/>
  <c r="BJ419" i="3"/>
  <c r="BF419" i="3"/>
  <c r="AX419" i="3"/>
  <c r="AQ419" i="3"/>
  <c r="AI419" i="3"/>
  <c r="AD419" i="3"/>
  <c r="Y419" i="3"/>
  <c r="T419" i="3"/>
  <c r="O419" i="3"/>
  <c r="J419" i="3"/>
  <c r="E419" i="3"/>
  <c r="BR418" i="3"/>
  <c r="BJ418" i="3"/>
  <c r="BF418" i="3"/>
  <c r="AX418" i="3"/>
  <c r="AQ418" i="3"/>
  <c r="AI418" i="3"/>
  <c r="AD418" i="3"/>
  <c r="Y418" i="3"/>
  <c r="T418" i="3"/>
  <c r="O418" i="3"/>
  <c r="J418" i="3"/>
  <c r="E418" i="3"/>
  <c r="BR417" i="3"/>
  <c r="BJ417" i="3"/>
  <c r="BF417" i="3"/>
  <c r="AX417" i="3"/>
  <c r="AQ417" i="3"/>
  <c r="AI417" i="3"/>
  <c r="AD417" i="3"/>
  <c r="Y417" i="3"/>
  <c r="T417" i="3"/>
  <c r="O417" i="3"/>
  <c r="J417" i="3"/>
  <c r="E417" i="3"/>
  <c r="BR416" i="3"/>
  <c r="BJ416" i="3"/>
  <c r="BF416" i="3"/>
  <c r="AX416" i="3"/>
  <c r="AQ416" i="3"/>
  <c r="AI416" i="3"/>
  <c r="AD416" i="3"/>
  <c r="Y416" i="3"/>
  <c r="T416" i="3"/>
  <c r="O416" i="3"/>
  <c r="J416" i="3"/>
  <c r="E416" i="3"/>
  <c r="BR415" i="3"/>
  <c r="BJ415" i="3"/>
  <c r="BF415" i="3"/>
  <c r="AX415" i="3"/>
  <c r="AQ415" i="3"/>
  <c r="AI415" i="3"/>
  <c r="AD415" i="3"/>
  <c r="Y415" i="3"/>
  <c r="T415" i="3"/>
  <c r="O415" i="3"/>
  <c r="J415" i="3"/>
  <c r="E415" i="3"/>
  <c r="BR414" i="3"/>
  <c r="BJ414" i="3"/>
  <c r="BF414" i="3"/>
  <c r="AX414" i="3"/>
  <c r="AQ414" i="3"/>
  <c r="AI414" i="3"/>
  <c r="AD414" i="3"/>
  <c r="Y414" i="3"/>
  <c r="T414" i="3"/>
  <c r="O414" i="3"/>
  <c r="J414" i="3"/>
  <c r="E414" i="3"/>
  <c r="BR413" i="3"/>
  <c r="BJ413" i="3"/>
  <c r="BF413" i="3"/>
  <c r="AX413" i="3"/>
  <c r="AQ413" i="3"/>
  <c r="AI413" i="3"/>
  <c r="AD413" i="3"/>
  <c r="Y413" i="3"/>
  <c r="T413" i="3"/>
  <c r="O413" i="3"/>
  <c r="J413" i="3"/>
  <c r="E413" i="3"/>
  <c r="BR412" i="3"/>
  <c r="BJ412" i="3"/>
  <c r="BF412" i="3"/>
  <c r="AX412" i="3"/>
  <c r="AQ412" i="3"/>
  <c r="AI412" i="3"/>
  <c r="AD412" i="3"/>
  <c r="Y412" i="3"/>
  <c r="T412" i="3"/>
  <c r="O412" i="3"/>
  <c r="J412" i="3"/>
  <c r="E412" i="3"/>
  <c r="BR411" i="3"/>
  <c r="BJ411" i="3"/>
  <c r="BF411" i="3"/>
  <c r="AX411" i="3"/>
  <c r="AQ411" i="3"/>
  <c r="AI411" i="3"/>
  <c r="AD411" i="3"/>
  <c r="Y411" i="3"/>
  <c r="T411" i="3"/>
  <c r="O411" i="3"/>
  <c r="J411" i="3"/>
  <c r="E411" i="3"/>
  <c r="BR410" i="3"/>
  <c r="BJ410" i="3"/>
  <c r="BF410" i="3"/>
  <c r="AX410" i="3"/>
  <c r="AQ410" i="3"/>
  <c r="AI410" i="3"/>
  <c r="AD410" i="3"/>
  <c r="Y410" i="3"/>
  <c r="T410" i="3"/>
  <c r="O410" i="3"/>
  <c r="J410" i="3"/>
  <c r="E410" i="3"/>
  <c r="BR409" i="3"/>
  <c r="BJ409" i="3"/>
  <c r="BF409" i="3"/>
  <c r="AX409" i="3"/>
  <c r="AQ409" i="3"/>
  <c r="AI409" i="3"/>
  <c r="AD409" i="3"/>
  <c r="Y409" i="3"/>
  <c r="T409" i="3"/>
  <c r="O409" i="3"/>
  <c r="J409" i="3"/>
  <c r="E409" i="3"/>
  <c r="BR408" i="3"/>
  <c r="BJ408" i="3"/>
  <c r="BF408" i="3"/>
  <c r="AX408" i="3"/>
  <c r="AQ408" i="3"/>
  <c r="AI408" i="3"/>
  <c r="AD408" i="3"/>
  <c r="Y408" i="3"/>
  <c r="T408" i="3"/>
  <c r="O408" i="3"/>
  <c r="J408" i="3"/>
  <c r="E408" i="3"/>
  <c r="BR407" i="3"/>
  <c r="BJ407" i="3"/>
  <c r="BF407" i="3"/>
  <c r="AX407" i="3"/>
  <c r="AQ407" i="3"/>
  <c r="AI407" i="3"/>
  <c r="AD407" i="3"/>
  <c r="Y407" i="3"/>
  <c r="T407" i="3"/>
  <c r="O407" i="3"/>
  <c r="J407" i="3"/>
  <c r="E407" i="3"/>
  <c r="BR406" i="3"/>
  <c r="BJ406" i="3"/>
  <c r="BF406" i="3"/>
  <c r="AX406" i="3"/>
  <c r="AQ406" i="3"/>
  <c r="AI406" i="3"/>
  <c r="AD406" i="3"/>
  <c r="Y406" i="3"/>
  <c r="T406" i="3"/>
  <c r="O406" i="3"/>
  <c r="J406" i="3"/>
  <c r="E406" i="3"/>
  <c r="BR405" i="3"/>
  <c r="BJ405" i="3"/>
  <c r="BF405" i="3"/>
  <c r="AX405" i="3"/>
  <c r="AQ405" i="3"/>
  <c r="AI405" i="3"/>
  <c r="AD405" i="3"/>
  <c r="Y405" i="3"/>
  <c r="T405" i="3"/>
  <c r="O405" i="3"/>
  <c r="J405" i="3"/>
  <c r="E405" i="3"/>
  <c r="BR404" i="3"/>
  <c r="BJ404" i="3"/>
  <c r="BF404" i="3"/>
  <c r="AX404" i="3"/>
  <c r="AQ404" i="3"/>
  <c r="AI404" i="3"/>
  <c r="AD404" i="3"/>
  <c r="Y404" i="3"/>
  <c r="T404" i="3"/>
  <c r="O404" i="3"/>
  <c r="J404" i="3"/>
  <c r="E404" i="3"/>
  <c r="BR403" i="3"/>
  <c r="BJ403" i="3"/>
  <c r="BF403" i="3"/>
  <c r="AX403" i="3"/>
  <c r="AQ403" i="3"/>
  <c r="AI403" i="3"/>
  <c r="AD403" i="3"/>
  <c r="Y403" i="3"/>
  <c r="T403" i="3"/>
  <c r="O403" i="3"/>
  <c r="J403" i="3"/>
  <c r="E403" i="3"/>
  <c r="BR402" i="3"/>
  <c r="BJ402" i="3"/>
  <c r="BF402" i="3"/>
  <c r="AX402" i="3"/>
  <c r="AQ402" i="3"/>
  <c r="AI402" i="3"/>
  <c r="AD402" i="3"/>
  <c r="Y402" i="3"/>
  <c r="T402" i="3"/>
  <c r="O402" i="3"/>
  <c r="J402" i="3"/>
  <c r="E402" i="3"/>
  <c r="BR401" i="3"/>
  <c r="BJ401" i="3"/>
  <c r="BF401" i="3"/>
  <c r="AX401" i="3"/>
  <c r="AQ401" i="3"/>
  <c r="AI401" i="3"/>
  <c r="AD401" i="3"/>
  <c r="Y401" i="3"/>
  <c r="T401" i="3"/>
  <c r="O401" i="3"/>
  <c r="J401" i="3"/>
  <c r="E401" i="3"/>
  <c r="BR400" i="3"/>
  <c r="BJ400" i="3"/>
  <c r="BF400" i="3"/>
  <c r="AX400" i="3"/>
  <c r="AQ400" i="3"/>
  <c r="AI400" i="3"/>
  <c r="AD400" i="3"/>
  <c r="Y400" i="3"/>
  <c r="T400" i="3"/>
  <c r="O400" i="3"/>
  <c r="J400" i="3"/>
  <c r="E400" i="3"/>
  <c r="BR399" i="3"/>
  <c r="BJ399" i="3"/>
  <c r="BF399" i="3"/>
  <c r="AX399" i="3"/>
  <c r="AQ399" i="3"/>
  <c r="AI399" i="3"/>
  <c r="AD399" i="3"/>
  <c r="Y399" i="3"/>
  <c r="T399" i="3"/>
  <c r="O399" i="3"/>
  <c r="J399" i="3"/>
  <c r="E399" i="3"/>
  <c r="BR398" i="3"/>
  <c r="BJ398" i="3"/>
  <c r="BF398" i="3"/>
  <c r="AX398" i="3"/>
  <c r="AQ398" i="3"/>
  <c r="AI398" i="3"/>
  <c r="AD398" i="3"/>
  <c r="Y398" i="3"/>
  <c r="T398" i="3"/>
  <c r="O398" i="3"/>
  <c r="J398" i="3"/>
  <c r="E398" i="3"/>
  <c r="BR397" i="3"/>
  <c r="BJ397" i="3"/>
  <c r="BF397" i="3"/>
  <c r="AX397" i="3"/>
  <c r="AQ397" i="3"/>
  <c r="AI397" i="3"/>
  <c r="AD397" i="3"/>
  <c r="Y397" i="3"/>
  <c r="T397" i="3"/>
  <c r="O397" i="3"/>
  <c r="J397" i="3"/>
  <c r="E397" i="3"/>
  <c r="BR396" i="3"/>
  <c r="BJ396" i="3"/>
  <c r="BF396" i="3"/>
  <c r="AX396" i="3"/>
  <c r="AQ396" i="3"/>
  <c r="AI396" i="3"/>
  <c r="AD396" i="3"/>
  <c r="Y396" i="3"/>
  <c r="T396" i="3"/>
  <c r="O396" i="3"/>
  <c r="J396" i="3"/>
  <c r="E396" i="3"/>
  <c r="BR395" i="3"/>
  <c r="BJ395" i="3"/>
  <c r="BF395" i="3"/>
  <c r="AX395" i="3"/>
  <c r="AQ395" i="3"/>
  <c r="AI395" i="3"/>
  <c r="AD395" i="3"/>
  <c r="Y395" i="3"/>
  <c r="T395" i="3"/>
  <c r="O395" i="3"/>
  <c r="J395" i="3"/>
  <c r="E395" i="3"/>
  <c r="BR394" i="3"/>
  <c r="BJ394" i="3"/>
  <c r="BF394" i="3"/>
  <c r="AX394" i="3"/>
  <c r="AQ394" i="3"/>
  <c r="AI394" i="3"/>
  <c r="AD394" i="3"/>
  <c r="Y394" i="3"/>
  <c r="T394" i="3"/>
  <c r="O394" i="3"/>
  <c r="J394" i="3"/>
  <c r="E394" i="3"/>
  <c r="BR393" i="3"/>
  <c r="BJ393" i="3"/>
  <c r="BF393" i="3"/>
  <c r="AX393" i="3"/>
  <c r="AQ393" i="3"/>
  <c r="AI393" i="3"/>
  <c r="AD393" i="3"/>
  <c r="Y393" i="3"/>
  <c r="T393" i="3"/>
  <c r="O393" i="3"/>
  <c r="J393" i="3"/>
  <c r="E393" i="3"/>
  <c r="BR392" i="3"/>
  <c r="BJ392" i="3"/>
  <c r="BF392" i="3"/>
  <c r="AX392" i="3"/>
  <c r="AQ392" i="3"/>
  <c r="AI392" i="3"/>
  <c r="AD392" i="3"/>
  <c r="Y392" i="3"/>
  <c r="T392" i="3"/>
  <c r="O392" i="3"/>
  <c r="J392" i="3"/>
  <c r="E392" i="3"/>
  <c r="BR391" i="3"/>
  <c r="BJ391" i="3"/>
  <c r="BF391" i="3"/>
  <c r="AX391" i="3"/>
  <c r="AQ391" i="3"/>
  <c r="AI391" i="3"/>
  <c r="AD391" i="3"/>
  <c r="Y391" i="3"/>
  <c r="T391" i="3"/>
  <c r="O391" i="3"/>
  <c r="J391" i="3"/>
  <c r="E391" i="3"/>
  <c r="BR390" i="3"/>
  <c r="BJ390" i="3"/>
  <c r="BF390" i="3"/>
  <c r="AX390" i="3"/>
  <c r="AQ390" i="3"/>
  <c r="AI390" i="3"/>
  <c r="AD390" i="3"/>
  <c r="Y390" i="3"/>
  <c r="T390" i="3"/>
  <c r="O390" i="3"/>
  <c r="J390" i="3"/>
  <c r="E390" i="3"/>
  <c r="BR389" i="3"/>
  <c r="BJ389" i="3"/>
  <c r="BF389" i="3"/>
  <c r="AX389" i="3"/>
  <c r="AQ389" i="3"/>
  <c r="AI389" i="3"/>
  <c r="AD389" i="3"/>
  <c r="Y389" i="3"/>
  <c r="T389" i="3"/>
  <c r="O389" i="3"/>
  <c r="J389" i="3"/>
  <c r="E389" i="3"/>
  <c r="BR388" i="3"/>
  <c r="BJ388" i="3"/>
  <c r="BF388" i="3"/>
  <c r="AX388" i="3"/>
  <c r="AQ388" i="3"/>
  <c r="AI388" i="3"/>
  <c r="AD388" i="3"/>
  <c r="Y388" i="3"/>
  <c r="T388" i="3"/>
  <c r="O388" i="3"/>
  <c r="J388" i="3"/>
  <c r="E388" i="3"/>
  <c r="BR387" i="3"/>
  <c r="BJ387" i="3"/>
  <c r="BF387" i="3"/>
  <c r="AX387" i="3"/>
  <c r="AQ387" i="3"/>
  <c r="AI387" i="3"/>
  <c r="AD387" i="3"/>
  <c r="Y387" i="3"/>
  <c r="T387" i="3"/>
  <c r="O387" i="3"/>
  <c r="J387" i="3"/>
  <c r="E387" i="3"/>
  <c r="BR386" i="3"/>
  <c r="BJ386" i="3"/>
  <c r="BF386" i="3"/>
  <c r="AX386" i="3"/>
  <c r="AQ386" i="3"/>
  <c r="AI386" i="3"/>
  <c r="AD386" i="3"/>
  <c r="Y386" i="3"/>
  <c r="T386" i="3"/>
  <c r="O386" i="3"/>
  <c r="J386" i="3"/>
  <c r="E386" i="3"/>
  <c r="BR385" i="3"/>
  <c r="BJ385" i="3"/>
  <c r="BF385" i="3"/>
  <c r="AX385" i="3"/>
  <c r="AQ385" i="3"/>
  <c r="AI385" i="3"/>
  <c r="AD385" i="3"/>
  <c r="Y385" i="3"/>
  <c r="T385" i="3"/>
  <c r="O385" i="3"/>
  <c r="J385" i="3"/>
  <c r="E385" i="3"/>
  <c r="BR384" i="3"/>
  <c r="BJ384" i="3"/>
  <c r="BF384" i="3"/>
  <c r="AX384" i="3"/>
  <c r="AQ384" i="3"/>
  <c r="AI384" i="3"/>
  <c r="AD384" i="3"/>
  <c r="Y384" i="3"/>
  <c r="T384" i="3"/>
  <c r="O384" i="3"/>
  <c r="J384" i="3"/>
  <c r="E384" i="3"/>
  <c r="BR383" i="3"/>
  <c r="BJ383" i="3"/>
  <c r="BF383" i="3"/>
  <c r="AX383" i="3"/>
  <c r="AQ383" i="3"/>
  <c r="AI383" i="3"/>
  <c r="AD383" i="3"/>
  <c r="Y383" i="3"/>
  <c r="T383" i="3"/>
  <c r="O383" i="3"/>
  <c r="J383" i="3"/>
  <c r="E383" i="3"/>
  <c r="BR382" i="3"/>
  <c r="BJ382" i="3"/>
  <c r="BF382" i="3"/>
  <c r="AX382" i="3"/>
  <c r="AQ382" i="3"/>
  <c r="AI382" i="3"/>
  <c r="AD382" i="3"/>
  <c r="Y382" i="3"/>
  <c r="T382" i="3"/>
  <c r="O382" i="3"/>
  <c r="J382" i="3"/>
  <c r="E382" i="3"/>
  <c r="BR381" i="3"/>
  <c r="BJ381" i="3"/>
  <c r="BF381" i="3"/>
  <c r="AX381" i="3"/>
  <c r="AQ381" i="3"/>
  <c r="AI381" i="3"/>
  <c r="AD381" i="3"/>
  <c r="Y381" i="3"/>
  <c r="T381" i="3"/>
  <c r="O381" i="3"/>
  <c r="J381" i="3"/>
  <c r="E381" i="3"/>
  <c r="BR380" i="3"/>
  <c r="BJ380" i="3"/>
  <c r="BF380" i="3"/>
  <c r="AX380" i="3"/>
  <c r="AQ380" i="3"/>
  <c r="AI380" i="3"/>
  <c r="AD380" i="3"/>
  <c r="Y380" i="3"/>
  <c r="T380" i="3"/>
  <c r="O380" i="3"/>
  <c r="J380" i="3"/>
  <c r="E380" i="3"/>
  <c r="BR379" i="3"/>
  <c r="BJ379" i="3"/>
  <c r="BF379" i="3"/>
  <c r="AX379" i="3"/>
  <c r="AQ379" i="3"/>
  <c r="AI379" i="3"/>
  <c r="AD379" i="3"/>
  <c r="Y379" i="3"/>
  <c r="T379" i="3"/>
  <c r="O379" i="3"/>
  <c r="J379" i="3"/>
  <c r="E379" i="3"/>
  <c r="BR378" i="3"/>
  <c r="BJ378" i="3"/>
  <c r="BF378" i="3"/>
  <c r="AX378" i="3"/>
  <c r="AQ378" i="3"/>
  <c r="AI378" i="3"/>
  <c r="AD378" i="3"/>
  <c r="Y378" i="3"/>
  <c r="T378" i="3"/>
  <c r="O378" i="3"/>
  <c r="J378" i="3"/>
  <c r="E378" i="3"/>
  <c r="BR377" i="3"/>
  <c r="BJ377" i="3"/>
  <c r="BF377" i="3"/>
  <c r="AX377" i="3"/>
  <c r="AQ377" i="3"/>
  <c r="AI377" i="3"/>
  <c r="AD377" i="3"/>
  <c r="Y377" i="3"/>
  <c r="T377" i="3"/>
  <c r="O377" i="3"/>
  <c r="J377" i="3"/>
  <c r="E377" i="3"/>
  <c r="BR376" i="3"/>
  <c r="BJ376" i="3"/>
  <c r="BF376" i="3"/>
  <c r="AX376" i="3"/>
  <c r="AQ376" i="3"/>
  <c r="AI376" i="3"/>
  <c r="AD376" i="3"/>
  <c r="Y376" i="3"/>
  <c r="T376" i="3"/>
  <c r="O376" i="3"/>
  <c r="J376" i="3"/>
  <c r="E376" i="3"/>
  <c r="BR375" i="3"/>
  <c r="BJ375" i="3"/>
  <c r="BF375" i="3"/>
  <c r="AX375" i="3"/>
  <c r="AQ375" i="3"/>
  <c r="AI375" i="3"/>
  <c r="AD375" i="3"/>
  <c r="Y375" i="3"/>
  <c r="T375" i="3"/>
  <c r="O375" i="3"/>
  <c r="J375" i="3"/>
  <c r="E375" i="3"/>
  <c r="BR374" i="3"/>
  <c r="BJ374" i="3"/>
  <c r="BF374" i="3"/>
  <c r="AX374" i="3"/>
  <c r="AQ374" i="3"/>
  <c r="AI374" i="3"/>
  <c r="AD374" i="3"/>
  <c r="Y374" i="3"/>
  <c r="T374" i="3"/>
  <c r="O374" i="3"/>
  <c r="J374" i="3"/>
  <c r="E374" i="3"/>
  <c r="BR373" i="3"/>
  <c r="BJ373" i="3"/>
  <c r="BF373" i="3"/>
  <c r="AX373" i="3"/>
  <c r="AQ373" i="3"/>
  <c r="AI373" i="3"/>
  <c r="AD373" i="3"/>
  <c r="Y373" i="3"/>
  <c r="T373" i="3"/>
  <c r="O373" i="3"/>
  <c r="J373" i="3"/>
  <c r="E373" i="3"/>
  <c r="BR372" i="3"/>
  <c r="BJ372" i="3"/>
  <c r="BF372" i="3"/>
  <c r="AX372" i="3"/>
  <c r="AQ372" i="3"/>
  <c r="AI372" i="3"/>
  <c r="AD372" i="3"/>
  <c r="Y372" i="3"/>
  <c r="T372" i="3"/>
  <c r="O372" i="3"/>
  <c r="J372" i="3"/>
  <c r="E372" i="3"/>
  <c r="BR371" i="3"/>
  <c r="BJ371" i="3"/>
  <c r="BF371" i="3"/>
  <c r="AX371" i="3"/>
  <c r="AQ371" i="3"/>
  <c r="AI371" i="3"/>
  <c r="AD371" i="3"/>
  <c r="Y371" i="3"/>
  <c r="T371" i="3"/>
  <c r="O371" i="3"/>
  <c r="J371" i="3"/>
  <c r="E371" i="3"/>
  <c r="BR370" i="3"/>
  <c r="BJ370" i="3"/>
  <c r="BF370" i="3"/>
  <c r="AX370" i="3"/>
  <c r="AQ370" i="3"/>
  <c r="AI370" i="3"/>
  <c r="AD370" i="3"/>
  <c r="Y370" i="3"/>
  <c r="T370" i="3"/>
  <c r="O370" i="3"/>
  <c r="J370" i="3"/>
  <c r="E370" i="3"/>
  <c r="BR369" i="3"/>
  <c r="BJ369" i="3"/>
  <c r="BF369" i="3"/>
  <c r="AX369" i="3"/>
  <c r="AQ369" i="3"/>
  <c r="AI369" i="3"/>
  <c r="AD369" i="3"/>
  <c r="Y369" i="3"/>
  <c r="T369" i="3"/>
  <c r="O369" i="3"/>
  <c r="J369" i="3"/>
  <c r="E369" i="3"/>
  <c r="BR368" i="3"/>
  <c r="BJ368" i="3"/>
  <c r="BF368" i="3"/>
  <c r="AX368" i="3"/>
  <c r="AQ368" i="3"/>
  <c r="AI368" i="3"/>
  <c r="AD368" i="3"/>
  <c r="Y368" i="3"/>
  <c r="T368" i="3"/>
  <c r="O368" i="3"/>
  <c r="J368" i="3"/>
  <c r="E368" i="3"/>
  <c r="BR367" i="3"/>
  <c r="BJ367" i="3"/>
  <c r="BF367" i="3"/>
  <c r="AX367" i="3"/>
  <c r="AQ367" i="3"/>
  <c r="AI367" i="3"/>
  <c r="AD367" i="3"/>
  <c r="Y367" i="3"/>
  <c r="T367" i="3"/>
  <c r="O367" i="3"/>
  <c r="J367" i="3"/>
  <c r="E367" i="3"/>
  <c r="BR366" i="3"/>
  <c r="BJ366" i="3"/>
  <c r="BF366" i="3"/>
  <c r="AX366" i="3"/>
  <c r="AQ366" i="3"/>
  <c r="AI366" i="3"/>
  <c r="AD366" i="3"/>
  <c r="Y366" i="3"/>
  <c r="T366" i="3"/>
  <c r="O366" i="3"/>
  <c r="J366" i="3"/>
  <c r="E366" i="3"/>
  <c r="BR365" i="3"/>
  <c r="BJ365" i="3"/>
  <c r="BF365" i="3"/>
  <c r="AX365" i="3"/>
  <c r="AQ365" i="3"/>
  <c r="AI365" i="3"/>
  <c r="AD365" i="3"/>
  <c r="Y365" i="3"/>
  <c r="T365" i="3"/>
  <c r="O365" i="3"/>
  <c r="J365" i="3"/>
  <c r="E365" i="3"/>
  <c r="BR364" i="3"/>
  <c r="BJ364" i="3"/>
  <c r="BF364" i="3"/>
  <c r="AX364" i="3"/>
  <c r="AQ364" i="3"/>
  <c r="AI364" i="3"/>
  <c r="AD364" i="3"/>
  <c r="Y364" i="3"/>
  <c r="T364" i="3"/>
  <c r="O364" i="3"/>
  <c r="J364" i="3"/>
  <c r="E364" i="3"/>
  <c r="BR363" i="3"/>
  <c r="BJ363" i="3"/>
  <c r="BF363" i="3"/>
  <c r="AX363" i="3"/>
  <c r="AQ363" i="3"/>
  <c r="AI363" i="3"/>
  <c r="AD363" i="3"/>
  <c r="Y363" i="3"/>
  <c r="T363" i="3"/>
  <c r="O363" i="3"/>
  <c r="J363" i="3"/>
  <c r="E363" i="3"/>
  <c r="BR362" i="3"/>
  <c r="BJ362" i="3"/>
  <c r="BF362" i="3"/>
  <c r="AX362" i="3"/>
  <c r="AQ362" i="3"/>
  <c r="AI362" i="3"/>
  <c r="AD362" i="3"/>
  <c r="Y362" i="3"/>
  <c r="T362" i="3"/>
  <c r="O362" i="3"/>
  <c r="J362" i="3"/>
  <c r="E362" i="3"/>
  <c r="BR361" i="3"/>
  <c r="BJ361" i="3"/>
  <c r="BF361" i="3"/>
  <c r="AX361" i="3"/>
  <c r="AQ361" i="3"/>
  <c r="AI361" i="3"/>
  <c r="AD361" i="3"/>
  <c r="Y361" i="3"/>
  <c r="T361" i="3"/>
  <c r="O361" i="3"/>
  <c r="J361" i="3"/>
  <c r="E361" i="3"/>
  <c r="BR360" i="3"/>
  <c r="BJ360" i="3"/>
  <c r="BF360" i="3"/>
  <c r="AX360" i="3"/>
  <c r="AQ360" i="3"/>
  <c r="AI360" i="3"/>
  <c r="AD360" i="3"/>
  <c r="Y360" i="3"/>
  <c r="T360" i="3"/>
  <c r="O360" i="3"/>
  <c r="J360" i="3"/>
  <c r="E360" i="3"/>
  <c r="BR359" i="3"/>
  <c r="BJ359" i="3"/>
  <c r="BF359" i="3"/>
  <c r="AX359" i="3"/>
  <c r="AQ359" i="3"/>
  <c r="AI359" i="3"/>
  <c r="AD359" i="3"/>
  <c r="Y359" i="3"/>
  <c r="T359" i="3"/>
  <c r="O359" i="3"/>
  <c r="J359" i="3"/>
  <c r="E359" i="3"/>
  <c r="BR358" i="3"/>
  <c r="BJ358" i="3"/>
  <c r="BF358" i="3"/>
  <c r="AX358" i="3"/>
  <c r="AQ358" i="3"/>
  <c r="AI358" i="3"/>
  <c r="AD358" i="3"/>
  <c r="Y358" i="3"/>
  <c r="T358" i="3"/>
  <c r="O358" i="3"/>
  <c r="J358" i="3"/>
  <c r="E358" i="3"/>
  <c r="BR357" i="3"/>
  <c r="BJ357" i="3"/>
  <c r="BF357" i="3"/>
  <c r="AX357" i="3"/>
  <c r="AQ357" i="3"/>
  <c r="AI357" i="3"/>
  <c r="AD357" i="3"/>
  <c r="Y357" i="3"/>
  <c r="T357" i="3"/>
  <c r="O357" i="3"/>
  <c r="J357" i="3"/>
  <c r="E357" i="3"/>
  <c r="BR356" i="3"/>
  <c r="BJ356" i="3"/>
  <c r="BF356" i="3"/>
  <c r="AX356" i="3"/>
  <c r="AQ356" i="3"/>
  <c r="AI356" i="3"/>
  <c r="AD356" i="3"/>
  <c r="Y356" i="3"/>
  <c r="T356" i="3"/>
  <c r="O356" i="3"/>
  <c r="J356" i="3"/>
  <c r="E356" i="3"/>
  <c r="BR355" i="3"/>
  <c r="BJ355" i="3"/>
  <c r="BF355" i="3"/>
  <c r="AX355" i="3"/>
  <c r="AQ355" i="3"/>
  <c r="AI355" i="3"/>
  <c r="AD355" i="3"/>
  <c r="Y355" i="3"/>
  <c r="T355" i="3"/>
  <c r="O355" i="3"/>
  <c r="J355" i="3"/>
  <c r="E355" i="3"/>
  <c r="BR354" i="3"/>
  <c r="BJ354" i="3"/>
  <c r="BF354" i="3"/>
  <c r="AX354" i="3"/>
  <c r="AQ354" i="3"/>
  <c r="AI354" i="3"/>
  <c r="AD354" i="3"/>
  <c r="Y354" i="3"/>
  <c r="T354" i="3"/>
  <c r="O354" i="3"/>
  <c r="J354" i="3"/>
  <c r="E354" i="3"/>
  <c r="BR353" i="3"/>
  <c r="BJ353" i="3"/>
  <c r="BF353" i="3"/>
  <c r="AX353" i="3"/>
  <c r="AQ353" i="3"/>
  <c r="AI353" i="3"/>
  <c r="AD353" i="3"/>
  <c r="Y353" i="3"/>
  <c r="T353" i="3"/>
  <c r="O353" i="3"/>
  <c r="J353" i="3"/>
  <c r="E353" i="3"/>
  <c r="BR352" i="3"/>
  <c r="BJ352" i="3"/>
  <c r="BF352" i="3"/>
  <c r="AX352" i="3"/>
  <c r="AQ352" i="3"/>
  <c r="AI352" i="3"/>
  <c r="AD352" i="3"/>
  <c r="Y352" i="3"/>
  <c r="T352" i="3"/>
  <c r="O352" i="3"/>
  <c r="J352" i="3"/>
  <c r="E352" i="3"/>
  <c r="BR351" i="3"/>
  <c r="BJ351" i="3"/>
  <c r="BF351" i="3"/>
  <c r="AX351" i="3"/>
  <c r="AQ351" i="3"/>
  <c r="AI351" i="3"/>
  <c r="AD351" i="3"/>
  <c r="Y351" i="3"/>
  <c r="T351" i="3"/>
  <c r="O351" i="3"/>
  <c r="J351" i="3"/>
  <c r="E351" i="3"/>
  <c r="BR350" i="3"/>
  <c r="BJ350" i="3"/>
  <c r="BF350" i="3"/>
  <c r="AX350" i="3"/>
  <c r="AQ350" i="3"/>
  <c r="AI350" i="3"/>
  <c r="AD350" i="3"/>
  <c r="Y350" i="3"/>
  <c r="T350" i="3"/>
  <c r="O350" i="3"/>
  <c r="J350" i="3"/>
  <c r="E350" i="3"/>
  <c r="BR349" i="3"/>
  <c r="BJ349" i="3"/>
  <c r="BF349" i="3"/>
  <c r="AX349" i="3"/>
  <c r="AQ349" i="3"/>
  <c r="AI349" i="3"/>
  <c r="AD349" i="3"/>
  <c r="Y349" i="3"/>
  <c r="T349" i="3"/>
  <c r="O349" i="3"/>
  <c r="J349" i="3"/>
  <c r="E349" i="3"/>
  <c r="BR348" i="3"/>
  <c r="BJ348" i="3"/>
  <c r="BF348" i="3"/>
  <c r="AX348" i="3"/>
  <c r="AQ348" i="3"/>
  <c r="AI348" i="3"/>
  <c r="AD348" i="3"/>
  <c r="Y348" i="3"/>
  <c r="T348" i="3"/>
  <c r="O348" i="3"/>
  <c r="J348" i="3"/>
  <c r="E348" i="3"/>
  <c r="BR347" i="3"/>
  <c r="BJ347" i="3"/>
  <c r="BF347" i="3"/>
  <c r="AX347" i="3"/>
  <c r="AQ347" i="3"/>
  <c r="AI347" i="3"/>
  <c r="AD347" i="3"/>
  <c r="Y347" i="3"/>
  <c r="T347" i="3"/>
  <c r="O347" i="3"/>
  <c r="J347" i="3"/>
  <c r="E347" i="3"/>
  <c r="BR346" i="3"/>
  <c r="BJ346" i="3"/>
  <c r="BF346" i="3"/>
  <c r="AX346" i="3"/>
  <c r="AQ346" i="3"/>
  <c r="AI346" i="3"/>
  <c r="AD346" i="3"/>
  <c r="Y346" i="3"/>
  <c r="T346" i="3"/>
  <c r="O346" i="3"/>
  <c r="J346" i="3"/>
  <c r="E346" i="3"/>
  <c r="BR345" i="3"/>
  <c r="BJ345" i="3"/>
  <c r="BF345" i="3"/>
  <c r="AX345" i="3"/>
  <c r="AQ345" i="3"/>
  <c r="AI345" i="3"/>
  <c r="AD345" i="3"/>
  <c r="Y345" i="3"/>
  <c r="T345" i="3"/>
  <c r="O345" i="3"/>
  <c r="J345" i="3"/>
  <c r="E345" i="3"/>
  <c r="BR344" i="3"/>
  <c r="BJ344" i="3"/>
  <c r="BF344" i="3"/>
  <c r="AX344" i="3"/>
  <c r="AQ344" i="3"/>
  <c r="AI344" i="3"/>
  <c r="AD344" i="3"/>
  <c r="Y344" i="3"/>
  <c r="T344" i="3"/>
  <c r="O344" i="3"/>
  <c r="J344" i="3"/>
  <c r="E344" i="3"/>
  <c r="BR343" i="3"/>
  <c r="BJ343" i="3"/>
  <c r="BF343" i="3"/>
  <c r="AX343" i="3"/>
  <c r="AQ343" i="3"/>
  <c r="AI343" i="3"/>
  <c r="AD343" i="3"/>
  <c r="Y343" i="3"/>
  <c r="T343" i="3"/>
  <c r="O343" i="3"/>
  <c r="J343" i="3"/>
  <c r="E343" i="3"/>
  <c r="BR342" i="3"/>
  <c r="BJ342" i="3"/>
  <c r="BF342" i="3"/>
  <c r="AX342" i="3"/>
  <c r="AQ342" i="3"/>
  <c r="AI342" i="3"/>
  <c r="AD342" i="3"/>
  <c r="Y342" i="3"/>
  <c r="T342" i="3"/>
  <c r="O342" i="3"/>
  <c r="J342" i="3"/>
  <c r="E342" i="3"/>
  <c r="BR341" i="3"/>
  <c r="BJ341" i="3"/>
  <c r="BF341" i="3"/>
  <c r="AX341" i="3"/>
  <c r="AQ341" i="3"/>
  <c r="AI341" i="3"/>
  <c r="AD341" i="3"/>
  <c r="Y341" i="3"/>
  <c r="T341" i="3"/>
  <c r="O341" i="3"/>
  <c r="J341" i="3"/>
  <c r="E341" i="3"/>
  <c r="BR340" i="3"/>
  <c r="BJ340" i="3"/>
  <c r="BF340" i="3"/>
  <c r="AX340" i="3"/>
  <c r="AQ340" i="3"/>
  <c r="AI340" i="3"/>
  <c r="AD340" i="3"/>
  <c r="Y340" i="3"/>
  <c r="T340" i="3"/>
  <c r="O340" i="3"/>
  <c r="J340" i="3"/>
  <c r="E340" i="3"/>
  <c r="BR339" i="3"/>
  <c r="BJ339" i="3"/>
  <c r="BF339" i="3"/>
  <c r="AX339" i="3"/>
  <c r="AQ339" i="3"/>
  <c r="AI339" i="3"/>
  <c r="AD339" i="3"/>
  <c r="Y339" i="3"/>
  <c r="T339" i="3"/>
  <c r="O339" i="3"/>
  <c r="J339" i="3"/>
  <c r="E339" i="3"/>
  <c r="BR338" i="3"/>
  <c r="BJ338" i="3"/>
  <c r="BF338" i="3"/>
  <c r="AX338" i="3"/>
  <c r="AQ338" i="3"/>
  <c r="AI338" i="3"/>
  <c r="AD338" i="3"/>
  <c r="Y338" i="3"/>
  <c r="T338" i="3"/>
  <c r="O338" i="3"/>
  <c r="J338" i="3"/>
  <c r="E338" i="3"/>
  <c r="BR337" i="3"/>
  <c r="BJ337" i="3"/>
  <c r="BF337" i="3"/>
  <c r="AX337" i="3"/>
  <c r="AQ337" i="3"/>
  <c r="AI337" i="3"/>
  <c r="AD337" i="3"/>
  <c r="Y337" i="3"/>
  <c r="T337" i="3"/>
  <c r="O337" i="3"/>
  <c r="J337" i="3"/>
  <c r="E337" i="3"/>
  <c r="BR336" i="3"/>
  <c r="BJ336" i="3"/>
  <c r="BF336" i="3"/>
  <c r="AX336" i="3"/>
  <c r="AQ336" i="3"/>
  <c r="AI336" i="3"/>
  <c r="AD336" i="3"/>
  <c r="Y336" i="3"/>
  <c r="T336" i="3"/>
  <c r="O336" i="3"/>
  <c r="J336" i="3"/>
  <c r="E336" i="3"/>
  <c r="BR335" i="3"/>
  <c r="BJ335" i="3"/>
  <c r="BF335" i="3"/>
  <c r="AX335" i="3"/>
  <c r="AQ335" i="3"/>
  <c r="AI335" i="3"/>
  <c r="AD335" i="3"/>
  <c r="Y335" i="3"/>
  <c r="T335" i="3"/>
  <c r="O335" i="3"/>
  <c r="J335" i="3"/>
  <c r="E335" i="3"/>
  <c r="BR334" i="3"/>
  <c r="BJ334" i="3"/>
  <c r="BF334" i="3"/>
  <c r="AX334" i="3"/>
  <c r="AQ334" i="3"/>
  <c r="AI334" i="3"/>
  <c r="AD334" i="3"/>
  <c r="Y334" i="3"/>
  <c r="T334" i="3"/>
  <c r="O334" i="3"/>
  <c r="J334" i="3"/>
  <c r="E334" i="3"/>
  <c r="BR333" i="3"/>
  <c r="BJ333" i="3"/>
  <c r="BF333" i="3"/>
  <c r="AX333" i="3"/>
  <c r="AQ333" i="3"/>
  <c r="AI333" i="3"/>
  <c r="AD333" i="3"/>
  <c r="Y333" i="3"/>
  <c r="T333" i="3"/>
  <c r="O333" i="3"/>
  <c r="J333" i="3"/>
  <c r="E333" i="3"/>
  <c r="BR332" i="3"/>
  <c r="BJ332" i="3"/>
  <c r="BF332" i="3"/>
  <c r="AX332" i="3"/>
  <c r="AQ332" i="3"/>
  <c r="AI332" i="3"/>
  <c r="AD332" i="3"/>
  <c r="Y332" i="3"/>
  <c r="T332" i="3"/>
  <c r="O332" i="3"/>
  <c r="J332" i="3"/>
  <c r="E332" i="3"/>
  <c r="BR331" i="3"/>
  <c r="BJ331" i="3"/>
  <c r="BF331" i="3"/>
  <c r="AX331" i="3"/>
  <c r="AQ331" i="3"/>
  <c r="AI331" i="3"/>
  <c r="AD331" i="3"/>
  <c r="Y331" i="3"/>
  <c r="T331" i="3"/>
  <c r="O331" i="3"/>
  <c r="J331" i="3"/>
  <c r="E331" i="3"/>
  <c r="BR330" i="3"/>
  <c r="BJ330" i="3"/>
  <c r="BF330" i="3"/>
  <c r="AX330" i="3"/>
  <c r="AQ330" i="3"/>
  <c r="AI330" i="3"/>
  <c r="AD330" i="3"/>
  <c r="Y330" i="3"/>
  <c r="T330" i="3"/>
  <c r="O330" i="3"/>
  <c r="J330" i="3"/>
  <c r="E330" i="3"/>
  <c r="BR329" i="3"/>
  <c r="BJ329" i="3"/>
  <c r="BF329" i="3"/>
  <c r="AX329" i="3"/>
  <c r="AQ329" i="3"/>
  <c r="AI329" i="3"/>
  <c r="AD329" i="3"/>
  <c r="Y329" i="3"/>
  <c r="T329" i="3"/>
  <c r="O329" i="3"/>
  <c r="J329" i="3"/>
  <c r="E329" i="3"/>
  <c r="BR328" i="3"/>
  <c r="BJ328" i="3"/>
  <c r="BF328" i="3"/>
  <c r="AX328" i="3"/>
  <c r="AQ328" i="3"/>
  <c r="AI328" i="3"/>
  <c r="AD328" i="3"/>
  <c r="Y328" i="3"/>
  <c r="T328" i="3"/>
  <c r="O328" i="3"/>
  <c r="J328" i="3"/>
  <c r="E328" i="3"/>
  <c r="BR327" i="3"/>
  <c r="BJ327" i="3"/>
  <c r="BF327" i="3"/>
  <c r="AX327" i="3"/>
  <c r="AQ327" i="3"/>
  <c r="AI327" i="3"/>
  <c r="AD327" i="3"/>
  <c r="Y327" i="3"/>
  <c r="T327" i="3"/>
  <c r="O327" i="3"/>
  <c r="J327" i="3"/>
  <c r="E327" i="3"/>
  <c r="BR326" i="3"/>
  <c r="BJ326" i="3"/>
  <c r="BF326" i="3"/>
  <c r="AX326" i="3"/>
  <c r="AQ326" i="3"/>
  <c r="AI326" i="3"/>
  <c r="AD326" i="3"/>
  <c r="Y326" i="3"/>
  <c r="T326" i="3"/>
  <c r="O326" i="3"/>
  <c r="J326" i="3"/>
  <c r="E326" i="3"/>
  <c r="BR325" i="3"/>
  <c r="BJ325" i="3"/>
  <c r="BF325" i="3"/>
  <c r="AX325" i="3"/>
  <c r="AQ325" i="3"/>
  <c r="AI325" i="3"/>
  <c r="AD325" i="3"/>
  <c r="Y325" i="3"/>
  <c r="T325" i="3"/>
  <c r="O325" i="3"/>
  <c r="J325" i="3"/>
  <c r="E325" i="3"/>
  <c r="BR324" i="3"/>
  <c r="BJ324" i="3"/>
  <c r="BF324" i="3"/>
  <c r="AX324" i="3"/>
  <c r="AQ324" i="3"/>
  <c r="AI324" i="3"/>
  <c r="AD324" i="3"/>
  <c r="Y324" i="3"/>
  <c r="T324" i="3"/>
  <c r="O324" i="3"/>
  <c r="J324" i="3"/>
  <c r="E324" i="3"/>
  <c r="BR323" i="3"/>
  <c r="BJ323" i="3"/>
  <c r="BF323" i="3"/>
  <c r="AX323" i="3"/>
  <c r="AQ323" i="3"/>
  <c r="AI323" i="3"/>
  <c r="AD323" i="3"/>
  <c r="Y323" i="3"/>
  <c r="T323" i="3"/>
  <c r="O323" i="3"/>
  <c r="J323" i="3"/>
  <c r="E323" i="3"/>
  <c r="BR322" i="3"/>
  <c r="BJ322" i="3"/>
  <c r="BF322" i="3"/>
  <c r="AX322" i="3"/>
  <c r="AQ322" i="3"/>
  <c r="AI322" i="3"/>
  <c r="AD322" i="3"/>
  <c r="Y322" i="3"/>
  <c r="T322" i="3"/>
  <c r="O322" i="3"/>
  <c r="J322" i="3"/>
  <c r="E322" i="3"/>
  <c r="BR321" i="3"/>
  <c r="BJ321" i="3"/>
  <c r="BF321" i="3"/>
  <c r="AX321" i="3"/>
  <c r="AQ321" i="3"/>
  <c r="AI321" i="3"/>
  <c r="AD321" i="3"/>
  <c r="Y321" i="3"/>
  <c r="T321" i="3"/>
  <c r="O321" i="3"/>
  <c r="J321" i="3"/>
  <c r="E321" i="3"/>
  <c r="BR320" i="3"/>
  <c r="BJ320" i="3"/>
  <c r="BF320" i="3"/>
  <c r="AX320" i="3"/>
  <c r="AQ320" i="3"/>
  <c r="AI320" i="3"/>
  <c r="AD320" i="3"/>
  <c r="Y320" i="3"/>
  <c r="T320" i="3"/>
  <c r="O320" i="3"/>
  <c r="J320" i="3"/>
  <c r="E320" i="3"/>
  <c r="BR319" i="3"/>
  <c r="BJ319" i="3"/>
  <c r="BF319" i="3"/>
  <c r="AX319" i="3"/>
  <c r="AQ319" i="3"/>
  <c r="AI319" i="3"/>
  <c r="AD319" i="3"/>
  <c r="Y319" i="3"/>
  <c r="T319" i="3"/>
  <c r="O319" i="3"/>
  <c r="J319" i="3"/>
  <c r="E319" i="3"/>
  <c r="BR318" i="3"/>
  <c r="BJ318" i="3"/>
  <c r="BF318" i="3"/>
  <c r="AX318" i="3"/>
  <c r="AQ318" i="3"/>
  <c r="AI318" i="3"/>
  <c r="AD318" i="3"/>
  <c r="Y318" i="3"/>
  <c r="T318" i="3"/>
  <c r="O318" i="3"/>
  <c r="J318" i="3"/>
  <c r="E318" i="3"/>
  <c r="BR317" i="3"/>
  <c r="BJ317" i="3"/>
  <c r="BF317" i="3"/>
  <c r="AX317" i="3"/>
  <c r="AQ317" i="3"/>
  <c r="AI317" i="3"/>
  <c r="AD317" i="3"/>
  <c r="Y317" i="3"/>
  <c r="T317" i="3"/>
  <c r="O317" i="3"/>
  <c r="J317" i="3"/>
  <c r="E317" i="3"/>
  <c r="BR316" i="3"/>
  <c r="BJ316" i="3"/>
  <c r="BF316" i="3"/>
  <c r="AX316" i="3"/>
  <c r="AQ316" i="3"/>
  <c r="AI316" i="3"/>
  <c r="AD316" i="3"/>
  <c r="Y316" i="3"/>
  <c r="T316" i="3"/>
  <c r="O316" i="3"/>
  <c r="J316" i="3"/>
  <c r="E316" i="3"/>
  <c r="BR315" i="3"/>
  <c r="BJ315" i="3"/>
  <c r="BF315" i="3"/>
  <c r="AX315" i="3"/>
  <c r="AQ315" i="3"/>
  <c r="AI315" i="3"/>
  <c r="AD315" i="3"/>
  <c r="Y315" i="3"/>
  <c r="T315" i="3"/>
  <c r="O315" i="3"/>
  <c r="J315" i="3"/>
  <c r="E315" i="3"/>
  <c r="BR314" i="3"/>
  <c r="BJ314" i="3"/>
  <c r="BF314" i="3"/>
  <c r="AX314" i="3"/>
  <c r="AQ314" i="3"/>
  <c r="AI314" i="3"/>
  <c r="AD314" i="3"/>
  <c r="Y314" i="3"/>
  <c r="T314" i="3"/>
  <c r="O314" i="3"/>
  <c r="J314" i="3"/>
  <c r="E314" i="3"/>
  <c r="BR313" i="3"/>
  <c r="BJ313" i="3"/>
  <c r="BF313" i="3"/>
  <c r="AX313" i="3"/>
  <c r="AQ313" i="3"/>
  <c r="AI313" i="3"/>
  <c r="AD313" i="3"/>
  <c r="Y313" i="3"/>
  <c r="T313" i="3"/>
  <c r="O313" i="3"/>
  <c r="J313" i="3"/>
  <c r="E313" i="3"/>
  <c r="BR312" i="3"/>
  <c r="BJ312" i="3"/>
  <c r="BF312" i="3"/>
  <c r="AX312" i="3"/>
  <c r="AQ312" i="3"/>
  <c r="AI312" i="3"/>
  <c r="AD312" i="3"/>
  <c r="Y312" i="3"/>
  <c r="T312" i="3"/>
  <c r="O312" i="3"/>
  <c r="J312" i="3"/>
  <c r="E312" i="3"/>
  <c r="BR311" i="3"/>
  <c r="BJ311" i="3"/>
  <c r="BF311" i="3"/>
  <c r="AX311" i="3"/>
  <c r="AQ311" i="3"/>
  <c r="AI311" i="3"/>
  <c r="AD311" i="3"/>
  <c r="Y311" i="3"/>
  <c r="T311" i="3"/>
  <c r="O311" i="3"/>
  <c r="J311" i="3"/>
  <c r="E311" i="3"/>
  <c r="BR310" i="3"/>
  <c r="BJ310" i="3"/>
  <c r="BF310" i="3"/>
  <c r="AX310" i="3"/>
  <c r="AQ310" i="3"/>
  <c r="AI310" i="3"/>
  <c r="AD310" i="3"/>
  <c r="Y310" i="3"/>
  <c r="T310" i="3"/>
  <c r="O310" i="3"/>
  <c r="J310" i="3"/>
  <c r="E310" i="3"/>
  <c r="BR309" i="3"/>
  <c r="BJ309" i="3"/>
  <c r="BF309" i="3"/>
  <c r="AX309" i="3"/>
  <c r="AQ309" i="3"/>
  <c r="AI309" i="3"/>
  <c r="AD309" i="3"/>
  <c r="Y309" i="3"/>
  <c r="T309" i="3"/>
  <c r="O309" i="3"/>
  <c r="J309" i="3"/>
  <c r="E309" i="3"/>
  <c r="BR308" i="3"/>
  <c r="BJ308" i="3"/>
  <c r="BF308" i="3"/>
  <c r="AX308" i="3"/>
  <c r="AQ308" i="3"/>
  <c r="AI308" i="3"/>
  <c r="AD308" i="3"/>
  <c r="Y308" i="3"/>
  <c r="T308" i="3"/>
  <c r="O308" i="3"/>
  <c r="J308" i="3"/>
  <c r="E308" i="3"/>
  <c r="BR307" i="3"/>
  <c r="BJ307" i="3"/>
  <c r="BF307" i="3"/>
  <c r="AX307" i="3"/>
  <c r="AQ307" i="3"/>
  <c r="AI307" i="3"/>
  <c r="AD307" i="3"/>
  <c r="Y307" i="3"/>
  <c r="T307" i="3"/>
  <c r="O307" i="3"/>
  <c r="J307" i="3"/>
  <c r="E307" i="3"/>
  <c r="BR306" i="3"/>
  <c r="BJ306" i="3"/>
  <c r="BF306" i="3"/>
  <c r="AX306" i="3"/>
  <c r="AQ306" i="3"/>
  <c r="AI306" i="3"/>
  <c r="AD306" i="3"/>
  <c r="Y306" i="3"/>
  <c r="T306" i="3"/>
  <c r="O306" i="3"/>
  <c r="J306" i="3"/>
  <c r="E306" i="3"/>
  <c r="BR305" i="3"/>
  <c r="BJ305" i="3"/>
  <c r="BF305" i="3"/>
  <c r="AX305" i="3"/>
  <c r="AQ305" i="3"/>
  <c r="AI305" i="3"/>
  <c r="AD305" i="3"/>
  <c r="Y305" i="3"/>
  <c r="T305" i="3"/>
  <c r="O305" i="3"/>
  <c r="J305" i="3"/>
  <c r="E305" i="3"/>
  <c r="BR304" i="3"/>
  <c r="BJ304" i="3"/>
  <c r="BF304" i="3"/>
  <c r="AX304" i="3"/>
  <c r="AQ304" i="3"/>
  <c r="AI304" i="3"/>
  <c r="AD304" i="3"/>
  <c r="Y304" i="3"/>
  <c r="T304" i="3"/>
  <c r="O304" i="3"/>
  <c r="J304" i="3"/>
  <c r="E304" i="3"/>
  <c r="BR303" i="3"/>
  <c r="BJ303" i="3"/>
  <c r="BF303" i="3"/>
  <c r="AX303" i="3"/>
  <c r="AQ303" i="3"/>
  <c r="AI303" i="3"/>
  <c r="AD303" i="3"/>
  <c r="Y303" i="3"/>
  <c r="T303" i="3"/>
  <c r="O303" i="3"/>
  <c r="J303" i="3"/>
  <c r="E303" i="3"/>
  <c r="BR302" i="3"/>
  <c r="BJ302" i="3"/>
  <c r="BF302" i="3"/>
  <c r="AX302" i="3"/>
  <c r="AQ302" i="3"/>
  <c r="AI302" i="3"/>
  <c r="AD302" i="3"/>
  <c r="Y302" i="3"/>
  <c r="T302" i="3"/>
  <c r="O302" i="3"/>
  <c r="J302" i="3"/>
  <c r="E302" i="3"/>
  <c r="BR301" i="3"/>
  <c r="BJ301" i="3"/>
  <c r="BF301" i="3"/>
  <c r="AX301" i="3"/>
  <c r="AQ301" i="3"/>
  <c r="AI301" i="3"/>
  <c r="AD301" i="3"/>
  <c r="Y301" i="3"/>
  <c r="T301" i="3"/>
  <c r="O301" i="3"/>
  <c r="J301" i="3"/>
  <c r="E301" i="3"/>
  <c r="BR300" i="3"/>
  <c r="BJ300" i="3"/>
  <c r="BF300" i="3"/>
  <c r="AX300" i="3"/>
  <c r="AQ300" i="3"/>
  <c r="AI300" i="3"/>
  <c r="AD300" i="3"/>
  <c r="Y300" i="3"/>
  <c r="T300" i="3"/>
  <c r="O300" i="3"/>
  <c r="J300" i="3"/>
  <c r="E300" i="3"/>
  <c r="BR299" i="3"/>
  <c r="BJ299" i="3"/>
  <c r="BF299" i="3"/>
  <c r="AX299" i="3"/>
  <c r="AQ299" i="3"/>
  <c r="AI299" i="3"/>
  <c r="AD299" i="3"/>
  <c r="Y299" i="3"/>
  <c r="T299" i="3"/>
  <c r="O299" i="3"/>
  <c r="J299" i="3"/>
  <c r="E299" i="3"/>
  <c r="BR298" i="3"/>
  <c r="BJ298" i="3"/>
  <c r="BF298" i="3"/>
  <c r="AX298" i="3"/>
  <c r="AQ298" i="3"/>
  <c r="AI298" i="3"/>
  <c r="AD298" i="3"/>
  <c r="Y298" i="3"/>
  <c r="T298" i="3"/>
  <c r="O298" i="3"/>
  <c r="J298" i="3"/>
  <c r="E298" i="3"/>
  <c r="BR297" i="3"/>
  <c r="BJ297" i="3"/>
  <c r="BF297" i="3"/>
  <c r="AX297" i="3"/>
  <c r="AQ297" i="3"/>
  <c r="AI297" i="3"/>
  <c r="AD297" i="3"/>
  <c r="Y297" i="3"/>
  <c r="T297" i="3"/>
  <c r="O297" i="3"/>
  <c r="J297" i="3"/>
  <c r="E297" i="3"/>
  <c r="BR296" i="3"/>
  <c r="BJ296" i="3"/>
  <c r="BF296" i="3"/>
  <c r="AX296" i="3"/>
  <c r="AQ296" i="3"/>
  <c r="AI296" i="3"/>
  <c r="AD296" i="3"/>
  <c r="Y296" i="3"/>
  <c r="T296" i="3"/>
  <c r="O296" i="3"/>
  <c r="J296" i="3"/>
  <c r="E296" i="3"/>
  <c r="BR295" i="3"/>
  <c r="BJ295" i="3"/>
  <c r="BF295" i="3"/>
  <c r="AX295" i="3"/>
  <c r="AQ295" i="3"/>
  <c r="AI295" i="3"/>
  <c r="AD295" i="3"/>
  <c r="Y295" i="3"/>
  <c r="T295" i="3"/>
  <c r="O295" i="3"/>
  <c r="J295" i="3"/>
  <c r="E295" i="3"/>
  <c r="BR294" i="3"/>
  <c r="BJ294" i="3"/>
  <c r="BF294" i="3"/>
  <c r="AX294" i="3"/>
  <c r="AQ294" i="3"/>
  <c r="AI294" i="3"/>
  <c r="AD294" i="3"/>
  <c r="Y294" i="3"/>
  <c r="T294" i="3"/>
  <c r="O294" i="3"/>
  <c r="J294" i="3"/>
  <c r="E294" i="3"/>
  <c r="BR293" i="3"/>
  <c r="BJ293" i="3"/>
  <c r="BF293" i="3"/>
  <c r="AX293" i="3"/>
  <c r="AQ293" i="3"/>
  <c r="AI293" i="3"/>
  <c r="AD293" i="3"/>
  <c r="Y293" i="3"/>
  <c r="T293" i="3"/>
  <c r="O293" i="3"/>
  <c r="J293" i="3"/>
  <c r="E293" i="3"/>
  <c r="BR292" i="3"/>
  <c r="BJ292" i="3"/>
  <c r="BF292" i="3"/>
  <c r="AX292" i="3"/>
  <c r="AQ292" i="3"/>
  <c r="AI292" i="3"/>
  <c r="AD292" i="3"/>
  <c r="Y292" i="3"/>
  <c r="T292" i="3"/>
  <c r="O292" i="3"/>
  <c r="J292" i="3"/>
  <c r="E292" i="3"/>
  <c r="BR291" i="3"/>
  <c r="BJ291" i="3"/>
  <c r="BF291" i="3"/>
  <c r="AX291" i="3"/>
  <c r="AQ291" i="3"/>
  <c r="AI291" i="3"/>
  <c r="AD291" i="3"/>
  <c r="Y291" i="3"/>
  <c r="T291" i="3"/>
  <c r="O291" i="3"/>
  <c r="J291" i="3"/>
  <c r="E291" i="3"/>
  <c r="BR290" i="3"/>
  <c r="BJ290" i="3"/>
  <c r="BF290" i="3"/>
  <c r="AX290" i="3"/>
  <c r="AQ290" i="3"/>
  <c r="AI290" i="3"/>
  <c r="AD290" i="3"/>
  <c r="Y290" i="3"/>
  <c r="T290" i="3"/>
  <c r="O290" i="3"/>
  <c r="J290" i="3"/>
  <c r="E290" i="3"/>
  <c r="BR289" i="3"/>
  <c r="BJ289" i="3"/>
  <c r="BF289" i="3"/>
  <c r="AX289" i="3"/>
  <c r="AQ289" i="3"/>
  <c r="AI289" i="3"/>
  <c r="AD289" i="3"/>
  <c r="Y289" i="3"/>
  <c r="T289" i="3"/>
  <c r="O289" i="3"/>
  <c r="J289" i="3"/>
  <c r="E289" i="3"/>
  <c r="BR288" i="3"/>
  <c r="BJ288" i="3"/>
  <c r="BF288" i="3"/>
  <c r="AX288" i="3"/>
  <c r="AQ288" i="3"/>
  <c r="AI288" i="3"/>
  <c r="AD288" i="3"/>
  <c r="Y288" i="3"/>
  <c r="T288" i="3"/>
  <c r="O288" i="3"/>
  <c r="J288" i="3"/>
  <c r="E288" i="3"/>
  <c r="BR287" i="3"/>
  <c r="BJ287" i="3"/>
  <c r="BF287" i="3"/>
  <c r="AX287" i="3"/>
  <c r="AQ287" i="3"/>
  <c r="AI287" i="3"/>
  <c r="AD287" i="3"/>
  <c r="Y287" i="3"/>
  <c r="T287" i="3"/>
  <c r="O287" i="3"/>
  <c r="J287" i="3"/>
  <c r="E287" i="3"/>
  <c r="BR286" i="3"/>
  <c r="BJ286" i="3"/>
  <c r="BF286" i="3"/>
  <c r="AX286" i="3"/>
  <c r="AQ286" i="3"/>
  <c r="AI286" i="3"/>
  <c r="AD286" i="3"/>
  <c r="Y286" i="3"/>
  <c r="T286" i="3"/>
  <c r="O286" i="3"/>
  <c r="J286" i="3"/>
  <c r="E286" i="3"/>
  <c r="BR285" i="3"/>
  <c r="BJ285" i="3"/>
  <c r="BF285" i="3"/>
  <c r="AX285" i="3"/>
  <c r="AQ285" i="3"/>
  <c r="AI285" i="3"/>
  <c r="AD285" i="3"/>
  <c r="Y285" i="3"/>
  <c r="T285" i="3"/>
  <c r="O285" i="3"/>
  <c r="J285" i="3"/>
  <c r="E285" i="3"/>
  <c r="BR284" i="3"/>
  <c r="BJ284" i="3"/>
  <c r="BF284" i="3"/>
  <c r="AX284" i="3"/>
  <c r="AQ284" i="3"/>
  <c r="AI284" i="3"/>
  <c r="AD284" i="3"/>
  <c r="Y284" i="3"/>
  <c r="T284" i="3"/>
  <c r="O284" i="3"/>
  <c r="J284" i="3"/>
  <c r="E284" i="3"/>
  <c r="BR283" i="3"/>
  <c r="BJ283" i="3"/>
  <c r="BF283" i="3"/>
  <c r="AX283" i="3"/>
  <c r="AQ283" i="3"/>
  <c r="AI283" i="3"/>
  <c r="AD283" i="3"/>
  <c r="Y283" i="3"/>
  <c r="T283" i="3"/>
  <c r="O283" i="3"/>
  <c r="J283" i="3"/>
  <c r="E283" i="3"/>
  <c r="BR282" i="3"/>
  <c r="BJ282" i="3"/>
  <c r="BF282" i="3"/>
  <c r="AX282" i="3"/>
  <c r="AQ282" i="3"/>
  <c r="AI282" i="3"/>
  <c r="AD282" i="3"/>
  <c r="Y282" i="3"/>
  <c r="T282" i="3"/>
  <c r="O282" i="3"/>
  <c r="J282" i="3"/>
  <c r="E282" i="3"/>
  <c r="BR281" i="3"/>
  <c r="BJ281" i="3"/>
  <c r="BF281" i="3"/>
  <c r="AX281" i="3"/>
  <c r="AQ281" i="3"/>
  <c r="AI281" i="3"/>
  <c r="AD281" i="3"/>
  <c r="Y281" i="3"/>
  <c r="T281" i="3"/>
  <c r="O281" i="3"/>
  <c r="J281" i="3"/>
  <c r="E281" i="3"/>
  <c r="BR280" i="3"/>
  <c r="BJ280" i="3"/>
  <c r="BF280" i="3"/>
  <c r="AX280" i="3"/>
  <c r="AQ280" i="3"/>
  <c r="AI280" i="3"/>
  <c r="AD280" i="3"/>
  <c r="Y280" i="3"/>
  <c r="T280" i="3"/>
  <c r="O280" i="3"/>
  <c r="J280" i="3"/>
  <c r="E280" i="3"/>
  <c r="BR279" i="3"/>
  <c r="BJ279" i="3"/>
  <c r="BF279" i="3"/>
  <c r="AX279" i="3"/>
  <c r="AQ279" i="3"/>
  <c r="AI279" i="3"/>
  <c r="AD279" i="3"/>
  <c r="Y279" i="3"/>
  <c r="T279" i="3"/>
  <c r="O279" i="3"/>
  <c r="J279" i="3"/>
  <c r="E279" i="3"/>
  <c r="BR278" i="3"/>
  <c r="BJ278" i="3"/>
  <c r="BF278" i="3"/>
  <c r="AX278" i="3"/>
  <c r="AQ278" i="3"/>
  <c r="AI278" i="3"/>
  <c r="AD278" i="3"/>
  <c r="Y278" i="3"/>
  <c r="T278" i="3"/>
  <c r="O278" i="3"/>
  <c r="J278" i="3"/>
  <c r="E278" i="3"/>
  <c r="BR277" i="3"/>
  <c r="BJ277" i="3"/>
  <c r="BF277" i="3"/>
  <c r="AX277" i="3"/>
  <c r="AQ277" i="3"/>
  <c r="AI277" i="3"/>
  <c r="AD277" i="3"/>
  <c r="Y277" i="3"/>
  <c r="T277" i="3"/>
  <c r="O277" i="3"/>
  <c r="J277" i="3"/>
  <c r="E277" i="3"/>
  <c r="BR276" i="3"/>
  <c r="BJ276" i="3"/>
  <c r="BF276" i="3"/>
  <c r="AX276" i="3"/>
  <c r="AQ276" i="3"/>
  <c r="AI276" i="3"/>
  <c r="AD276" i="3"/>
  <c r="Y276" i="3"/>
  <c r="T276" i="3"/>
  <c r="O276" i="3"/>
  <c r="J276" i="3"/>
  <c r="E276" i="3"/>
  <c r="BR275" i="3"/>
  <c r="BJ275" i="3"/>
  <c r="BF275" i="3"/>
  <c r="AX275" i="3"/>
  <c r="AQ275" i="3"/>
  <c r="AI275" i="3"/>
  <c r="AD275" i="3"/>
  <c r="Y275" i="3"/>
  <c r="T275" i="3"/>
  <c r="O275" i="3"/>
  <c r="J275" i="3"/>
  <c r="E275" i="3"/>
  <c r="BR274" i="3"/>
  <c r="BJ274" i="3"/>
  <c r="BF274" i="3"/>
  <c r="AX274" i="3"/>
  <c r="AQ274" i="3"/>
  <c r="AI274" i="3"/>
  <c r="AD274" i="3"/>
  <c r="Y274" i="3"/>
  <c r="T274" i="3"/>
  <c r="O274" i="3"/>
  <c r="J274" i="3"/>
  <c r="E274" i="3"/>
  <c r="BR273" i="3"/>
  <c r="BJ273" i="3"/>
  <c r="BF273" i="3"/>
  <c r="AX273" i="3"/>
  <c r="AQ273" i="3"/>
  <c r="AI273" i="3"/>
  <c r="AD273" i="3"/>
  <c r="Y273" i="3"/>
  <c r="T273" i="3"/>
  <c r="O273" i="3"/>
  <c r="J273" i="3"/>
  <c r="E273" i="3"/>
  <c r="BR272" i="3"/>
  <c r="BJ272" i="3"/>
  <c r="BF272" i="3"/>
  <c r="AX272" i="3"/>
  <c r="AQ272" i="3"/>
  <c r="AI272" i="3"/>
  <c r="AD272" i="3"/>
  <c r="Y272" i="3"/>
  <c r="T272" i="3"/>
  <c r="O272" i="3"/>
  <c r="J272" i="3"/>
  <c r="E272" i="3"/>
  <c r="BR271" i="3"/>
  <c r="BJ271" i="3"/>
  <c r="BF271" i="3"/>
  <c r="AX271" i="3"/>
  <c r="AQ271" i="3"/>
  <c r="AI271" i="3"/>
  <c r="AD271" i="3"/>
  <c r="Y271" i="3"/>
  <c r="T271" i="3"/>
  <c r="O271" i="3"/>
  <c r="J271" i="3"/>
  <c r="E271" i="3"/>
  <c r="BR270" i="3"/>
  <c r="BJ270" i="3"/>
  <c r="BF270" i="3"/>
  <c r="AX270" i="3"/>
  <c r="AQ270" i="3"/>
  <c r="AI270" i="3"/>
  <c r="AD270" i="3"/>
  <c r="Y270" i="3"/>
  <c r="T270" i="3"/>
  <c r="O270" i="3"/>
  <c r="J270" i="3"/>
  <c r="E270" i="3"/>
  <c r="BR269" i="3"/>
  <c r="BJ269" i="3"/>
  <c r="BF269" i="3"/>
  <c r="AX269" i="3"/>
  <c r="AQ269" i="3"/>
  <c r="AI269" i="3"/>
  <c r="AD269" i="3"/>
  <c r="Y269" i="3"/>
  <c r="T269" i="3"/>
  <c r="O269" i="3"/>
  <c r="J269" i="3"/>
  <c r="E269" i="3"/>
  <c r="BR268" i="3"/>
  <c r="BJ268" i="3"/>
  <c r="BF268" i="3"/>
  <c r="AX268" i="3"/>
  <c r="AQ268" i="3"/>
  <c r="AI268" i="3"/>
  <c r="AD268" i="3"/>
  <c r="Y268" i="3"/>
  <c r="T268" i="3"/>
  <c r="O268" i="3"/>
  <c r="J268" i="3"/>
  <c r="E268" i="3"/>
  <c r="BR267" i="3"/>
  <c r="BJ267" i="3"/>
  <c r="BF267" i="3"/>
  <c r="AX267" i="3"/>
  <c r="AQ267" i="3"/>
  <c r="AI267" i="3"/>
  <c r="AD267" i="3"/>
  <c r="Y267" i="3"/>
  <c r="T267" i="3"/>
  <c r="O267" i="3"/>
  <c r="J267" i="3"/>
  <c r="E267" i="3"/>
  <c r="BR266" i="3"/>
  <c r="BJ266" i="3"/>
  <c r="BF266" i="3"/>
  <c r="AX266" i="3"/>
  <c r="AQ266" i="3"/>
  <c r="AI266" i="3"/>
  <c r="AD266" i="3"/>
  <c r="Y266" i="3"/>
  <c r="T266" i="3"/>
  <c r="O266" i="3"/>
  <c r="J266" i="3"/>
  <c r="E266" i="3"/>
  <c r="BR265" i="3"/>
  <c r="BJ265" i="3"/>
  <c r="BF265" i="3"/>
  <c r="AX265" i="3"/>
  <c r="AQ265" i="3"/>
  <c r="AI265" i="3"/>
  <c r="AD265" i="3"/>
  <c r="Y265" i="3"/>
  <c r="T265" i="3"/>
  <c r="O265" i="3"/>
  <c r="J265" i="3"/>
  <c r="E265" i="3"/>
  <c r="BR264" i="3"/>
  <c r="BJ264" i="3"/>
  <c r="BF264" i="3"/>
  <c r="AX264" i="3"/>
  <c r="AQ264" i="3"/>
  <c r="AI264" i="3"/>
  <c r="AD264" i="3"/>
  <c r="Y264" i="3"/>
  <c r="T264" i="3"/>
  <c r="O264" i="3"/>
  <c r="J264" i="3"/>
  <c r="E264" i="3"/>
  <c r="BR263" i="3"/>
  <c r="BJ263" i="3"/>
  <c r="BF263" i="3"/>
  <c r="AX263" i="3"/>
  <c r="AQ263" i="3"/>
  <c r="AI263" i="3"/>
  <c r="AD263" i="3"/>
  <c r="Y263" i="3"/>
  <c r="T263" i="3"/>
  <c r="O263" i="3"/>
  <c r="J263" i="3"/>
  <c r="E263" i="3"/>
  <c r="BR262" i="3"/>
  <c r="BJ262" i="3"/>
  <c r="BF262" i="3"/>
  <c r="AX262" i="3"/>
  <c r="AQ262" i="3"/>
  <c r="AI262" i="3"/>
  <c r="AD262" i="3"/>
  <c r="Y262" i="3"/>
  <c r="T262" i="3"/>
  <c r="O262" i="3"/>
  <c r="J262" i="3"/>
  <c r="E262" i="3"/>
  <c r="BR261" i="3"/>
  <c r="BJ261" i="3"/>
  <c r="BF261" i="3"/>
  <c r="AX261" i="3"/>
  <c r="AQ261" i="3"/>
  <c r="AI261" i="3"/>
  <c r="AD261" i="3"/>
  <c r="Y261" i="3"/>
  <c r="T261" i="3"/>
  <c r="O261" i="3"/>
  <c r="J261" i="3"/>
  <c r="E261" i="3"/>
  <c r="BR260" i="3"/>
  <c r="BJ260" i="3"/>
  <c r="BF260" i="3"/>
  <c r="AX260" i="3"/>
  <c r="AQ260" i="3"/>
  <c r="AI260" i="3"/>
  <c r="AD260" i="3"/>
  <c r="Y260" i="3"/>
  <c r="T260" i="3"/>
  <c r="O260" i="3"/>
  <c r="J260" i="3"/>
  <c r="E260" i="3"/>
  <c r="BR259" i="3"/>
  <c r="BJ259" i="3"/>
  <c r="BF259" i="3"/>
  <c r="AX259" i="3"/>
  <c r="AQ259" i="3"/>
  <c r="AI259" i="3"/>
  <c r="AD259" i="3"/>
  <c r="Y259" i="3"/>
  <c r="T259" i="3"/>
  <c r="O259" i="3"/>
  <c r="J259" i="3"/>
  <c r="E259" i="3"/>
  <c r="BR258" i="3"/>
  <c r="BJ258" i="3"/>
  <c r="BF258" i="3"/>
  <c r="AX258" i="3"/>
  <c r="AQ258" i="3"/>
  <c r="AI258" i="3"/>
  <c r="AD258" i="3"/>
  <c r="Y258" i="3"/>
  <c r="T258" i="3"/>
  <c r="O258" i="3"/>
  <c r="J258" i="3"/>
  <c r="E258" i="3"/>
  <c r="BR257" i="3"/>
  <c r="BJ257" i="3"/>
  <c r="BF257" i="3"/>
  <c r="AX257" i="3"/>
  <c r="AQ257" i="3"/>
  <c r="AI257" i="3"/>
  <c r="AD257" i="3"/>
  <c r="Y257" i="3"/>
  <c r="T257" i="3"/>
  <c r="O257" i="3"/>
  <c r="J257" i="3"/>
  <c r="E257" i="3"/>
  <c r="BR256" i="3"/>
  <c r="BJ256" i="3"/>
  <c r="BF256" i="3"/>
  <c r="AX256" i="3"/>
  <c r="AQ256" i="3"/>
  <c r="AI256" i="3"/>
  <c r="AD256" i="3"/>
  <c r="Y256" i="3"/>
  <c r="T256" i="3"/>
  <c r="O256" i="3"/>
  <c r="J256" i="3"/>
  <c r="E256" i="3"/>
  <c r="BR255" i="3"/>
  <c r="BJ255" i="3"/>
  <c r="BF255" i="3"/>
  <c r="AX255" i="3"/>
  <c r="AQ255" i="3"/>
  <c r="AI255" i="3"/>
  <c r="AD255" i="3"/>
  <c r="Y255" i="3"/>
  <c r="T255" i="3"/>
  <c r="O255" i="3"/>
  <c r="J255" i="3"/>
  <c r="E255" i="3"/>
  <c r="BR254" i="3"/>
  <c r="BJ254" i="3"/>
  <c r="BF254" i="3"/>
  <c r="AX254" i="3"/>
  <c r="AQ254" i="3"/>
  <c r="AI254" i="3"/>
  <c r="AD254" i="3"/>
  <c r="Y254" i="3"/>
  <c r="T254" i="3"/>
  <c r="O254" i="3"/>
  <c r="J254" i="3"/>
  <c r="E254" i="3"/>
  <c r="BR253" i="3"/>
  <c r="BJ253" i="3"/>
  <c r="BF253" i="3"/>
  <c r="AX253" i="3"/>
  <c r="AQ253" i="3"/>
  <c r="AI253" i="3"/>
  <c r="AD253" i="3"/>
  <c r="Y253" i="3"/>
  <c r="T253" i="3"/>
  <c r="O253" i="3"/>
  <c r="J253" i="3"/>
  <c r="E253" i="3"/>
  <c r="BR252" i="3"/>
  <c r="BJ252" i="3"/>
  <c r="BF252" i="3"/>
  <c r="AX252" i="3"/>
  <c r="AQ252" i="3"/>
  <c r="AI252" i="3"/>
  <c r="AD252" i="3"/>
  <c r="Y252" i="3"/>
  <c r="T252" i="3"/>
  <c r="O252" i="3"/>
  <c r="J252" i="3"/>
  <c r="E252" i="3"/>
  <c r="BR251" i="3"/>
  <c r="BJ251" i="3"/>
  <c r="BF251" i="3"/>
  <c r="AX251" i="3"/>
  <c r="AQ251" i="3"/>
  <c r="AI251" i="3"/>
  <c r="AD251" i="3"/>
  <c r="Y251" i="3"/>
  <c r="T251" i="3"/>
  <c r="O251" i="3"/>
  <c r="J251" i="3"/>
  <c r="E251" i="3"/>
  <c r="BR250" i="3"/>
  <c r="BJ250" i="3"/>
  <c r="BF250" i="3"/>
  <c r="AX250" i="3"/>
  <c r="AQ250" i="3"/>
  <c r="AI250" i="3"/>
  <c r="AD250" i="3"/>
  <c r="Y250" i="3"/>
  <c r="T250" i="3"/>
  <c r="O250" i="3"/>
  <c r="J250" i="3"/>
  <c r="E250" i="3"/>
  <c r="BR249" i="3"/>
  <c r="BJ249" i="3"/>
  <c r="BF249" i="3"/>
  <c r="AX249" i="3"/>
  <c r="AQ249" i="3"/>
  <c r="AI249" i="3"/>
  <c r="AD249" i="3"/>
  <c r="Y249" i="3"/>
  <c r="T249" i="3"/>
  <c r="O249" i="3"/>
  <c r="J249" i="3"/>
  <c r="E249" i="3"/>
  <c r="BR248" i="3"/>
  <c r="BJ248" i="3"/>
  <c r="BF248" i="3"/>
  <c r="AX248" i="3"/>
  <c r="AQ248" i="3"/>
  <c r="AI248" i="3"/>
  <c r="AD248" i="3"/>
  <c r="Y248" i="3"/>
  <c r="T248" i="3"/>
  <c r="O248" i="3"/>
  <c r="J248" i="3"/>
  <c r="E248" i="3"/>
  <c r="BR247" i="3"/>
  <c r="BJ247" i="3"/>
  <c r="BF247" i="3"/>
  <c r="AX247" i="3"/>
  <c r="AQ247" i="3"/>
  <c r="AI247" i="3"/>
  <c r="AD247" i="3"/>
  <c r="Y247" i="3"/>
  <c r="T247" i="3"/>
  <c r="O247" i="3"/>
  <c r="J247" i="3"/>
  <c r="E247" i="3"/>
  <c r="BR246" i="3"/>
  <c r="BJ246" i="3"/>
  <c r="BF246" i="3"/>
  <c r="AX246" i="3"/>
  <c r="AQ246" i="3"/>
  <c r="AI246" i="3"/>
  <c r="AD246" i="3"/>
  <c r="Y246" i="3"/>
  <c r="T246" i="3"/>
  <c r="O246" i="3"/>
  <c r="J246" i="3"/>
  <c r="E246" i="3"/>
  <c r="BR245" i="3"/>
  <c r="BJ245" i="3"/>
  <c r="BF245" i="3"/>
  <c r="AX245" i="3"/>
  <c r="AQ245" i="3"/>
  <c r="AI245" i="3"/>
  <c r="AD245" i="3"/>
  <c r="Y245" i="3"/>
  <c r="T245" i="3"/>
  <c r="O245" i="3"/>
  <c r="J245" i="3"/>
  <c r="E245" i="3"/>
  <c r="BR244" i="3"/>
  <c r="BJ244" i="3"/>
  <c r="BF244" i="3"/>
  <c r="AX244" i="3"/>
  <c r="AQ244" i="3"/>
  <c r="AI244" i="3"/>
  <c r="AD244" i="3"/>
  <c r="Y244" i="3"/>
  <c r="T244" i="3"/>
  <c r="O244" i="3"/>
  <c r="J244" i="3"/>
  <c r="E244" i="3"/>
  <c r="BR243" i="3"/>
  <c r="BJ243" i="3"/>
  <c r="BF243" i="3"/>
  <c r="AX243" i="3"/>
  <c r="AQ243" i="3"/>
  <c r="AI243" i="3"/>
  <c r="AD243" i="3"/>
  <c r="Y243" i="3"/>
  <c r="T243" i="3"/>
  <c r="O243" i="3"/>
  <c r="J243" i="3"/>
  <c r="E243" i="3"/>
  <c r="BR242" i="3"/>
  <c r="BJ242" i="3"/>
  <c r="BF242" i="3"/>
  <c r="AX242" i="3"/>
  <c r="AQ242" i="3"/>
  <c r="AI242" i="3"/>
  <c r="AD242" i="3"/>
  <c r="Y242" i="3"/>
  <c r="T242" i="3"/>
  <c r="O242" i="3"/>
  <c r="J242" i="3"/>
  <c r="E242" i="3"/>
  <c r="BR241" i="3"/>
  <c r="BJ241" i="3"/>
  <c r="BF241" i="3"/>
  <c r="AX241" i="3"/>
  <c r="AQ241" i="3"/>
  <c r="AI241" i="3"/>
  <c r="AD241" i="3"/>
  <c r="Y241" i="3"/>
  <c r="T241" i="3"/>
  <c r="O241" i="3"/>
  <c r="J241" i="3"/>
  <c r="E241" i="3"/>
  <c r="BR240" i="3"/>
  <c r="BJ240" i="3"/>
  <c r="BF240" i="3"/>
  <c r="AX240" i="3"/>
  <c r="AQ240" i="3"/>
  <c r="AI240" i="3"/>
  <c r="AD240" i="3"/>
  <c r="Y240" i="3"/>
  <c r="T240" i="3"/>
  <c r="O240" i="3"/>
  <c r="J240" i="3"/>
  <c r="E240" i="3"/>
  <c r="BR239" i="3"/>
  <c r="BJ239" i="3"/>
  <c r="BF239" i="3"/>
  <c r="AX239" i="3"/>
  <c r="AQ239" i="3"/>
  <c r="AI239" i="3"/>
  <c r="AD239" i="3"/>
  <c r="Y239" i="3"/>
  <c r="T239" i="3"/>
  <c r="O239" i="3"/>
  <c r="J239" i="3"/>
  <c r="E239" i="3"/>
  <c r="BR238" i="3"/>
  <c r="BJ238" i="3"/>
  <c r="BF238" i="3"/>
  <c r="AX238" i="3"/>
  <c r="AQ238" i="3"/>
  <c r="AI238" i="3"/>
  <c r="AD238" i="3"/>
  <c r="Y238" i="3"/>
  <c r="T238" i="3"/>
  <c r="O238" i="3"/>
  <c r="J238" i="3"/>
  <c r="E238" i="3"/>
  <c r="BR237" i="3"/>
  <c r="BJ237" i="3"/>
  <c r="BF237" i="3"/>
  <c r="AX237" i="3"/>
  <c r="AQ237" i="3"/>
  <c r="AI237" i="3"/>
  <c r="AD237" i="3"/>
  <c r="Y237" i="3"/>
  <c r="T237" i="3"/>
  <c r="O237" i="3"/>
  <c r="J237" i="3"/>
  <c r="E237" i="3"/>
  <c r="BR236" i="3"/>
  <c r="BJ236" i="3"/>
  <c r="BF236" i="3"/>
  <c r="AX236" i="3"/>
  <c r="AQ236" i="3"/>
  <c r="AI236" i="3"/>
  <c r="AD236" i="3"/>
  <c r="Y236" i="3"/>
  <c r="T236" i="3"/>
  <c r="O236" i="3"/>
  <c r="J236" i="3"/>
  <c r="E236" i="3"/>
  <c r="BR235" i="3"/>
  <c r="BJ235" i="3"/>
  <c r="BF235" i="3"/>
  <c r="AX235" i="3"/>
  <c r="AQ235" i="3"/>
  <c r="AI235" i="3"/>
  <c r="AD235" i="3"/>
  <c r="Y235" i="3"/>
  <c r="T235" i="3"/>
  <c r="O235" i="3"/>
  <c r="J235" i="3"/>
  <c r="E235" i="3"/>
  <c r="BR234" i="3"/>
  <c r="BJ234" i="3"/>
  <c r="BF234" i="3"/>
  <c r="AX234" i="3"/>
  <c r="AQ234" i="3"/>
  <c r="AI234" i="3"/>
  <c r="AD234" i="3"/>
  <c r="Y234" i="3"/>
  <c r="T234" i="3"/>
  <c r="O234" i="3"/>
  <c r="J234" i="3"/>
  <c r="E234" i="3"/>
  <c r="BR233" i="3"/>
  <c r="BJ233" i="3"/>
  <c r="BF233" i="3"/>
  <c r="AX233" i="3"/>
  <c r="AQ233" i="3"/>
  <c r="AI233" i="3"/>
  <c r="AD233" i="3"/>
  <c r="Y233" i="3"/>
  <c r="T233" i="3"/>
  <c r="O233" i="3"/>
  <c r="J233" i="3"/>
  <c r="E233" i="3"/>
  <c r="BR232" i="3"/>
  <c r="BJ232" i="3"/>
  <c r="BF232" i="3"/>
  <c r="AX232" i="3"/>
  <c r="AQ232" i="3"/>
  <c r="AI232" i="3"/>
  <c r="AD232" i="3"/>
  <c r="Y232" i="3"/>
  <c r="T232" i="3"/>
  <c r="O232" i="3"/>
  <c r="J232" i="3"/>
  <c r="E232" i="3"/>
  <c r="BR231" i="3"/>
  <c r="BJ231" i="3"/>
  <c r="BF231" i="3"/>
  <c r="AX231" i="3"/>
  <c r="AQ231" i="3"/>
  <c r="AI231" i="3"/>
  <c r="AD231" i="3"/>
  <c r="Y231" i="3"/>
  <c r="T231" i="3"/>
  <c r="O231" i="3"/>
  <c r="J231" i="3"/>
  <c r="E231" i="3"/>
  <c r="BR230" i="3"/>
  <c r="BJ230" i="3"/>
  <c r="BF230" i="3"/>
  <c r="AX230" i="3"/>
  <c r="AQ230" i="3"/>
  <c r="AI230" i="3"/>
  <c r="AD230" i="3"/>
  <c r="Y230" i="3"/>
  <c r="T230" i="3"/>
  <c r="O230" i="3"/>
  <c r="J230" i="3"/>
  <c r="E230" i="3"/>
  <c r="BR229" i="3"/>
  <c r="BJ229" i="3"/>
  <c r="BF229" i="3"/>
  <c r="AX229" i="3"/>
  <c r="AQ229" i="3"/>
  <c r="AI229" i="3"/>
  <c r="AD229" i="3"/>
  <c r="Y229" i="3"/>
  <c r="T229" i="3"/>
  <c r="O229" i="3"/>
  <c r="J229" i="3"/>
  <c r="E229" i="3"/>
  <c r="BR228" i="3"/>
  <c r="BJ228" i="3"/>
  <c r="BF228" i="3"/>
  <c r="AX228" i="3"/>
  <c r="AQ228" i="3"/>
  <c r="AI228" i="3"/>
  <c r="AD228" i="3"/>
  <c r="Y228" i="3"/>
  <c r="T228" i="3"/>
  <c r="O228" i="3"/>
  <c r="J228" i="3"/>
  <c r="E228" i="3"/>
  <c r="BR227" i="3"/>
  <c r="BJ227" i="3"/>
  <c r="BF227" i="3"/>
  <c r="AX227" i="3"/>
  <c r="AQ227" i="3"/>
  <c r="AI227" i="3"/>
  <c r="AD227" i="3"/>
  <c r="Y227" i="3"/>
  <c r="T227" i="3"/>
  <c r="O227" i="3"/>
  <c r="J227" i="3"/>
  <c r="E227" i="3"/>
  <c r="BR226" i="3"/>
  <c r="BJ226" i="3"/>
  <c r="BF226" i="3"/>
  <c r="AX226" i="3"/>
  <c r="AQ226" i="3"/>
  <c r="AI226" i="3"/>
  <c r="AD226" i="3"/>
  <c r="Y226" i="3"/>
  <c r="T226" i="3"/>
  <c r="O226" i="3"/>
  <c r="J226" i="3"/>
  <c r="E226" i="3"/>
  <c r="BR225" i="3"/>
  <c r="BJ225" i="3"/>
  <c r="BF225" i="3"/>
  <c r="AX225" i="3"/>
  <c r="AQ225" i="3"/>
  <c r="AI225" i="3"/>
  <c r="AD225" i="3"/>
  <c r="Y225" i="3"/>
  <c r="T225" i="3"/>
  <c r="O225" i="3"/>
  <c r="J225" i="3"/>
  <c r="E225" i="3"/>
  <c r="BR224" i="3"/>
  <c r="BJ224" i="3"/>
  <c r="BF224" i="3"/>
  <c r="AX224" i="3"/>
  <c r="AQ224" i="3"/>
  <c r="AI224" i="3"/>
  <c r="AD224" i="3"/>
  <c r="Y224" i="3"/>
  <c r="T224" i="3"/>
  <c r="O224" i="3"/>
  <c r="J224" i="3"/>
  <c r="E224" i="3"/>
  <c r="BR223" i="3"/>
  <c r="BJ223" i="3"/>
  <c r="BF223" i="3"/>
  <c r="AX223" i="3"/>
  <c r="AQ223" i="3"/>
  <c r="AI223" i="3"/>
  <c r="AD223" i="3"/>
  <c r="Y223" i="3"/>
  <c r="T223" i="3"/>
  <c r="O223" i="3"/>
  <c r="J223" i="3"/>
  <c r="E223" i="3"/>
  <c r="BR222" i="3"/>
  <c r="BJ222" i="3"/>
  <c r="BF222" i="3"/>
  <c r="AX222" i="3"/>
  <c r="AQ222" i="3"/>
  <c r="AI222" i="3"/>
  <c r="AD222" i="3"/>
  <c r="Y222" i="3"/>
  <c r="T222" i="3"/>
  <c r="O222" i="3"/>
  <c r="J222" i="3"/>
  <c r="E222" i="3"/>
  <c r="BR221" i="3"/>
  <c r="BJ221" i="3"/>
  <c r="BF221" i="3"/>
  <c r="AX221" i="3"/>
  <c r="AQ221" i="3"/>
  <c r="AI221" i="3"/>
  <c r="AD221" i="3"/>
  <c r="Y221" i="3"/>
  <c r="T221" i="3"/>
  <c r="O221" i="3"/>
  <c r="J221" i="3"/>
  <c r="E221" i="3"/>
  <c r="BR220" i="3"/>
  <c r="BJ220" i="3"/>
  <c r="BF220" i="3"/>
  <c r="AX220" i="3"/>
  <c r="AQ220" i="3"/>
  <c r="AI220" i="3"/>
  <c r="AD220" i="3"/>
  <c r="Y220" i="3"/>
  <c r="T220" i="3"/>
  <c r="O220" i="3"/>
  <c r="J220" i="3"/>
  <c r="E220" i="3"/>
  <c r="BR219" i="3"/>
  <c r="BJ219" i="3"/>
  <c r="BF219" i="3"/>
  <c r="AX219" i="3"/>
  <c r="AQ219" i="3"/>
  <c r="AI219" i="3"/>
  <c r="AD219" i="3"/>
  <c r="Y219" i="3"/>
  <c r="T219" i="3"/>
  <c r="O219" i="3"/>
  <c r="J219" i="3"/>
  <c r="E219" i="3"/>
  <c r="BR218" i="3"/>
  <c r="BJ218" i="3"/>
  <c r="BF218" i="3"/>
  <c r="AX218" i="3"/>
  <c r="AQ218" i="3"/>
  <c r="AI218" i="3"/>
  <c r="AD218" i="3"/>
  <c r="Y218" i="3"/>
  <c r="T218" i="3"/>
  <c r="O218" i="3"/>
  <c r="J218" i="3"/>
  <c r="E218" i="3"/>
  <c r="BR217" i="3"/>
  <c r="BJ217" i="3"/>
  <c r="BF217" i="3"/>
  <c r="AX217" i="3"/>
  <c r="AQ217" i="3"/>
  <c r="AI217" i="3"/>
  <c r="AD217" i="3"/>
  <c r="Y217" i="3"/>
  <c r="T217" i="3"/>
  <c r="O217" i="3"/>
  <c r="J217" i="3"/>
  <c r="E217" i="3"/>
  <c r="BR216" i="3"/>
  <c r="BJ216" i="3"/>
  <c r="BF216" i="3"/>
  <c r="AX216" i="3"/>
  <c r="AQ216" i="3"/>
  <c r="AI216" i="3"/>
  <c r="AD216" i="3"/>
  <c r="Y216" i="3"/>
  <c r="T216" i="3"/>
  <c r="O216" i="3"/>
  <c r="J216" i="3"/>
  <c r="E216" i="3"/>
  <c r="BR215" i="3"/>
  <c r="BJ215" i="3"/>
  <c r="BF215" i="3"/>
  <c r="AX215" i="3"/>
  <c r="AQ215" i="3"/>
  <c r="AI215" i="3"/>
  <c r="AD215" i="3"/>
  <c r="Y215" i="3"/>
  <c r="T215" i="3"/>
  <c r="O215" i="3"/>
  <c r="J215" i="3"/>
  <c r="E215" i="3"/>
  <c r="BR214" i="3"/>
  <c r="BJ214" i="3"/>
  <c r="BF214" i="3"/>
  <c r="AX214" i="3"/>
  <c r="AQ214" i="3"/>
  <c r="AI214" i="3"/>
  <c r="AD214" i="3"/>
  <c r="Y214" i="3"/>
  <c r="T214" i="3"/>
  <c r="O214" i="3"/>
  <c r="J214" i="3"/>
  <c r="E214" i="3"/>
  <c r="BR213" i="3"/>
  <c r="BJ213" i="3"/>
  <c r="BF213" i="3"/>
  <c r="AX213" i="3"/>
  <c r="AQ213" i="3"/>
  <c r="AI213" i="3"/>
  <c r="AD213" i="3"/>
  <c r="Y213" i="3"/>
  <c r="T213" i="3"/>
  <c r="O213" i="3"/>
  <c r="J213" i="3"/>
  <c r="E213" i="3"/>
  <c r="BR212" i="3"/>
  <c r="BJ212" i="3"/>
  <c r="BF212" i="3"/>
  <c r="AX212" i="3"/>
  <c r="AQ212" i="3"/>
  <c r="AI212" i="3"/>
  <c r="AD212" i="3"/>
  <c r="Y212" i="3"/>
  <c r="T212" i="3"/>
  <c r="O212" i="3"/>
  <c r="J212" i="3"/>
  <c r="E212" i="3"/>
  <c r="BR211" i="3"/>
  <c r="BJ211" i="3"/>
  <c r="BF211" i="3"/>
  <c r="AX211" i="3"/>
  <c r="AQ211" i="3"/>
  <c r="AI211" i="3"/>
  <c r="AD211" i="3"/>
  <c r="Y211" i="3"/>
  <c r="T211" i="3"/>
  <c r="O211" i="3"/>
  <c r="J211" i="3"/>
  <c r="E211" i="3"/>
  <c r="BR210" i="3"/>
  <c r="BJ210" i="3"/>
  <c r="BF210" i="3"/>
  <c r="AX210" i="3"/>
  <c r="AQ210" i="3"/>
  <c r="AI210" i="3"/>
  <c r="AD210" i="3"/>
  <c r="Y210" i="3"/>
  <c r="T210" i="3"/>
  <c r="O210" i="3"/>
  <c r="J210" i="3"/>
  <c r="E210" i="3"/>
  <c r="BR209" i="3"/>
  <c r="BJ209" i="3"/>
  <c r="BF209" i="3"/>
  <c r="AX209" i="3"/>
  <c r="AQ209" i="3"/>
  <c r="AI209" i="3"/>
  <c r="AD209" i="3"/>
  <c r="Y209" i="3"/>
  <c r="T209" i="3"/>
  <c r="O209" i="3"/>
  <c r="J209" i="3"/>
  <c r="E209" i="3"/>
  <c r="BR208" i="3"/>
  <c r="BJ208" i="3"/>
  <c r="BF208" i="3"/>
  <c r="AX208" i="3"/>
  <c r="AQ208" i="3"/>
  <c r="AI208" i="3"/>
  <c r="AD208" i="3"/>
  <c r="Y208" i="3"/>
  <c r="T208" i="3"/>
  <c r="O208" i="3"/>
  <c r="J208" i="3"/>
  <c r="E208" i="3"/>
  <c r="BR207" i="3"/>
  <c r="BJ207" i="3"/>
  <c r="BF207" i="3"/>
  <c r="AX207" i="3"/>
  <c r="AQ207" i="3"/>
  <c r="AI207" i="3"/>
  <c r="AD207" i="3"/>
  <c r="Y207" i="3"/>
  <c r="T207" i="3"/>
  <c r="O207" i="3"/>
  <c r="J207" i="3"/>
  <c r="E207" i="3"/>
  <c r="BR206" i="3"/>
  <c r="BJ206" i="3"/>
  <c r="BF206" i="3"/>
  <c r="AX206" i="3"/>
  <c r="AQ206" i="3"/>
  <c r="AI206" i="3"/>
  <c r="AD206" i="3"/>
  <c r="Y206" i="3"/>
  <c r="T206" i="3"/>
  <c r="O206" i="3"/>
  <c r="J206" i="3"/>
  <c r="E206" i="3"/>
  <c r="BR205" i="3"/>
  <c r="BJ205" i="3"/>
  <c r="BF205" i="3"/>
  <c r="AX205" i="3"/>
  <c r="AQ205" i="3"/>
  <c r="AI205" i="3"/>
  <c r="AD205" i="3"/>
  <c r="Y205" i="3"/>
  <c r="T205" i="3"/>
  <c r="O205" i="3"/>
  <c r="J205" i="3"/>
  <c r="E205" i="3"/>
  <c r="BR204" i="3"/>
  <c r="BJ204" i="3"/>
  <c r="BF204" i="3"/>
  <c r="AX204" i="3"/>
  <c r="AQ204" i="3"/>
  <c r="AI204" i="3"/>
  <c r="AD204" i="3"/>
  <c r="Y204" i="3"/>
  <c r="T204" i="3"/>
  <c r="O204" i="3"/>
  <c r="J204" i="3"/>
  <c r="E204" i="3"/>
  <c r="BR203" i="3"/>
  <c r="BJ203" i="3"/>
  <c r="BF203" i="3"/>
  <c r="AX203" i="3"/>
  <c r="AQ203" i="3"/>
  <c r="AI203" i="3"/>
  <c r="AD203" i="3"/>
  <c r="Y203" i="3"/>
  <c r="T203" i="3"/>
  <c r="O203" i="3"/>
  <c r="J203" i="3"/>
  <c r="E203" i="3"/>
  <c r="BR202" i="3"/>
  <c r="BJ202" i="3"/>
  <c r="BF202" i="3"/>
  <c r="AX202" i="3"/>
  <c r="AQ202" i="3"/>
  <c r="AI202" i="3"/>
  <c r="AD202" i="3"/>
  <c r="Y202" i="3"/>
  <c r="T202" i="3"/>
  <c r="O202" i="3"/>
  <c r="J202" i="3"/>
  <c r="E202" i="3"/>
  <c r="BR201" i="3"/>
  <c r="BJ201" i="3"/>
  <c r="BF201" i="3"/>
  <c r="AX201" i="3"/>
  <c r="AQ201" i="3"/>
  <c r="AI201" i="3"/>
  <c r="AD201" i="3"/>
  <c r="Y201" i="3"/>
  <c r="T201" i="3"/>
  <c r="O201" i="3"/>
  <c r="J201" i="3"/>
  <c r="E201" i="3"/>
  <c r="BR200" i="3"/>
  <c r="BJ200" i="3"/>
  <c r="BF200" i="3"/>
  <c r="AX200" i="3"/>
  <c r="AQ200" i="3"/>
  <c r="AI200" i="3"/>
  <c r="AD200" i="3"/>
  <c r="Y200" i="3"/>
  <c r="T200" i="3"/>
  <c r="O200" i="3"/>
  <c r="J200" i="3"/>
  <c r="E200" i="3"/>
  <c r="BR199" i="3"/>
  <c r="BJ199" i="3"/>
  <c r="BF199" i="3"/>
  <c r="AX199" i="3"/>
  <c r="AQ199" i="3"/>
  <c r="AI199" i="3"/>
  <c r="AD199" i="3"/>
  <c r="Y199" i="3"/>
  <c r="T199" i="3"/>
  <c r="O199" i="3"/>
  <c r="J199" i="3"/>
  <c r="E199" i="3"/>
  <c r="BR198" i="3"/>
  <c r="BJ198" i="3"/>
  <c r="BF198" i="3"/>
  <c r="AX198" i="3"/>
  <c r="AQ198" i="3"/>
  <c r="AI198" i="3"/>
  <c r="AD198" i="3"/>
  <c r="Y198" i="3"/>
  <c r="T198" i="3"/>
  <c r="O198" i="3"/>
  <c r="J198" i="3"/>
  <c r="E198" i="3"/>
  <c r="BR197" i="3"/>
  <c r="BJ197" i="3"/>
  <c r="BF197" i="3"/>
  <c r="AX197" i="3"/>
  <c r="AQ197" i="3"/>
  <c r="AI197" i="3"/>
  <c r="AD197" i="3"/>
  <c r="Y197" i="3"/>
  <c r="T197" i="3"/>
  <c r="O197" i="3"/>
  <c r="J197" i="3"/>
  <c r="E197" i="3"/>
  <c r="BR196" i="3"/>
  <c r="BJ196" i="3"/>
  <c r="BF196" i="3"/>
  <c r="AX196" i="3"/>
  <c r="AQ196" i="3"/>
  <c r="AI196" i="3"/>
  <c r="AD196" i="3"/>
  <c r="Y196" i="3"/>
  <c r="T196" i="3"/>
  <c r="O196" i="3"/>
  <c r="J196" i="3"/>
  <c r="E196" i="3"/>
  <c r="BR195" i="3"/>
  <c r="BJ195" i="3"/>
  <c r="BF195" i="3"/>
  <c r="AX195" i="3"/>
  <c r="AQ195" i="3"/>
  <c r="AI195" i="3"/>
  <c r="AD195" i="3"/>
  <c r="Y195" i="3"/>
  <c r="T195" i="3"/>
  <c r="O195" i="3"/>
  <c r="J195" i="3"/>
  <c r="E195" i="3"/>
  <c r="BR194" i="3"/>
  <c r="BJ194" i="3"/>
  <c r="BF194" i="3"/>
  <c r="AX194" i="3"/>
  <c r="AQ194" i="3"/>
  <c r="AI194" i="3"/>
  <c r="AD194" i="3"/>
  <c r="Y194" i="3"/>
  <c r="T194" i="3"/>
  <c r="O194" i="3"/>
  <c r="J194" i="3"/>
  <c r="E194" i="3"/>
  <c r="BR193" i="3"/>
  <c r="BJ193" i="3"/>
  <c r="BF193" i="3"/>
  <c r="AX193" i="3"/>
  <c r="AQ193" i="3"/>
  <c r="AI193" i="3"/>
  <c r="AD193" i="3"/>
  <c r="Y193" i="3"/>
  <c r="T193" i="3"/>
  <c r="O193" i="3"/>
  <c r="J193" i="3"/>
  <c r="E193" i="3"/>
  <c r="BR192" i="3"/>
  <c r="BJ192" i="3"/>
  <c r="BF192" i="3"/>
  <c r="AX192" i="3"/>
  <c r="AQ192" i="3"/>
  <c r="AI192" i="3"/>
  <c r="AD192" i="3"/>
  <c r="Y192" i="3"/>
  <c r="T192" i="3"/>
  <c r="O192" i="3"/>
  <c r="J192" i="3"/>
  <c r="E192" i="3"/>
  <c r="BR191" i="3"/>
  <c r="BJ191" i="3"/>
  <c r="BF191" i="3"/>
  <c r="AX191" i="3"/>
  <c r="AQ191" i="3"/>
  <c r="AI191" i="3"/>
  <c r="AD191" i="3"/>
  <c r="Y191" i="3"/>
  <c r="T191" i="3"/>
  <c r="O191" i="3"/>
  <c r="J191" i="3"/>
  <c r="E191" i="3"/>
  <c r="BR190" i="3"/>
  <c r="BJ190" i="3"/>
  <c r="BF190" i="3"/>
  <c r="AX190" i="3"/>
  <c r="AQ190" i="3"/>
  <c r="AI190" i="3"/>
  <c r="AD190" i="3"/>
  <c r="Y190" i="3"/>
  <c r="T190" i="3"/>
  <c r="O190" i="3"/>
  <c r="J190" i="3"/>
  <c r="E190" i="3"/>
  <c r="BR189" i="3"/>
  <c r="BJ189" i="3"/>
  <c r="BF189" i="3"/>
  <c r="AX189" i="3"/>
  <c r="AQ189" i="3"/>
  <c r="AI189" i="3"/>
  <c r="AD189" i="3"/>
  <c r="Y189" i="3"/>
  <c r="T189" i="3"/>
  <c r="O189" i="3"/>
  <c r="J189" i="3"/>
  <c r="E189" i="3"/>
  <c r="BR188" i="3"/>
  <c r="BJ188" i="3"/>
  <c r="BF188" i="3"/>
  <c r="AX188" i="3"/>
  <c r="AQ188" i="3"/>
  <c r="AI188" i="3"/>
  <c r="AD188" i="3"/>
  <c r="Y188" i="3"/>
  <c r="T188" i="3"/>
  <c r="O188" i="3"/>
  <c r="J188" i="3"/>
  <c r="E188" i="3"/>
  <c r="BR187" i="3"/>
  <c r="BJ187" i="3"/>
  <c r="BF187" i="3"/>
  <c r="AX187" i="3"/>
  <c r="AQ187" i="3"/>
  <c r="AI187" i="3"/>
  <c r="AD187" i="3"/>
  <c r="Y187" i="3"/>
  <c r="T187" i="3"/>
  <c r="O187" i="3"/>
  <c r="J187" i="3"/>
  <c r="E187" i="3"/>
  <c r="BR186" i="3"/>
  <c r="BJ186" i="3"/>
  <c r="BF186" i="3"/>
  <c r="AX186" i="3"/>
  <c r="AQ186" i="3"/>
  <c r="AI186" i="3"/>
  <c r="AD186" i="3"/>
  <c r="Y186" i="3"/>
  <c r="T186" i="3"/>
  <c r="O186" i="3"/>
  <c r="J186" i="3"/>
  <c r="E186" i="3"/>
  <c r="BR185" i="3"/>
  <c r="BJ185" i="3"/>
  <c r="BF185" i="3"/>
  <c r="AX185" i="3"/>
  <c r="AQ185" i="3"/>
  <c r="AI185" i="3"/>
  <c r="AD185" i="3"/>
  <c r="Y185" i="3"/>
  <c r="T185" i="3"/>
  <c r="O185" i="3"/>
  <c r="J185" i="3"/>
  <c r="E185" i="3"/>
  <c r="BR184" i="3"/>
  <c r="BJ184" i="3"/>
  <c r="BF184" i="3"/>
  <c r="AX184" i="3"/>
  <c r="AQ184" i="3"/>
  <c r="AI184" i="3"/>
  <c r="AD184" i="3"/>
  <c r="Y184" i="3"/>
  <c r="T184" i="3"/>
  <c r="O184" i="3"/>
  <c r="J184" i="3"/>
  <c r="E184" i="3"/>
  <c r="BR183" i="3"/>
  <c r="BJ183" i="3"/>
  <c r="BF183" i="3"/>
  <c r="AX183" i="3"/>
  <c r="AQ183" i="3"/>
  <c r="AI183" i="3"/>
  <c r="AD183" i="3"/>
  <c r="Y183" i="3"/>
  <c r="T183" i="3"/>
  <c r="O183" i="3"/>
  <c r="J183" i="3"/>
  <c r="E183" i="3"/>
  <c r="BR182" i="3"/>
  <c r="BJ182" i="3"/>
  <c r="BF182" i="3"/>
  <c r="AX182" i="3"/>
  <c r="AQ182" i="3"/>
  <c r="AI182" i="3"/>
  <c r="AD182" i="3"/>
  <c r="Y182" i="3"/>
  <c r="T182" i="3"/>
  <c r="O182" i="3"/>
  <c r="J182" i="3"/>
  <c r="E182" i="3"/>
  <c r="BR181" i="3"/>
  <c r="BJ181" i="3"/>
  <c r="BF181" i="3"/>
  <c r="AX181" i="3"/>
  <c r="AQ181" i="3"/>
  <c r="AI181" i="3"/>
  <c r="AD181" i="3"/>
  <c r="Y181" i="3"/>
  <c r="T181" i="3"/>
  <c r="O181" i="3"/>
  <c r="J181" i="3"/>
  <c r="E181" i="3"/>
  <c r="BR180" i="3"/>
  <c r="BJ180" i="3"/>
  <c r="BF180" i="3"/>
  <c r="AX180" i="3"/>
  <c r="AQ180" i="3"/>
  <c r="AI180" i="3"/>
  <c r="AD180" i="3"/>
  <c r="Y180" i="3"/>
  <c r="T180" i="3"/>
  <c r="O180" i="3"/>
  <c r="J180" i="3"/>
  <c r="E180" i="3"/>
  <c r="BR179" i="3"/>
  <c r="BJ179" i="3"/>
  <c r="BF179" i="3"/>
  <c r="AX179" i="3"/>
  <c r="AQ179" i="3"/>
  <c r="AI179" i="3"/>
  <c r="AD179" i="3"/>
  <c r="Y179" i="3"/>
  <c r="T179" i="3"/>
  <c r="O179" i="3"/>
  <c r="J179" i="3"/>
  <c r="E179" i="3"/>
  <c r="BR178" i="3"/>
  <c r="BJ178" i="3"/>
  <c r="BF178" i="3"/>
  <c r="AX178" i="3"/>
  <c r="AQ178" i="3"/>
  <c r="AI178" i="3"/>
  <c r="AD178" i="3"/>
  <c r="Y178" i="3"/>
  <c r="T178" i="3"/>
  <c r="O178" i="3"/>
  <c r="J178" i="3"/>
  <c r="E178" i="3"/>
  <c r="BR177" i="3"/>
  <c r="BJ177" i="3"/>
  <c r="BF177" i="3"/>
  <c r="AX177" i="3"/>
  <c r="AQ177" i="3"/>
  <c r="AI177" i="3"/>
  <c r="AD177" i="3"/>
  <c r="Y177" i="3"/>
  <c r="T177" i="3"/>
  <c r="O177" i="3"/>
  <c r="J177" i="3"/>
  <c r="E177" i="3"/>
  <c r="BR176" i="3"/>
  <c r="BJ176" i="3"/>
  <c r="BF176" i="3"/>
  <c r="AX176" i="3"/>
  <c r="AQ176" i="3"/>
  <c r="AI176" i="3"/>
  <c r="AD176" i="3"/>
  <c r="Y176" i="3"/>
  <c r="T176" i="3"/>
  <c r="O176" i="3"/>
  <c r="J176" i="3"/>
  <c r="E176" i="3"/>
  <c r="BR175" i="3"/>
  <c r="BJ175" i="3"/>
  <c r="BF175" i="3"/>
  <c r="AX175" i="3"/>
  <c r="AQ175" i="3"/>
  <c r="AI175" i="3"/>
  <c r="AD175" i="3"/>
  <c r="Y175" i="3"/>
  <c r="T175" i="3"/>
  <c r="O175" i="3"/>
  <c r="J175" i="3"/>
  <c r="E175" i="3"/>
  <c r="BR174" i="3"/>
  <c r="BJ174" i="3"/>
  <c r="BF174" i="3"/>
  <c r="AX174" i="3"/>
  <c r="AQ174" i="3"/>
  <c r="AI174" i="3"/>
  <c r="AD174" i="3"/>
  <c r="Y174" i="3"/>
  <c r="T174" i="3"/>
  <c r="O174" i="3"/>
  <c r="J174" i="3"/>
  <c r="E174" i="3"/>
  <c r="BR173" i="3"/>
  <c r="BJ173" i="3"/>
  <c r="BF173" i="3"/>
  <c r="AX173" i="3"/>
  <c r="AQ173" i="3"/>
  <c r="AI173" i="3"/>
  <c r="AD173" i="3"/>
  <c r="Y173" i="3"/>
  <c r="T173" i="3"/>
  <c r="O173" i="3"/>
  <c r="J173" i="3"/>
  <c r="E173" i="3"/>
  <c r="BR172" i="3"/>
  <c r="BJ172" i="3"/>
  <c r="BF172" i="3"/>
  <c r="AX172" i="3"/>
  <c r="AQ172" i="3"/>
  <c r="AI172" i="3"/>
  <c r="AD172" i="3"/>
  <c r="Y172" i="3"/>
  <c r="T172" i="3"/>
  <c r="O172" i="3"/>
  <c r="J172" i="3"/>
  <c r="E172" i="3"/>
  <c r="BR171" i="3"/>
  <c r="BJ171" i="3"/>
  <c r="BF171" i="3"/>
  <c r="AX171" i="3"/>
  <c r="AQ171" i="3"/>
  <c r="AI171" i="3"/>
  <c r="AD171" i="3"/>
  <c r="Y171" i="3"/>
  <c r="T171" i="3"/>
  <c r="O171" i="3"/>
  <c r="J171" i="3"/>
  <c r="E171" i="3"/>
  <c r="BR170" i="3"/>
  <c r="BJ170" i="3"/>
  <c r="BF170" i="3"/>
  <c r="AX170" i="3"/>
  <c r="AQ170" i="3"/>
  <c r="AI170" i="3"/>
  <c r="AD170" i="3"/>
  <c r="Y170" i="3"/>
  <c r="T170" i="3"/>
  <c r="O170" i="3"/>
  <c r="J170" i="3"/>
  <c r="E170" i="3"/>
  <c r="BR169" i="3"/>
  <c r="BJ169" i="3"/>
  <c r="BF169" i="3"/>
  <c r="AX169" i="3"/>
  <c r="AQ169" i="3"/>
  <c r="AI169" i="3"/>
  <c r="AD169" i="3"/>
  <c r="Y169" i="3"/>
  <c r="T169" i="3"/>
  <c r="O169" i="3"/>
  <c r="J169" i="3"/>
  <c r="E169" i="3"/>
  <c r="BR168" i="3"/>
  <c r="BJ168" i="3"/>
  <c r="BF168" i="3"/>
  <c r="AX168" i="3"/>
  <c r="AQ168" i="3"/>
  <c r="AI168" i="3"/>
  <c r="AD168" i="3"/>
  <c r="Y168" i="3"/>
  <c r="T168" i="3"/>
  <c r="O168" i="3"/>
  <c r="J168" i="3"/>
  <c r="E168" i="3"/>
  <c r="BR167" i="3"/>
  <c r="BJ167" i="3"/>
  <c r="BF167" i="3"/>
  <c r="AX167" i="3"/>
  <c r="AQ167" i="3"/>
  <c r="AI167" i="3"/>
  <c r="AD167" i="3"/>
  <c r="Y167" i="3"/>
  <c r="T167" i="3"/>
  <c r="O167" i="3"/>
  <c r="J167" i="3"/>
  <c r="E167" i="3"/>
  <c r="BR166" i="3"/>
  <c r="BJ166" i="3"/>
  <c r="BF166" i="3"/>
  <c r="AX166" i="3"/>
  <c r="AQ166" i="3"/>
  <c r="AI166" i="3"/>
  <c r="AD166" i="3"/>
  <c r="Y166" i="3"/>
  <c r="T166" i="3"/>
  <c r="O166" i="3"/>
  <c r="J166" i="3"/>
  <c r="E166" i="3"/>
  <c r="BR165" i="3"/>
  <c r="BJ165" i="3"/>
  <c r="BF165" i="3"/>
  <c r="AX165" i="3"/>
  <c r="AQ165" i="3"/>
  <c r="AI165" i="3"/>
  <c r="AD165" i="3"/>
  <c r="Y165" i="3"/>
  <c r="T165" i="3"/>
  <c r="O165" i="3"/>
  <c r="J165" i="3"/>
  <c r="E165" i="3"/>
  <c r="BR164" i="3"/>
  <c r="BJ164" i="3"/>
  <c r="BF164" i="3"/>
  <c r="AX164" i="3"/>
  <c r="AQ164" i="3"/>
  <c r="AI164" i="3"/>
  <c r="AD164" i="3"/>
  <c r="Y164" i="3"/>
  <c r="T164" i="3"/>
  <c r="O164" i="3"/>
  <c r="J164" i="3"/>
  <c r="E164" i="3"/>
  <c r="BR163" i="3"/>
  <c r="BJ163" i="3"/>
  <c r="BF163" i="3"/>
  <c r="AX163" i="3"/>
  <c r="AQ163" i="3"/>
  <c r="AI163" i="3"/>
  <c r="AD163" i="3"/>
  <c r="Y163" i="3"/>
  <c r="T163" i="3"/>
  <c r="O163" i="3"/>
  <c r="J163" i="3"/>
  <c r="E163" i="3"/>
  <c r="BR162" i="3"/>
  <c r="BJ162" i="3"/>
  <c r="BF162" i="3"/>
  <c r="AX162" i="3"/>
  <c r="AQ162" i="3"/>
  <c r="AI162" i="3"/>
  <c r="AD162" i="3"/>
  <c r="Y162" i="3"/>
  <c r="T162" i="3"/>
  <c r="O162" i="3"/>
  <c r="J162" i="3"/>
  <c r="E162" i="3"/>
  <c r="BR161" i="3"/>
  <c r="BJ161" i="3"/>
  <c r="BF161" i="3"/>
  <c r="AX161" i="3"/>
  <c r="AQ161" i="3"/>
  <c r="AI161" i="3"/>
  <c r="AD161" i="3"/>
  <c r="Y161" i="3"/>
  <c r="T161" i="3"/>
  <c r="O161" i="3"/>
  <c r="J161" i="3"/>
  <c r="E161" i="3"/>
  <c r="BR160" i="3"/>
  <c r="BJ160" i="3"/>
  <c r="BF160" i="3"/>
  <c r="AX160" i="3"/>
  <c r="AQ160" i="3"/>
  <c r="AI160" i="3"/>
  <c r="AD160" i="3"/>
  <c r="Y160" i="3"/>
  <c r="T160" i="3"/>
  <c r="O160" i="3"/>
  <c r="J160" i="3"/>
  <c r="E160" i="3"/>
  <c r="BR159" i="3"/>
  <c r="BJ159" i="3"/>
  <c r="BF159" i="3"/>
  <c r="AX159" i="3"/>
  <c r="AQ159" i="3"/>
  <c r="AI159" i="3"/>
  <c r="AD159" i="3"/>
  <c r="Y159" i="3"/>
  <c r="T159" i="3"/>
  <c r="O159" i="3"/>
  <c r="J159" i="3"/>
  <c r="E159" i="3"/>
  <c r="BR158" i="3"/>
  <c r="BJ158" i="3"/>
  <c r="BF158" i="3"/>
  <c r="AX158" i="3"/>
  <c r="AQ158" i="3"/>
  <c r="AI158" i="3"/>
  <c r="AD158" i="3"/>
  <c r="Y158" i="3"/>
  <c r="T158" i="3"/>
  <c r="O158" i="3"/>
  <c r="J158" i="3"/>
  <c r="E158" i="3"/>
  <c r="BR157" i="3"/>
  <c r="BJ157" i="3"/>
  <c r="BF157" i="3"/>
  <c r="AX157" i="3"/>
  <c r="AQ157" i="3"/>
  <c r="AI157" i="3"/>
  <c r="AD157" i="3"/>
  <c r="Y157" i="3"/>
  <c r="T157" i="3"/>
  <c r="O157" i="3"/>
  <c r="J157" i="3"/>
  <c r="E157" i="3"/>
  <c r="BR156" i="3"/>
  <c r="BJ156" i="3"/>
  <c r="BF156" i="3"/>
  <c r="AX156" i="3"/>
  <c r="AQ156" i="3"/>
  <c r="AI156" i="3"/>
  <c r="AD156" i="3"/>
  <c r="Y156" i="3"/>
  <c r="T156" i="3"/>
  <c r="O156" i="3"/>
  <c r="J156" i="3"/>
  <c r="E156" i="3"/>
  <c r="BR155" i="3"/>
  <c r="BJ155" i="3"/>
  <c r="BF155" i="3"/>
  <c r="AX155" i="3"/>
  <c r="AQ155" i="3"/>
  <c r="AI155" i="3"/>
  <c r="AD155" i="3"/>
  <c r="Y155" i="3"/>
  <c r="T155" i="3"/>
  <c r="O155" i="3"/>
  <c r="J155" i="3"/>
  <c r="E155" i="3"/>
  <c r="BR154" i="3"/>
  <c r="BJ154" i="3"/>
  <c r="BF154" i="3"/>
  <c r="AX154" i="3"/>
  <c r="AQ154" i="3"/>
  <c r="AI154" i="3"/>
  <c r="AD154" i="3"/>
  <c r="Y154" i="3"/>
  <c r="T154" i="3"/>
  <c r="O154" i="3"/>
  <c r="J154" i="3"/>
  <c r="E154" i="3"/>
  <c r="BR153" i="3"/>
  <c r="BJ153" i="3"/>
  <c r="BF153" i="3"/>
  <c r="AX153" i="3"/>
  <c r="AQ153" i="3"/>
  <c r="AI153" i="3"/>
  <c r="AD153" i="3"/>
  <c r="Y153" i="3"/>
  <c r="T153" i="3"/>
  <c r="O153" i="3"/>
  <c r="J153" i="3"/>
  <c r="E153" i="3"/>
  <c r="BR152" i="3"/>
  <c r="BJ152" i="3"/>
  <c r="BF152" i="3"/>
  <c r="AX152" i="3"/>
  <c r="AQ152" i="3"/>
  <c r="AI152" i="3"/>
  <c r="AD152" i="3"/>
  <c r="Y152" i="3"/>
  <c r="T152" i="3"/>
  <c r="O152" i="3"/>
  <c r="J152" i="3"/>
  <c r="E152" i="3"/>
  <c r="BR151" i="3"/>
  <c r="BJ151" i="3"/>
  <c r="BF151" i="3"/>
  <c r="AX151" i="3"/>
  <c r="AQ151" i="3"/>
  <c r="AI151" i="3"/>
  <c r="AD151" i="3"/>
  <c r="Y151" i="3"/>
  <c r="T151" i="3"/>
  <c r="O151" i="3"/>
  <c r="J151" i="3"/>
  <c r="E151" i="3"/>
  <c r="BR150" i="3"/>
  <c r="BJ150" i="3"/>
  <c r="BF150" i="3"/>
  <c r="AX150" i="3"/>
  <c r="AQ150" i="3"/>
  <c r="AI150" i="3"/>
  <c r="AD150" i="3"/>
  <c r="Y150" i="3"/>
  <c r="T150" i="3"/>
  <c r="O150" i="3"/>
  <c r="J150" i="3"/>
  <c r="E150" i="3"/>
  <c r="BR149" i="3"/>
  <c r="BJ149" i="3"/>
  <c r="BF149" i="3"/>
  <c r="AX149" i="3"/>
  <c r="AQ149" i="3"/>
  <c r="AI149" i="3"/>
  <c r="AD149" i="3"/>
  <c r="Y149" i="3"/>
  <c r="T149" i="3"/>
  <c r="O149" i="3"/>
  <c r="J149" i="3"/>
  <c r="E149" i="3"/>
  <c r="BR148" i="3"/>
  <c r="BJ148" i="3"/>
  <c r="BF148" i="3"/>
  <c r="AX148" i="3"/>
  <c r="AQ148" i="3"/>
  <c r="AI148" i="3"/>
  <c r="AD148" i="3"/>
  <c r="Y148" i="3"/>
  <c r="T148" i="3"/>
  <c r="O148" i="3"/>
  <c r="J148" i="3"/>
  <c r="E148" i="3"/>
  <c r="BR147" i="3"/>
  <c r="BJ147" i="3"/>
  <c r="BF147" i="3"/>
  <c r="AX147" i="3"/>
  <c r="AQ147" i="3"/>
  <c r="AI147" i="3"/>
  <c r="AD147" i="3"/>
  <c r="Y147" i="3"/>
  <c r="T147" i="3"/>
  <c r="O147" i="3"/>
  <c r="J147" i="3"/>
  <c r="E147" i="3"/>
  <c r="BR146" i="3"/>
  <c r="BJ146" i="3"/>
  <c r="BF146" i="3"/>
  <c r="AX146" i="3"/>
  <c r="AQ146" i="3"/>
  <c r="AI146" i="3"/>
  <c r="AD146" i="3"/>
  <c r="Y146" i="3"/>
  <c r="T146" i="3"/>
  <c r="O146" i="3"/>
  <c r="J146" i="3"/>
  <c r="E146" i="3"/>
  <c r="BR145" i="3"/>
  <c r="BJ145" i="3"/>
  <c r="BF145" i="3"/>
  <c r="AX145" i="3"/>
  <c r="AQ145" i="3"/>
  <c r="AI145" i="3"/>
  <c r="AD145" i="3"/>
  <c r="Y145" i="3"/>
  <c r="T145" i="3"/>
  <c r="O145" i="3"/>
  <c r="J145" i="3"/>
  <c r="E145" i="3"/>
  <c r="BR144" i="3"/>
  <c r="BJ144" i="3"/>
  <c r="BF144" i="3"/>
  <c r="AX144" i="3"/>
  <c r="AQ144" i="3"/>
  <c r="AI144" i="3"/>
  <c r="AD144" i="3"/>
  <c r="Y144" i="3"/>
  <c r="T144" i="3"/>
  <c r="O144" i="3"/>
  <c r="J144" i="3"/>
  <c r="E144" i="3"/>
  <c r="BR143" i="3"/>
  <c r="BJ143" i="3"/>
  <c r="BF143" i="3"/>
  <c r="AX143" i="3"/>
  <c r="AQ143" i="3"/>
  <c r="AI143" i="3"/>
  <c r="AD143" i="3"/>
  <c r="Y143" i="3"/>
  <c r="T143" i="3"/>
  <c r="O143" i="3"/>
  <c r="J143" i="3"/>
  <c r="E143" i="3"/>
  <c r="BR142" i="3"/>
  <c r="BJ142" i="3"/>
  <c r="BF142" i="3"/>
  <c r="AX142" i="3"/>
  <c r="AQ142" i="3"/>
  <c r="AI142" i="3"/>
  <c r="AD142" i="3"/>
  <c r="Y142" i="3"/>
  <c r="T142" i="3"/>
  <c r="O142" i="3"/>
  <c r="J142" i="3"/>
  <c r="E142" i="3"/>
  <c r="BR141" i="3"/>
  <c r="BJ141" i="3"/>
  <c r="BF141" i="3"/>
  <c r="AX141" i="3"/>
  <c r="AQ141" i="3"/>
  <c r="AI141" i="3"/>
  <c r="AD141" i="3"/>
  <c r="Y141" i="3"/>
  <c r="T141" i="3"/>
  <c r="O141" i="3"/>
  <c r="J141" i="3"/>
  <c r="E141" i="3"/>
  <c r="BR140" i="3"/>
  <c r="BJ140" i="3"/>
  <c r="BF140" i="3"/>
  <c r="AX140" i="3"/>
  <c r="AQ140" i="3"/>
  <c r="AI140" i="3"/>
  <c r="AD140" i="3"/>
  <c r="Y140" i="3"/>
  <c r="T140" i="3"/>
  <c r="O140" i="3"/>
  <c r="J140" i="3"/>
  <c r="E140" i="3"/>
  <c r="BR139" i="3"/>
  <c r="BJ139" i="3"/>
  <c r="BF139" i="3"/>
  <c r="AX139" i="3"/>
  <c r="AQ139" i="3"/>
  <c r="AI139" i="3"/>
  <c r="AD139" i="3"/>
  <c r="Y139" i="3"/>
  <c r="T139" i="3"/>
  <c r="O139" i="3"/>
  <c r="J139" i="3"/>
  <c r="E139" i="3"/>
  <c r="BR138" i="3"/>
  <c r="BJ138" i="3"/>
  <c r="BF138" i="3"/>
  <c r="AX138" i="3"/>
  <c r="AQ138" i="3"/>
  <c r="AI138" i="3"/>
  <c r="AD138" i="3"/>
  <c r="Y138" i="3"/>
  <c r="T138" i="3"/>
  <c r="O138" i="3"/>
  <c r="J138" i="3"/>
  <c r="E138" i="3"/>
  <c r="BR137" i="3"/>
  <c r="BJ137" i="3"/>
  <c r="BF137" i="3"/>
  <c r="AX137" i="3"/>
  <c r="AQ137" i="3"/>
  <c r="AI137" i="3"/>
  <c r="AD137" i="3"/>
  <c r="Y137" i="3"/>
  <c r="T137" i="3"/>
  <c r="O137" i="3"/>
  <c r="J137" i="3"/>
  <c r="E137" i="3"/>
  <c r="BR136" i="3"/>
  <c r="BJ136" i="3"/>
  <c r="BF136" i="3"/>
  <c r="AX136" i="3"/>
  <c r="AQ136" i="3"/>
  <c r="AI136" i="3"/>
  <c r="AD136" i="3"/>
  <c r="Y136" i="3"/>
  <c r="T136" i="3"/>
  <c r="O136" i="3"/>
  <c r="J136" i="3"/>
  <c r="E136" i="3"/>
  <c r="BR135" i="3"/>
  <c r="BJ135" i="3"/>
  <c r="BF135" i="3"/>
  <c r="AX135" i="3"/>
  <c r="AQ135" i="3"/>
  <c r="AI135" i="3"/>
  <c r="AD135" i="3"/>
  <c r="Y135" i="3"/>
  <c r="T135" i="3"/>
  <c r="O135" i="3"/>
  <c r="J135" i="3"/>
  <c r="E135" i="3"/>
  <c r="BR134" i="3"/>
  <c r="BJ134" i="3"/>
  <c r="BF134" i="3"/>
  <c r="AX134" i="3"/>
  <c r="AQ134" i="3"/>
  <c r="AI134" i="3"/>
  <c r="AD134" i="3"/>
  <c r="Y134" i="3"/>
  <c r="T134" i="3"/>
  <c r="O134" i="3"/>
  <c r="J134" i="3"/>
  <c r="E134" i="3"/>
  <c r="BR133" i="3"/>
  <c r="BJ133" i="3"/>
  <c r="BF133" i="3"/>
  <c r="AX133" i="3"/>
  <c r="AQ133" i="3"/>
  <c r="AI133" i="3"/>
  <c r="AD133" i="3"/>
  <c r="Y133" i="3"/>
  <c r="T133" i="3"/>
  <c r="O133" i="3"/>
  <c r="J133" i="3"/>
  <c r="E133" i="3"/>
  <c r="BR132" i="3"/>
  <c r="BJ132" i="3"/>
  <c r="BF132" i="3"/>
  <c r="AX132" i="3"/>
  <c r="AQ132" i="3"/>
  <c r="AI132" i="3"/>
  <c r="AD132" i="3"/>
  <c r="Y132" i="3"/>
  <c r="T132" i="3"/>
  <c r="O132" i="3"/>
  <c r="J132" i="3"/>
  <c r="E132" i="3"/>
  <c r="BR131" i="3"/>
  <c r="BJ131" i="3"/>
  <c r="BF131" i="3"/>
  <c r="AX131" i="3"/>
  <c r="AQ131" i="3"/>
  <c r="AI131" i="3"/>
  <c r="AD131" i="3"/>
  <c r="Y131" i="3"/>
  <c r="T131" i="3"/>
  <c r="O131" i="3"/>
  <c r="J131" i="3"/>
  <c r="E131" i="3"/>
  <c r="BR130" i="3"/>
  <c r="BJ130" i="3"/>
  <c r="BF130" i="3"/>
  <c r="AX130" i="3"/>
  <c r="AQ130" i="3"/>
  <c r="AI130" i="3"/>
  <c r="AD130" i="3"/>
  <c r="Y130" i="3"/>
  <c r="T130" i="3"/>
  <c r="O130" i="3"/>
  <c r="J130" i="3"/>
  <c r="E130" i="3"/>
  <c r="BR129" i="3"/>
  <c r="BJ129" i="3"/>
  <c r="BF129" i="3"/>
  <c r="AX129" i="3"/>
  <c r="AQ129" i="3"/>
  <c r="AI129" i="3"/>
  <c r="AD129" i="3"/>
  <c r="Y129" i="3"/>
  <c r="T129" i="3"/>
  <c r="O129" i="3"/>
  <c r="J129" i="3"/>
  <c r="E129" i="3"/>
  <c r="BR128" i="3"/>
  <c r="BJ128" i="3"/>
  <c r="BF128" i="3"/>
  <c r="AX128" i="3"/>
  <c r="AQ128" i="3"/>
  <c r="AI128" i="3"/>
  <c r="AD128" i="3"/>
  <c r="Y128" i="3"/>
  <c r="T128" i="3"/>
  <c r="O128" i="3"/>
  <c r="J128" i="3"/>
  <c r="E128" i="3"/>
  <c r="BR127" i="3"/>
  <c r="BJ127" i="3"/>
  <c r="BF127" i="3"/>
  <c r="AX127" i="3"/>
  <c r="AQ127" i="3"/>
  <c r="AI127" i="3"/>
  <c r="AD127" i="3"/>
  <c r="Y127" i="3"/>
  <c r="T127" i="3"/>
  <c r="O127" i="3"/>
  <c r="J127" i="3"/>
  <c r="E127" i="3"/>
  <c r="BR126" i="3"/>
  <c r="BJ126" i="3"/>
  <c r="BF126" i="3"/>
  <c r="AX126" i="3"/>
  <c r="AQ126" i="3"/>
  <c r="AI126" i="3"/>
  <c r="AD126" i="3"/>
  <c r="Y126" i="3"/>
  <c r="T126" i="3"/>
  <c r="O126" i="3"/>
  <c r="J126" i="3"/>
  <c r="E126" i="3"/>
  <c r="BR125" i="3"/>
  <c r="BJ125" i="3"/>
  <c r="BF125" i="3"/>
  <c r="AX125" i="3"/>
  <c r="AQ125" i="3"/>
  <c r="AI125" i="3"/>
  <c r="AD125" i="3"/>
  <c r="Y125" i="3"/>
  <c r="T125" i="3"/>
  <c r="O125" i="3"/>
  <c r="J125" i="3"/>
  <c r="E125" i="3"/>
  <c r="BR124" i="3"/>
  <c r="BJ124" i="3"/>
  <c r="BF124" i="3"/>
  <c r="AX124" i="3"/>
  <c r="AQ124" i="3"/>
  <c r="AI124" i="3"/>
  <c r="AD124" i="3"/>
  <c r="Y124" i="3"/>
  <c r="T124" i="3"/>
  <c r="O124" i="3"/>
  <c r="J124" i="3"/>
  <c r="E124" i="3"/>
  <c r="BR123" i="3"/>
  <c r="BJ123" i="3"/>
  <c r="BF123" i="3"/>
  <c r="AX123" i="3"/>
  <c r="AQ123" i="3"/>
  <c r="AI123" i="3"/>
  <c r="AD123" i="3"/>
  <c r="Y123" i="3"/>
  <c r="T123" i="3"/>
  <c r="O123" i="3"/>
  <c r="J123" i="3"/>
  <c r="E123" i="3"/>
  <c r="BR122" i="3"/>
  <c r="BJ122" i="3"/>
  <c r="BF122" i="3"/>
  <c r="AX122" i="3"/>
  <c r="AQ122" i="3"/>
  <c r="AI122" i="3"/>
  <c r="AD122" i="3"/>
  <c r="Y122" i="3"/>
  <c r="T122" i="3"/>
  <c r="O122" i="3"/>
  <c r="J122" i="3"/>
  <c r="E122" i="3"/>
  <c r="BR121" i="3"/>
  <c r="BJ121" i="3"/>
  <c r="BF121" i="3"/>
  <c r="AX121" i="3"/>
  <c r="AQ121" i="3"/>
  <c r="AI121" i="3"/>
  <c r="AD121" i="3"/>
  <c r="Y121" i="3"/>
  <c r="T121" i="3"/>
  <c r="O121" i="3"/>
  <c r="J121" i="3"/>
  <c r="E121" i="3"/>
  <c r="BR120" i="3"/>
  <c r="BJ120" i="3"/>
  <c r="BF120" i="3"/>
  <c r="AX120" i="3"/>
  <c r="AQ120" i="3"/>
  <c r="AI120" i="3"/>
  <c r="AD120" i="3"/>
  <c r="Y120" i="3"/>
  <c r="T120" i="3"/>
  <c r="O120" i="3"/>
  <c r="J120" i="3"/>
  <c r="E120" i="3"/>
  <c r="BR119" i="3"/>
  <c r="BJ119" i="3"/>
  <c r="BF119" i="3"/>
  <c r="AX119" i="3"/>
  <c r="AQ119" i="3"/>
  <c r="AI119" i="3"/>
  <c r="AD119" i="3"/>
  <c r="Y119" i="3"/>
  <c r="T119" i="3"/>
  <c r="O119" i="3"/>
  <c r="J119" i="3"/>
  <c r="E119" i="3"/>
  <c r="BR118" i="3"/>
  <c r="BJ118" i="3"/>
  <c r="BF118" i="3"/>
  <c r="AX118" i="3"/>
  <c r="AQ118" i="3"/>
  <c r="AI118" i="3"/>
  <c r="AD118" i="3"/>
  <c r="Y118" i="3"/>
  <c r="T118" i="3"/>
  <c r="O118" i="3"/>
  <c r="J118" i="3"/>
  <c r="E118" i="3"/>
  <c r="BR117" i="3"/>
  <c r="BJ117" i="3"/>
  <c r="BF117" i="3"/>
  <c r="AX117" i="3"/>
  <c r="AQ117" i="3"/>
  <c r="AI117" i="3"/>
  <c r="AD117" i="3"/>
  <c r="Y117" i="3"/>
  <c r="T117" i="3"/>
  <c r="O117" i="3"/>
  <c r="J117" i="3"/>
  <c r="E117" i="3"/>
  <c r="BR116" i="3"/>
  <c r="BJ116" i="3"/>
  <c r="BF116" i="3"/>
  <c r="AX116" i="3"/>
  <c r="AQ116" i="3"/>
  <c r="AI116" i="3"/>
  <c r="AD116" i="3"/>
  <c r="Y116" i="3"/>
  <c r="T116" i="3"/>
  <c r="O116" i="3"/>
  <c r="J116" i="3"/>
  <c r="E116" i="3"/>
  <c r="BR115" i="3"/>
  <c r="BJ115" i="3"/>
  <c r="BF115" i="3"/>
  <c r="AX115" i="3"/>
  <c r="AQ115" i="3"/>
  <c r="AI115" i="3"/>
  <c r="AD115" i="3"/>
  <c r="Y115" i="3"/>
  <c r="T115" i="3"/>
  <c r="O115" i="3"/>
  <c r="J115" i="3"/>
  <c r="E115" i="3"/>
  <c r="BR114" i="3"/>
  <c r="BJ114" i="3"/>
  <c r="BF114" i="3"/>
  <c r="AX114" i="3"/>
  <c r="AQ114" i="3"/>
  <c r="AI114" i="3"/>
  <c r="AD114" i="3"/>
  <c r="Y114" i="3"/>
  <c r="T114" i="3"/>
  <c r="O114" i="3"/>
  <c r="J114" i="3"/>
  <c r="E114" i="3"/>
  <c r="BR113" i="3"/>
  <c r="BJ113" i="3"/>
  <c r="BF113" i="3"/>
  <c r="AX113" i="3"/>
  <c r="AQ113" i="3"/>
  <c r="AI113" i="3"/>
  <c r="AD113" i="3"/>
  <c r="Y113" i="3"/>
  <c r="T113" i="3"/>
  <c r="O113" i="3"/>
  <c r="J113" i="3"/>
  <c r="E113" i="3"/>
  <c r="BR112" i="3"/>
  <c r="BJ112" i="3"/>
  <c r="BF112" i="3"/>
  <c r="AX112" i="3"/>
  <c r="AQ112" i="3"/>
  <c r="AI112" i="3"/>
  <c r="AD112" i="3"/>
  <c r="Y112" i="3"/>
  <c r="T112" i="3"/>
  <c r="O112" i="3"/>
  <c r="J112" i="3"/>
  <c r="E112" i="3"/>
  <c r="BR111" i="3"/>
  <c r="BJ111" i="3"/>
  <c r="BF111" i="3"/>
  <c r="AX111" i="3"/>
  <c r="AQ111" i="3"/>
  <c r="AI111" i="3"/>
  <c r="AD111" i="3"/>
  <c r="Y111" i="3"/>
  <c r="T111" i="3"/>
  <c r="O111" i="3"/>
  <c r="J111" i="3"/>
  <c r="E111" i="3"/>
  <c r="BR110" i="3"/>
  <c r="BJ110" i="3"/>
  <c r="BF110" i="3"/>
  <c r="AX110" i="3"/>
  <c r="AQ110" i="3"/>
  <c r="AI110" i="3"/>
  <c r="AD110" i="3"/>
  <c r="Y110" i="3"/>
  <c r="T110" i="3"/>
  <c r="O110" i="3"/>
  <c r="J110" i="3"/>
  <c r="E110" i="3"/>
  <c r="BR109" i="3"/>
  <c r="BJ109" i="3"/>
  <c r="BF109" i="3"/>
  <c r="AX109" i="3"/>
  <c r="AQ109" i="3"/>
  <c r="AI109" i="3"/>
  <c r="AD109" i="3"/>
  <c r="Y109" i="3"/>
  <c r="T109" i="3"/>
  <c r="O109" i="3"/>
  <c r="J109" i="3"/>
  <c r="E109" i="3"/>
  <c r="BR108" i="3"/>
  <c r="BJ108" i="3"/>
  <c r="BF108" i="3"/>
  <c r="AX108" i="3"/>
  <c r="AQ108" i="3"/>
  <c r="AI108" i="3"/>
  <c r="AD108" i="3"/>
  <c r="Y108" i="3"/>
  <c r="T108" i="3"/>
  <c r="O108" i="3"/>
  <c r="J108" i="3"/>
  <c r="E108" i="3"/>
  <c r="BR107" i="3"/>
  <c r="BJ107" i="3"/>
  <c r="BF107" i="3"/>
  <c r="AX107" i="3"/>
  <c r="AQ107" i="3"/>
  <c r="AI107" i="3"/>
  <c r="AD107" i="3"/>
  <c r="Y107" i="3"/>
  <c r="T107" i="3"/>
  <c r="O107" i="3"/>
  <c r="J107" i="3"/>
  <c r="E107" i="3"/>
  <c r="BR106" i="3"/>
  <c r="BJ106" i="3"/>
  <c r="BF106" i="3"/>
  <c r="AX106" i="3"/>
  <c r="AQ106" i="3"/>
  <c r="AI106" i="3"/>
  <c r="AD106" i="3"/>
  <c r="Y106" i="3"/>
  <c r="T106" i="3"/>
  <c r="O106" i="3"/>
  <c r="J106" i="3"/>
  <c r="E106" i="3"/>
  <c r="BR105" i="3"/>
  <c r="BJ105" i="3"/>
  <c r="BF105" i="3"/>
  <c r="AX105" i="3"/>
  <c r="AQ105" i="3"/>
  <c r="AI105" i="3"/>
  <c r="AD105" i="3"/>
  <c r="Y105" i="3"/>
  <c r="T105" i="3"/>
  <c r="O105" i="3"/>
  <c r="J105" i="3"/>
  <c r="E105" i="3"/>
  <c r="BR104" i="3"/>
  <c r="BJ104" i="3"/>
  <c r="BF104" i="3"/>
  <c r="AX104" i="3"/>
  <c r="AQ104" i="3"/>
  <c r="AI104" i="3"/>
  <c r="AD104" i="3"/>
  <c r="Y104" i="3"/>
  <c r="T104" i="3"/>
  <c r="O104" i="3"/>
  <c r="J104" i="3"/>
  <c r="E104" i="3"/>
  <c r="BR103" i="3"/>
  <c r="BJ103" i="3"/>
  <c r="BF103" i="3"/>
  <c r="AX103" i="3"/>
  <c r="AQ103" i="3"/>
  <c r="AI103" i="3"/>
  <c r="AD103" i="3"/>
  <c r="Y103" i="3"/>
  <c r="T103" i="3"/>
  <c r="O103" i="3"/>
  <c r="J103" i="3"/>
  <c r="E103" i="3"/>
  <c r="BR102" i="3"/>
  <c r="BJ102" i="3"/>
  <c r="BF102" i="3"/>
  <c r="AX102" i="3"/>
  <c r="AQ102" i="3"/>
  <c r="AI102" i="3"/>
  <c r="AD102" i="3"/>
  <c r="Y102" i="3"/>
  <c r="T102" i="3"/>
  <c r="O102" i="3"/>
  <c r="J102" i="3"/>
  <c r="E102" i="3"/>
  <c r="BR101" i="3"/>
  <c r="BJ101" i="3"/>
  <c r="BF101" i="3"/>
  <c r="AX101" i="3"/>
  <c r="AQ101" i="3"/>
  <c r="AI101" i="3"/>
  <c r="AD101" i="3"/>
  <c r="Y101" i="3"/>
  <c r="T101" i="3"/>
  <c r="O101" i="3"/>
  <c r="J101" i="3"/>
  <c r="E101" i="3"/>
  <c r="BR100" i="3"/>
  <c r="BJ100" i="3"/>
  <c r="BF100" i="3"/>
  <c r="AX100" i="3"/>
  <c r="AQ100" i="3"/>
  <c r="AI100" i="3"/>
  <c r="AD100" i="3"/>
  <c r="Y100" i="3"/>
  <c r="T100" i="3"/>
  <c r="O100" i="3"/>
  <c r="J100" i="3"/>
  <c r="E100" i="3"/>
  <c r="BR99" i="3"/>
  <c r="BJ99" i="3"/>
  <c r="BF99" i="3"/>
  <c r="AX99" i="3"/>
  <c r="AQ99" i="3"/>
  <c r="AI99" i="3"/>
  <c r="AD99" i="3"/>
  <c r="Y99" i="3"/>
  <c r="T99" i="3"/>
  <c r="O99" i="3"/>
  <c r="J99" i="3"/>
  <c r="E99" i="3"/>
  <c r="BR98" i="3"/>
  <c r="BJ98" i="3"/>
  <c r="BF98" i="3"/>
  <c r="AX98" i="3"/>
  <c r="AQ98" i="3"/>
  <c r="AI98" i="3"/>
  <c r="AD98" i="3"/>
  <c r="Y98" i="3"/>
  <c r="T98" i="3"/>
  <c r="O98" i="3"/>
  <c r="J98" i="3"/>
  <c r="E98" i="3"/>
  <c r="BR97" i="3"/>
  <c r="BJ97" i="3"/>
  <c r="BF97" i="3"/>
  <c r="AX97" i="3"/>
  <c r="AQ97" i="3"/>
  <c r="AI97" i="3"/>
  <c r="AD97" i="3"/>
  <c r="Y97" i="3"/>
  <c r="T97" i="3"/>
  <c r="O97" i="3"/>
  <c r="J97" i="3"/>
  <c r="E97" i="3"/>
  <c r="BR96" i="3"/>
  <c r="BJ96" i="3"/>
  <c r="BF96" i="3"/>
  <c r="AX96" i="3"/>
  <c r="AQ96" i="3"/>
  <c r="AI96" i="3"/>
  <c r="AD96" i="3"/>
  <c r="Y96" i="3"/>
  <c r="T96" i="3"/>
  <c r="O96" i="3"/>
  <c r="J96" i="3"/>
  <c r="E96" i="3"/>
  <c r="BR95" i="3"/>
  <c r="BJ95" i="3"/>
  <c r="BF95" i="3"/>
  <c r="AX95" i="3"/>
  <c r="AQ95" i="3"/>
  <c r="AI95" i="3"/>
  <c r="AD95" i="3"/>
  <c r="Y95" i="3"/>
  <c r="T95" i="3"/>
  <c r="O95" i="3"/>
  <c r="J95" i="3"/>
  <c r="E95" i="3"/>
  <c r="BR94" i="3"/>
  <c r="BJ94" i="3"/>
  <c r="BF94" i="3"/>
  <c r="AX94" i="3"/>
  <c r="AQ94" i="3"/>
  <c r="AI94" i="3"/>
  <c r="AD94" i="3"/>
  <c r="Y94" i="3"/>
  <c r="T94" i="3"/>
  <c r="O94" i="3"/>
  <c r="J94" i="3"/>
  <c r="E94" i="3"/>
  <c r="BR93" i="3"/>
  <c r="BJ93" i="3"/>
  <c r="BF93" i="3"/>
  <c r="AX93" i="3"/>
  <c r="AQ93" i="3"/>
  <c r="AI93" i="3"/>
  <c r="AD93" i="3"/>
  <c r="Y93" i="3"/>
  <c r="T93" i="3"/>
  <c r="O93" i="3"/>
  <c r="J93" i="3"/>
  <c r="E93" i="3"/>
  <c r="BR92" i="3"/>
  <c r="BJ92" i="3"/>
  <c r="BF92" i="3"/>
  <c r="AX92" i="3"/>
  <c r="AQ92" i="3"/>
  <c r="AI92" i="3"/>
  <c r="AD92" i="3"/>
  <c r="Y92" i="3"/>
  <c r="T92" i="3"/>
  <c r="O92" i="3"/>
  <c r="J92" i="3"/>
  <c r="E92" i="3"/>
  <c r="BR91" i="3"/>
  <c r="BJ91" i="3"/>
  <c r="BF91" i="3"/>
  <c r="AX91" i="3"/>
  <c r="AQ91" i="3"/>
  <c r="AI91" i="3"/>
  <c r="AD91" i="3"/>
  <c r="Y91" i="3"/>
  <c r="T91" i="3"/>
  <c r="O91" i="3"/>
  <c r="J91" i="3"/>
  <c r="E91" i="3"/>
  <c r="BR90" i="3"/>
  <c r="BJ90" i="3"/>
  <c r="BF90" i="3"/>
  <c r="AX90" i="3"/>
  <c r="AQ90" i="3"/>
  <c r="AI90" i="3"/>
  <c r="AD90" i="3"/>
  <c r="Y90" i="3"/>
  <c r="T90" i="3"/>
  <c r="O90" i="3"/>
  <c r="J90" i="3"/>
  <c r="E90" i="3"/>
  <c r="BR89" i="3"/>
  <c r="BJ89" i="3"/>
  <c r="BF89" i="3"/>
  <c r="AX89" i="3"/>
  <c r="AQ89" i="3"/>
  <c r="AI89" i="3"/>
  <c r="AD89" i="3"/>
  <c r="Y89" i="3"/>
  <c r="T89" i="3"/>
  <c r="O89" i="3"/>
  <c r="J89" i="3"/>
  <c r="E89" i="3"/>
  <c r="BR88" i="3"/>
  <c r="BJ88" i="3"/>
  <c r="BF88" i="3"/>
  <c r="AX88" i="3"/>
  <c r="AQ88" i="3"/>
  <c r="AI88" i="3"/>
  <c r="AD88" i="3"/>
  <c r="Y88" i="3"/>
  <c r="T88" i="3"/>
  <c r="O88" i="3"/>
  <c r="J88" i="3"/>
  <c r="E88" i="3"/>
  <c r="BR87" i="3"/>
  <c r="BJ87" i="3"/>
  <c r="BF87" i="3"/>
  <c r="AX87" i="3"/>
  <c r="AQ87" i="3"/>
  <c r="AI87" i="3"/>
  <c r="AD87" i="3"/>
  <c r="Y87" i="3"/>
  <c r="T87" i="3"/>
  <c r="O87" i="3"/>
  <c r="J87" i="3"/>
  <c r="E87" i="3"/>
  <c r="BR86" i="3"/>
  <c r="BJ86" i="3"/>
  <c r="BF86" i="3"/>
  <c r="AX86" i="3"/>
  <c r="AQ86" i="3"/>
  <c r="AI86" i="3"/>
  <c r="AD86" i="3"/>
  <c r="Y86" i="3"/>
  <c r="T86" i="3"/>
  <c r="O86" i="3"/>
  <c r="J86" i="3"/>
  <c r="E86" i="3"/>
  <c r="BR85" i="3"/>
  <c r="BJ85" i="3"/>
  <c r="BF85" i="3"/>
  <c r="AX85" i="3"/>
  <c r="AQ85" i="3"/>
  <c r="AI85" i="3"/>
  <c r="AD85" i="3"/>
  <c r="Y85" i="3"/>
  <c r="T85" i="3"/>
  <c r="O85" i="3"/>
  <c r="J85" i="3"/>
  <c r="E85" i="3"/>
  <c r="BR84" i="3"/>
  <c r="BJ84" i="3"/>
  <c r="BF84" i="3"/>
  <c r="AX84" i="3"/>
  <c r="AQ84" i="3"/>
  <c r="AI84" i="3"/>
  <c r="AD84" i="3"/>
  <c r="Y84" i="3"/>
  <c r="T84" i="3"/>
  <c r="O84" i="3"/>
  <c r="J84" i="3"/>
  <c r="E84" i="3"/>
  <c r="BR83" i="3"/>
  <c r="BJ83" i="3"/>
  <c r="BF83" i="3"/>
  <c r="AX83" i="3"/>
  <c r="AQ83" i="3"/>
  <c r="AI83" i="3"/>
  <c r="AD83" i="3"/>
  <c r="Y83" i="3"/>
  <c r="T83" i="3"/>
  <c r="O83" i="3"/>
  <c r="J83" i="3"/>
  <c r="E83" i="3"/>
  <c r="BR82" i="3"/>
  <c r="BJ82" i="3"/>
  <c r="BF82" i="3"/>
  <c r="AX82" i="3"/>
  <c r="AQ82" i="3"/>
  <c r="AI82" i="3"/>
  <c r="AD82" i="3"/>
  <c r="Y82" i="3"/>
  <c r="T82" i="3"/>
  <c r="O82" i="3"/>
  <c r="J82" i="3"/>
  <c r="E82" i="3"/>
  <c r="BR81" i="3"/>
  <c r="BJ81" i="3"/>
  <c r="BF81" i="3"/>
  <c r="AX81" i="3"/>
  <c r="AQ81" i="3"/>
  <c r="AI81" i="3"/>
  <c r="AD81" i="3"/>
  <c r="Y81" i="3"/>
  <c r="T81" i="3"/>
  <c r="O81" i="3"/>
  <c r="J81" i="3"/>
  <c r="E81" i="3"/>
  <c r="BR80" i="3"/>
  <c r="BJ80" i="3"/>
  <c r="BF80" i="3"/>
  <c r="AX80" i="3"/>
  <c r="AQ80" i="3"/>
  <c r="AI80" i="3"/>
  <c r="AD80" i="3"/>
  <c r="Y80" i="3"/>
  <c r="T80" i="3"/>
  <c r="O80" i="3"/>
  <c r="J80" i="3"/>
  <c r="E80" i="3"/>
  <c r="BR79" i="3"/>
  <c r="BJ79" i="3"/>
  <c r="BF79" i="3"/>
  <c r="AX79" i="3"/>
  <c r="AQ79" i="3"/>
  <c r="AI79" i="3"/>
  <c r="AD79" i="3"/>
  <c r="Y79" i="3"/>
  <c r="T79" i="3"/>
  <c r="O79" i="3"/>
  <c r="J79" i="3"/>
  <c r="E79" i="3"/>
  <c r="BR78" i="3"/>
  <c r="BJ78" i="3"/>
  <c r="BF78" i="3"/>
  <c r="AX78" i="3"/>
  <c r="AQ78" i="3"/>
  <c r="AI78" i="3"/>
  <c r="AD78" i="3"/>
  <c r="Y78" i="3"/>
  <c r="T78" i="3"/>
  <c r="O78" i="3"/>
  <c r="J78" i="3"/>
  <c r="E78" i="3"/>
  <c r="BR77" i="3"/>
  <c r="BJ77" i="3"/>
  <c r="BF77" i="3"/>
  <c r="AX77" i="3"/>
  <c r="AQ77" i="3"/>
  <c r="AI77" i="3"/>
  <c r="AD77" i="3"/>
  <c r="Y77" i="3"/>
  <c r="T77" i="3"/>
  <c r="O77" i="3"/>
  <c r="J77" i="3"/>
  <c r="E77" i="3"/>
  <c r="BR76" i="3"/>
  <c r="BJ76" i="3"/>
  <c r="BF76" i="3"/>
  <c r="AX76" i="3"/>
  <c r="AQ76" i="3"/>
  <c r="AI76" i="3"/>
  <c r="AD76" i="3"/>
  <c r="Y76" i="3"/>
  <c r="T76" i="3"/>
  <c r="O76" i="3"/>
  <c r="J76" i="3"/>
  <c r="E76" i="3"/>
  <c r="BR75" i="3"/>
  <c r="BJ75" i="3"/>
  <c r="BF75" i="3"/>
  <c r="AX75" i="3"/>
  <c r="AQ75" i="3"/>
  <c r="AI75" i="3"/>
  <c r="AD75" i="3"/>
  <c r="Y75" i="3"/>
  <c r="T75" i="3"/>
  <c r="O75" i="3"/>
  <c r="J75" i="3"/>
  <c r="E75" i="3"/>
  <c r="BR74" i="3"/>
  <c r="BJ74" i="3"/>
  <c r="BF74" i="3"/>
  <c r="AX74" i="3"/>
  <c r="AQ74" i="3"/>
  <c r="AI74" i="3"/>
  <c r="AD74" i="3"/>
  <c r="Y74" i="3"/>
  <c r="T74" i="3"/>
  <c r="O74" i="3"/>
  <c r="J74" i="3"/>
  <c r="E74" i="3"/>
  <c r="BR73" i="3"/>
  <c r="BJ73" i="3"/>
  <c r="BF73" i="3"/>
  <c r="AX73" i="3"/>
  <c r="AQ73" i="3"/>
  <c r="AI73" i="3"/>
  <c r="AD73" i="3"/>
  <c r="Y73" i="3"/>
  <c r="T73" i="3"/>
  <c r="O73" i="3"/>
  <c r="J73" i="3"/>
  <c r="E73" i="3"/>
  <c r="BR72" i="3"/>
  <c r="BJ72" i="3"/>
  <c r="BF72" i="3"/>
  <c r="AX72" i="3"/>
  <c r="AQ72" i="3"/>
  <c r="AI72" i="3"/>
  <c r="AD72" i="3"/>
  <c r="Y72" i="3"/>
  <c r="T72" i="3"/>
  <c r="O72" i="3"/>
  <c r="J72" i="3"/>
  <c r="E72" i="3"/>
  <c r="BR71" i="3"/>
  <c r="BJ71" i="3"/>
  <c r="BF71" i="3"/>
  <c r="AX71" i="3"/>
  <c r="AQ71" i="3"/>
  <c r="AI71" i="3"/>
  <c r="AD71" i="3"/>
  <c r="Y71" i="3"/>
  <c r="T71" i="3"/>
  <c r="O71" i="3"/>
  <c r="J71" i="3"/>
  <c r="E71" i="3"/>
  <c r="BR70" i="3"/>
  <c r="BJ70" i="3"/>
  <c r="BF70" i="3"/>
  <c r="AX70" i="3"/>
  <c r="AQ70" i="3"/>
  <c r="AI70" i="3"/>
  <c r="AD70" i="3"/>
  <c r="Y70" i="3"/>
  <c r="T70" i="3"/>
  <c r="O70" i="3"/>
  <c r="J70" i="3"/>
  <c r="E70" i="3"/>
  <c r="BR69" i="3"/>
  <c r="BJ69" i="3"/>
  <c r="BF69" i="3"/>
  <c r="AX69" i="3"/>
  <c r="AQ69" i="3"/>
  <c r="AI69" i="3"/>
  <c r="AD69" i="3"/>
  <c r="Y69" i="3"/>
  <c r="T69" i="3"/>
  <c r="O69" i="3"/>
  <c r="J69" i="3"/>
  <c r="E69" i="3"/>
  <c r="BR68" i="3"/>
  <c r="BJ68" i="3"/>
  <c r="BF68" i="3"/>
  <c r="AX68" i="3"/>
  <c r="AQ68" i="3"/>
  <c r="AI68" i="3"/>
  <c r="AD68" i="3"/>
  <c r="Y68" i="3"/>
  <c r="T68" i="3"/>
  <c r="O68" i="3"/>
  <c r="J68" i="3"/>
  <c r="E68" i="3"/>
  <c r="BR67" i="3"/>
  <c r="BJ67" i="3"/>
  <c r="BF67" i="3"/>
  <c r="AX67" i="3"/>
  <c r="AQ67" i="3"/>
  <c r="AI67" i="3"/>
  <c r="AD67" i="3"/>
  <c r="Y67" i="3"/>
  <c r="T67" i="3"/>
  <c r="O67" i="3"/>
  <c r="J67" i="3"/>
  <c r="E67" i="3"/>
  <c r="BR66" i="3"/>
  <c r="BJ66" i="3"/>
  <c r="BF66" i="3"/>
  <c r="AX66" i="3"/>
  <c r="AQ66" i="3"/>
  <c r="AI66" i="3"/>
  <c r="AD66" i="3"/>
  <c r="Y66" i="3"/>
  <c r="T66" i="3"/>
  <c r="O66" i="3"/>
  <c r="J66" i="3"/>
  <c r="E66" i="3"/>
  <c r="BR65" i="3"/>
  <c r="BJ65" i="3"/>
  <c r="BF65" i="3"/>
  <c r="AX65" i="3"/>
  <c r="AQ65" i="3"/>
  <c r="AI65" i="3"/>
  <c r="AD65" i="3"/>
  <c r="Y65" i="3"/>
  <c r="T65" i="3"/>
  <c r="O65" i="3"/>
  <c r="J65" i="3"/>
  <c r="E65" i="3"/>
  <c r="BR64" i="3"/>
  <c r="BJ64" i="3"/>
  <c r="BF64" i="3"/>
  <c r="AX64" i="3"/>
  <c r="AQ64" i="3"/>
  <c r="AI64" i="3"/>
  <c r="AD64" i="3"/>
  <c r="Y64" i="3"/>
  <c r="T64" i="3"/>
  <c r="O64" i="3"/>
  <c r="J64" i="3"/>
  <c r="E64" i="3"/>
  <c r="BR63" i="3"/>
  <c r="BJ63" i="3"/>
  <c r="BF63" i="3"/>
  <c r="AX63" i="3"/>
  <c r="AQ63" i="3"/>
  <c r="AI63" i="3"/>
  <c r="AD63" i="3"/>
  <c r="Y63" i="3"/>
  <c r="T63" i="3"/>
  <c r="O63" i="3"/>
  <c r="J63" i="3"/>
  <c r="E63" i="3"/>
  <c r="BR62" i="3"/>
  <c r="BJ62" i="3"/>
  <c r="BF62" i="3"/>
  <c r="AX62" i="3"/>
  <c r="AQ62" i="3"/>
  <c r="AI62" i="3"/>
  <c r="AD62" i="3"/>
  <c r="Y62" i="3"/>
  <c r="T62" i="3"/>
  <c r="O62" i="3"/>
  <c r="J62" i="3"/>
  <c r="E62" i="3"/>
  <c r="BR61" i="3"/>
  <c r="BJ61" i="3"/>
  <c r="BF61" i="3"/>
  <c r="AX61" i="3"/>
  <c r="AQ61" i="3"/>
  <c r="AI61" i="3"/>
  <c r="AD61" i="3"/>
  <c r="Y61" i="3"/>
  <c r="T61" i="3"/>
  <c r="O61" i="3"/>
  <c r="J61" i="3"/>
  <c r="E61" i="3"/>
  <c r="BR60" i="3"/>
  <c r="BJ60" i="3"/>
  <c r="BF60" i="3"/>
  <c r="AX60" i="3"/>
  <c r="AQ60" i="3"/>
  <c r="AI60" i="3"/>
  <c r="AD60" i="3"/>
  <c r="Y60" i="3"/>
  <c r="T60" i="3"/>
  <c r="O60" i="3"/>
  <c r="J60" i="3"/>
  <c r="E60" i="3"/>
  <c r="BR59" i="3"/>
  <c r="BJ59" i="3"/>
  <c r="BF59" i="3"/>
  <c r="AX59" i="3"/>
  <c r="AQ59" i="3"/>
  <c r="AI59" i="3"/>
  <c r="AD59" i="3"/>
  <c r="Y59" i="3"/>
  <c r="T59" i="3"/>
  <c r="O59" i="3"/>
  <c r="J59" i="3"/>
  <c r="E59" i="3"/>
  <c r="BR58" i="3"/>
  <c r="BJ58" i="3"/>
  <c r="BF58" i="3"/>
  <c r="AX58" i="3"/>
  <c r="AQ58" i="3"/>
  <c r="AI58" i="3"/>
  <c r="AD58" i="3"/>
  <c r="Y58" i="3"/>
  <c r="T58" i="3"/>
  <c r="O58" i="3"/>
  <c r="J58" i="3"/>
  <c r="E58" i="3"/>
  <c r="BR57" i="3"/>
  <c r="BJ57" i="3"/>
  <c r="BF57" i="3"/>
  <c r="AX57" i="3"/>
  <c r="AQ57" i="3"/>
  <c r="AI57" i="3"/>
  <c r="AD57" i="3"/>
  <c r="Y57" i="3"/>
  <c r="T57" i="3"/>
  <c r="O57" i="3"/>
  <c r="J57" i="3"/>
  <c r="E57" i="3"/>
  <c r="BR56" i="3"/>
  <c r="BJ56" i="3"/>
  <c r="BF56" i="3"/>
  <c r="AX56" i="3"/>
  <c r="AQ56" i="3"/>
  <c r="AI56" i="3"/>
  <c r="AD56" i="3"/>
  <c r="Y56" i="3"/>
  <c r="T56" i="3"/>
  <c r="O56" i="3"/>
  <c r="J56" i="3"/>
  <c r="E56" i="3"/>
  <c r="BR55" i="3"/>
  <c r="BJ55" i="3"/>
  <c r="BF55" i="3"/>
  <c r="AX55" i="3"/>
  <c r="AQ55" i="3"/>
  <c r="AI55" i="3"/>
  <c r="AD55" i="3"/>
  <c r="Y55" i="3"/>
  <c r="T55" i="3"/>
  <c r="O55" i="3"/>
  <c r="J55" i="3"/>
  <c r="E55" i="3"/>
  <c r="BR54" i="3"/>
  <c r="BJ54" i="3"/>
  <c r="BF54" i="3"/>
  <c r="AX54" i="3"/>
  <c r="AQ54" i="3"/>
  <c r="AI54" i="3"/>
  <c r="AD54" i="3"/>
  <c r="Y54" i="3"/>
  <c r="T54" i="3"/>
  <c r="O54" i="3"/>
  <c r="J54" i="3"/>
  <c r="E54" i="3"/>
  <c r="BR53" i="3"/>
  <c r="BJ53" i="3"/>
  <c r="BF53" i="3"/>
  <c r="AX53" i="3"/>
  <c r="AQ53" i="3"/>
  <c r="AI53" i="3"/>
  <c r="AD53" i="3"/>
  <c r="Y53" i="3"/>
  <c r="T53" i="3"/>
  <c r="O53" i="3"/>
  <c r="J53" i="3"/>
  <c r="E53" i="3"/>
  <c r="BR52" i="3"/>
  <c r="BJ52" i="3"/>
  <c r="BF52" i="3"/>
  <c r="AX52" i="3"/>
  <c r="AQ52" i="3"/>
  <c r="AI52" i="3"/>
  <c r="AD52" i="3"/>
  <c r="Y52" i="3"/>
  <c r="T52" i="3"/>
  <c r="O52" i="3"/>
  <c r="J52" i="3"/>
  <c r="E52" i="3"/>
  <c r="BR51" i="3"/>
  <c r="BJ51" i="3"/>
  <c r="BF51" i="3"/>
  <c r="AX51" i="3"/>
  <c r="AQ51" i="3"/>
  <c r="AI51" i="3"/>
  <c r="AD51" i="3"/>
  <c r="Y51" i="3"/>
  <c r="T51" i="3"/>
  <c r="O51" i="3"/>
  <c r="J51" i="3"/>
  <c r="E51" i="3"/>
  <c r="BR50" i="3"/>
  <c r="BJ50" i="3"/>
  <c r="BF50" i="3"/>
  <c r="AX50" i="3"/>
  <c r="AQ50" i="3"/>
  <c r="AI50" i="3"/>
  <c r="AD50" i="3"/>
  <c r="Y50" i="3"/>
  <c r="T50" i="3"/>
  <c r="O50" i="3"/>
  <c r="J50" i="3"/>
  <c r="E50" i="3"/>
  <c r="BR49" i="3"/>
  <c r="BJ49" i="3"/>
  <c r="BF49" i="3"/>
  <c r="AX49" i="3"/>
  <c r="AQ49" i="3"/>
  <c r="AI49" i="3"/>
  <c r="AD49" i="3"/>
  <c r="Y49" i="3"/>
  <c r="T49" i="3"/>
  <c r="O49" i="3"/>
  <c r="J49" i="3"/>
  <c r="E49" i="3"/>
  <c r="BR48" i="3"/>
  <c r="BJ48" i="3"/>
  <c r="BF48" i="3"/>
  <c r="AX48" i="3"/>
  <c r="AQ48" i="3"/>
  <c r="AI48" i="3"/>
  <c r="AD48" i="3"/>
  <c r="Y48" i="3"/>
  <c r="T48" i="3"/>
  <c r="O48" i="3"/>
  <c r="J48" i="3"/>
  <c r="E48" i="3"/>
  <c r="BR47" i="3"/>
  <c r="BJ47" i="3"/>
  <c r="BF47" i="3"/>
  <c r="AX47" i="3"/>
  <c r="AQ47" i="3"/>
  <c r="AI47" i="3"/>
  <c r="AD47" i="3"/>
  <c r="Y47" i="3"/>
  <c r="T47" i="3"/>
  <c r="O47" i="3"/>
  <c r="J47" i="3"/>
  <c r="E47" i="3"/>
  <c r="BR46" i="3"/>
  <c r="BJ46" i="3"/>
  <c r="BF46" i="3"/>
  <c r="AX46" i="3"/>
  <c r="AQ46" i="3"/>
  <c r="AI46" i="3"/>
  <c r="AD46" i="3"/>
  <c r="Y46" i="3"/>
  <c r="T46" i="3"/>
  <c r="O46" i="3"/>
  <c r="J46" i="3"/>
  <c r="E46" i="3"/>
  <c r="BR45" i="3"/>
  <c r="BJ45" i="3"/>
  <c r="BF45" i="3"/>
  <c r="AX45" i="3"/>
  <c r="AQ45" i="3"/>
  <c r="AI45" i="3"/>
  <c r="AD45" i="3"/>
  <c r="Y45" i="3"/>
  <c r="T45" i="3"/>
  <c r="O45" i="3"/>
  <c r="J45" i="3"/>
  <c r="E45" i="3"/>
  <c r="BR44" i="3"/>
  <c r="BJ44" i="3"/>
  <c r="BF44" i="3"/>
  <c r="AX44" i="3"/>
  <c r="AQ44" i="3"/>
  <c r="AI44" i="3"/>
  <c r="AD44" i="3"/>
  <c r="Y44" i="3"/>
  <c r="T44" i="3"/>
  <c r="O44" i="3"/>
  <c r="J44" i="3"/>
  <c r="E44" i="3"/>
  <c r="BR43" i="3"/>
  <c r="BJ43" i="3"/>
  <c r="BF43" i="3"/>
  <c r="AX43" i="3"/>
  <c r="AQ43" i="3"/>
  <c r="AI43" i="3"/>
  <c r="AD43" i="3"/>
  <c r="Y43" i="3"/>
  <c r="T43" i="3"/>
  <c r="O43" i="3"/>
  <c r="J43" i="3"/>
  <c r="E43" i="3"/>
  <c r="BR42" i="3"/>
  <c r="BJ42" i="3"/>
  <c r="BF42" i="3"/>
  <c r="AX42" i="3"/>
  <c r="AQ42" i="3"/>
  <c r="AI42" i="3"/>
  <c r="AD42" i="3"/>
  <c r="Y42" i="3"/>
  <c r="T42" i="3"/>
  <c r="O42" i="3"/>
  <c r="J42" i="3"/>
  <c r="E42" i="3"/>
  <c r="BR41" i="3"/>
  <c r="BJ41" i="3"/>
  <c r="BF41" i="3"/>
  <c r="AX41" i="3"/>
  <c r="AQ41" i="3"/>
  <c r="AI41" i="3"/>
  <c r="AD41" i="3"/>
  <c r="Y41" i="3"/>
  <c r="T41" i="3"/>
  <c r="O41" i="3"/>
  <c r="J41" i="3"/>
  <c r="E41" i="3"/>
  <c r="BR40" i="3"/>
  <c r="BJ40" i="3"/>
  <c r="BF40" i="3"/>
  <c r="AX40" i="3"/>
  <c r="AQ40" i="3"/>
  <c r="AI40" i="3"/>
  <c r="AD40" i="3"/>
  <c r="Y40" i="3"/>
  <c r="T40" i="3"/>
  <c r="O40" i="3"/>
  <c r="J40" i="3"/>
  <c r="E40" i="3"/>
  <c r="BR39" i="3"/>
  <c r="BJ39" i="3"/>
  <c r="BF39" i="3"/>
  <c r="AX39" i="3"/>
  <c r="AQ39" i="3"/>
  <c r="AI39" i="3"/>
  <c r="AD39" i="3"/>
  <c r="Y39" i="3"/>
  <c r="T39" i="3"/>
  <c r="O39" i="3"/>
  <c r="J39" i="3"/>
  <c r="E39" i="3"/>
  <c r="BR38" i="3"/>
  <c r="BJ38" i="3"/>
  <c r="BF38" i="3"/>
  <c r="AX38" i="3"/>
  <c r="AQ38" i="3"/>
  <c r="AI38" i="3"/>
  <c r="AD38" i="3"/>
  <c r="Y38" i="3"/>
  <c r="T38" i="3"/>
  <c r="O38" i="3"/>
  <c r="J38" i="3"/>
  <c r="E38" i="3"/>
  <c r="BR37" i="3"/>
  <c r="BJ37" i="3"/>
  <c r="BF37" i="3"/>
  <c r="AX37" i="3"/>
  <c r="AQ37" i="3"/>
  <c r="AI37" i="3"/>
  <c r="AD37" i="3"/>
  <c r="Y37" i="3"/>
  <c r="T37" i="3"/>
  <c r="O37" i="3"/>
  <c r="J37" i="3"/>
  <c r="E37" i="3"/>
  <c r="BR36" i="3"/>
  <c r="BJ36" i="3"/>
  <c r="BF36" i="3"/>
  <c r="AX36" i="3"/>
  <c r="AQ36" i="3"/>
  <c r="AI36" i="3"/>
  <c r="AD36" i="3"/>
  <c r="Y36" i="3"/>
  <c r="T36" i="3"/>
  <c r="O36" i="3"/>
  <c r="J36" i="3"/>
  <c r="E36" i="3"/>
  <c r="BR35" i="3"/>
  <c r="BJ35" i="3"/>
  <c r="BF35" i="3"/>
  <c r="AX35" i="3"/>
  <c r="AQ35" i="3"/>
  <c r="AI35" i="3"/>
  <c r="AD35" i="3"/>
  <c r="Y35" i="3"/>
  <c r="T35" i="3"/>
  <c r="O35" i="3"/>
  <c r="J35" i="3"/>
  <c r="E35" i="3"/>
  <c r="BR34" i="3"/>
  <c r="BJ34" i="3"/>
  <c r="BF34" i="3"/>
  <c r="AX34" i="3"/>
  <c r="AQ34" i="3"/>
  <c r="AI34" i="3"/>
  <c r="AD34" i="3"/>
  <c r="Y34" i="3"/>
  <c r="T34" i="3"/>
  <c r="O34" i="3"/>
  <c r="J34" i="3"/>
  <c r="E34" i="3"/>
  <c r="BR33" i="3"/>
  <c r="BJ33" i="3"/>
  <c r="BF33" i="3"/>
  <c r="AX33" i="3"/>
  <c r="AQ33" i="3"/>
  <c r="AI33" i="3"/>
  <c r="AD33" i="3"/>
  <c r="Y33" i="3"/>
  <c r="T33" i="3"/>
  <c r="O33" i="3"/>
  <c r="J33" i="3"/>
  <c r="E33" i="3"/>
  <c r="BR32" i="3"/>
  <c r="BJ32" i="3"/>
  <c r="BF32" i="3"/>
  <c r="AX32" i="3"/>
  <c r="AQ32" i="3"/>
  <c r="AI32" i="3"/>
  <c r="AD32" i="3"/>
  <c r="Y32" i="3"/>
  <c r="T32" i="3"/>
  <c r="O32" i="3"/>
  <c r="J32" i="3"/>
  <c r="E32" i="3"/>
  <c r="BR31" i="3"/>
  <c r="BJ31" i="3"/>
  <c r="BF31" i="3"/>
  <c r="AX31" i="3"/>
  <c r="AQ31" i="3"/>
  <c r="AI31" i="3"/>
  <c r="AD31" i="3"/>
  <c r="Y31" i="3"/>
  <c r="T31" i="3"/>
  <c r="O31" i="3"/>
  <c r="J31" i="3"/>
  <c r="E31" i="3"/>
  <c r="BR30" i="3"/>
  <c r="BJ30" i="3"/>
  <c r="BF30" i="3"/>
  <c r="AX30" i="3"/>
  <c r="AQ30" i="3"/>
  <c r="AI30" i="3"/>
  <c r="AD30" i="3"/>
  <c r="Y30" i="3"/>
  <c r="T30" i="3"/>
  <c r="O30" i="3"/>
  <c r="J30" i="3"/>
  <c r="E30" i="3"/>
  <c r="BR29" i="3"/>
  <c r="BJ29" i="3"/>
  <c r="BF29" i="3"/>
  <c r="AX29" i="3"/>
  <c r="AQ29" i="3"/>
  <c r="AI29" i="3"/>
  <c r="AD29" i="3"/>
  <c r="Y29" i="3"/>
  <c r="T29" i="3"/>
  <c r="O29" i="3"/>
  <c r="J29" i="3"/>
  <c r="E29" i="3"/>
  <c r="BR28" i="3"/>
  <c r="BJ28" i="3"/>
  <c r="BF28" i="3"/>
  <c r="AX28" i="3"/>
  <c r="AQ28" i="3"/>
  <c r="AI28" i="3"/>
  <c r="AD28" i="3"/>
  <c r="Y28" i="3"/>
  <c r="T28" i="3"/>
  <c r="O28" i="3"/>
  <c r="J28" i="3"/>
  <c r="E28" i="3"/>
  <c r="BR27" i="3"/>
  <c r="BJ27" i="3"/>
  <c r="BF27" i="3"/>
  <c r="AX27" i="3"/>
  <c r="AQ27" i="3"/>
  <c r="AI27" i="3"/>
  <c r="AD27" i="3"/>
  <c r="Y27" i="3"/>
  <c r="T27" i="3"/>
  <c r="O27" i="3"/>
  <c r="J27" i="3"/>
  <c r="E27" i="3"/>
  <c r="BR26" i="3"/>
  <c r="BJ26" i="3"/>
  <c r="BF26" i="3"/>
  <c r="AX26" i="3"/>
  <c r="AQ26" i="3"/>
  <c r="AI26" i="3"/>
  <c r="AD26" i="3"/>
  <c r="Y26" i="3"/>
  <c r="T26" i="3"/>
  <c r="O26" i="3"/>
  <c r="J26" i="3"/>
  <c r="E26" i="3"/>
  <c r="BR25" i="3"/>
  <c r="BJ25" i="3"/>
  <c r="BF25" i="3"/>
  <c r="AX25" i="3"/>
  <c r="AQ25" i="3"/>
  <c r="AI25" i="3"/>
  <c r="AD25" i="3"/>
  <c r="Y25" i="3"/>
  <c r="T25" i="3"/>
  <c r="O25" i="3"/>
  <c r="J25" i="3"/>
  <c r="E25" i="3"/>
  <c r="BR24" i="3"/>
  <c r="BJ24" i="3"/>
  <c r="BF24" i="3"/>
  <c r="AX24" i="3"/>
  <c r="AQ24" i="3"/>
  <c r="AI24" i="3"/>
  <c r="AD24" i="3"/>
  <c r="Y24" i="3"/>
  <c r="T24" i="3"/>
  <c r="O24" i="3"/>
  <c r="J24" i="3"/>
  <c r="E24" i="3"/>
  <c r="BR23" i="3"/>
  <c r="BJ23" i="3"/>
  <c r="BF23" i="3"/>
  <c r="AX23" i="3"/>
  <c r="AQ23" i="3"/>
  <c r="AI23" i="3"/>
  <c r="AD23" i="3"/>
  <c r="Y23" i="3"/>
  <c r="T23" i="3"/>
  <c r="O23" i="3"/>
  <c r="J23" i="3"/>
  <c r="E23" i="3"/>
  <c r="BR22" i="3"/>
  <c r="BJ22" i="3"/>
  <c r="BF22" i="3"/>
  <c r="AX22" i="3"/>
  <c r="AQ22" i="3"/>
  <c r="AI22" i="3"/>
  <c r="AD22" i="3"/>
  <c r="Y22" i="3"/>
  <c r="T22" i="3"/>
  <c r="O22" i="3"/>
  <c r="J22" i="3"/>
  <c r="E22" i="3"/>
  <c r="BR21" i="3"/>
  <c r="BJ21" i="3"/>
  <c r="BF21" i="3"/>
  <c r="AX21" i="3"/>
  <c r="AQ21" i="3"/>
  <c r="AI21" i="3"/>
  <c r="AD21" i="3"/>
  <c r="Y21" i="3"/>
  <c r="T21" i="3"/>
  <c r="O21" i="3"/>
  <c r="J21" i="3"/>
  <c r="E21" i="3"/>
  <c r="BR20" i="3"/>
  <c r="BJ20" i="3"/>
  <c r="BF20" i="3"/>
  <c r="AX20" i="3"/>
  <c r="AQ20" i="3"/>
  <c r="AI20" i="3"/>
  <c r="AD20" i="3"/>
  <c r="Y20" i="3"/>
  <c r="T20" i="3"/>
  <c r="O20" i="3"/>
  <c r="J20" i="3"/>
  <c r="E20" i="3"/>
  <c r="BR19" i="3"/>
  <c r="BJ19" i="3"/>
  <c r="BF19" i="3"/>
  <c r="AX19" i="3"/>
  <c r="AQ19" i="3"/>
  <c r="AI19" i="3"/>
  <c r="AD19" i="3"/>
  <c r="Y19" i="3"/>
  <c r="T19" i="3"/>
  <c r="O19" i="3"/>
  <c r="J19" i="3"/>
  <c r="E19" i="3"/>
  <c r="BR18" i="3"/>
  <c r="BJ18" i="3"/>
  <c r="BF18" i="3"/>
  <c r="AX18" i="3"/>
  <c r="AQ18" i="3"/>
  <c r="AI18" i="3"/>
  <c r="AD18" i="3"/>
  <c r="Y18" i="3"/>
  <c r="T18" i="3"/>
  <c r="O18" i="3"/>
  <c r="J18" i="3"/>
  <c r="E18" i="3"/>
  <c r="BR17" i="3"/>
  <c r="BJ17" i="3"/>
  <c r="BF17" i="3"/>
  <c r="AX17" i="3"/>
  <c r="AQ17" i="3"/>
  <c r="AI17" i="3"/>
  <c r="AD17" i="3"/>
  <c r="Y17" i="3"/>
  <c r="T17" i="3"/>
  <c r="O17" i="3"/>
  <c r="J17" i="3"/>
  <c r="E17" i="3"/>
  <c r="BR16" i="3"/>
  <c r="BJ16" i="3"/>
  <c r="BF16" i="3"/>
  <c r="AX16" i="3"/>
  <c r="AQ16" i="3"/>
  <c r="AI16" i="3"/>
  <c r="AD16" i="3"/>
  <c r="Y16" i="3"/>
  <c r="T16" i="3"/>
  <c r="O16" i="3"/>
  <c r="J16" i="3"/>
  <c r="E16" i="3"/>
  <c r="BR15" i="3"/>
  <c r="BJ15" i="3"/>
  <c r="BF15" i="3"/>
  <c r="AX15" i="3"/>
  <c r="AQ15" i="3"/>
  <c r="AI15" i="3"/>
  <c r="AD15" i="3"/>
  <c r="Y15" i="3"/>
  <c r="T15" i="3"/>
  <c r="O15" i="3"/>
  <c r="J15" i="3"/>
  <c r="E15" i="3"/>
  <c r="BR14" i="3"/>
  <c r="BJ14" i="3"/>
  <c r="BF14" i="3"/>
  <c r="AX14" i="3"/>
  <c r="AQ14" i="3"/>
  <c r="AI14" i="3"/>
  <c r="AD14" i="3"/>
  <c r="Y14" i="3"/>
  <c r="T14" i="3"/>
  <c r="O14" i="3"/>
  <c r="J14" i="3"/>
  <c r="E14" i="3"/>
  <c r="BR13" i="3"/>
  <c r="BJ13" i="3"/>
  <c r="BF13" i="3"/>
  <c r="AX13" i="3"/>
  <c r="AQ13" i="3"/>
  <c r="AI13" i="3"/>
  <c r="AD13" i="3"/>
  <c r="Y13" i="3"/>
  <c r="T13" i="3"/>
  <c r="O13" i="3"/>
  <c r="J13" i="3"/>
  <c r="E13" i="3"/>
  <c r="BR12" i="3"/>
  <c r="BJ12" i="3"/>
  <c r="BF12" i="3"/>
  <c r="AX12" i="3"/>
  <c r="AQ12" i="3"/>
  <c r="AI12" i="3"/>
  <c r="AD12" i="3"/>
  <c r="Y12" i="3"/>
  <c r="T12" i="3"/>
  <c r="O12" i="3"/>
  <c r="J12" i="3"/>
  <c r="E12" i="3"/>
  <c r="BR11" i="3"/>
  <c r="BJ11" i="3"/>
  <c r="BF11" i="3"/>
  <c r="AX11" i="3"/>
  <c r="AQ11" i="3"/>
  <c r="AI11" i="3"/>
  <c r="AD11" i="3"/>
  <c r="Y11" i="3"/>
  <c r="T11" i="3"/>
  <c r="O11" i="3"/>
  <c r="J11" i="3"/>
  <c r="E11" i="3"/>
  <c r="BR10" i="3"/>
  <c r="BJ10" i="3"/>
  <c r="BF10" i="3"/>
  <c r="AX10" i="3"/>
  <c r="AQ10" i="3"/>
  <c r="AI10" i="3"/>
  <c r="AD10" i="3"/>
  <c r="Y10" i="3"/>
  <c r="T10" i="3"/>
  <c r="O10" i="3"/>
  <c r="J10" i="3"/>
  <c r="E10" i="3"/>
  <c r="BR9" i="3"/>
  <c r="BJ9" i="3"/>
  <c r="BF9" i="3"/>
  <c r="AX9" i="3"/>
  <c r="AQ9" i="3"/>
  <c r="AI9" i="3"/>
  <c r="AD9" i="3"/>
  <c r="Y9" i="3"/>
  <c r="T9" i="3"/>
  <c r="O9" i="3"/>
  <c r="J9" i="3"/>
  <c r="E9" i="3"/>
  <c r="BR8" i="3"/>
  <c r="BJ8" i="3"/>
  <c r="BF8" i="3"/>
  <c r="AX8" i="3"/>
  <c r="AQ8" i="3"/>
  <c r="AI8" i="3"/>
  <c r="AD8" i="3"/>
  <c r="Y8" i="3"/>
  <c r="T8" i="3"/>
  <c r="O8" i="3"/>
  <c r="J8" i="3"/>
  <c r="E8" i="3"/>
  <c r="BR7" i="3"/>
  <c r="BJ7" i="3"/>
  <c r="BF7" i="3"/>
  <c r="AX7" i="3"/>
  <c r="AQ7" i="3"/>
  <c r="AI7" i="3"/>
  <c r="AD7" i="3"/>
  <c r="Y7" i="3"/>
  <c r="O7" i="3"/>
  <c r="J7" i="3"/>
  <c r="E7" i="3"/>
  <c r="BR6" i="3"/>
  <c r="BJ6" i="3"/>
  <c r="BF6" i="3"/>
  <c r="AX6" i="3"/>
  <c r="AQ6" i="3"/>
  <c r="AI6" i="3"/>
  <c r="AD6" i="3"/>
  <c r="Y6" i="3"/>
  <c r="O6" i="3"/>
  <c r="J6" i="3"/>
  <c r="E6" i="3"/>
  <c r="BR5" i="3"/>
  <c r="BJ5" i="3"/>
  <c r="BF5" i="3"/>
  <c r="AX5" i="3"/>
  <c r="AQ5" i="3"/>
  <c r="AI5" i="3"/>
  <c r="AD5" i="3"/>
  <c r="Y5" i="3"/>
  <c r="O5" i="3"/>
  <c r="J5" i="3"/>
  <c r="E5" i="3"/>
  <c r="BR4" i="3"/>
  <c r="AI4" i="3"/>
  <c r="AD4" i="3"/>
  <c r="Y4" i="3"/>
  <c r="O4" i="3"/>
  <c r="E4" i="3"/>
</calcChain>
</file>

<file path=xl/sharedStrings.xml><?xml version="1.0" encoding="utf-8"?>
<sst xmlns="http://schemas.openxmlformats.org/spreadsheetml/2006/main" count="412" uniqueCount="138">
  <si>
    <t>Order</t>
  </si>
  <si>
    <t>Dataset</t>
  </si>
  <si>
    <t>Filename</t>
  </si>
  <si>
    <t>Data Start</t>
  </si>
  <si>
    <t>Data End</t>
  </si>
  <si>
    <t>Cleaned Up</t>
  </si>
  <si>
    <t>Granularity</t>
  </si>
  <si>
    <t>Aligned</t>
  </si>
  <si>
    <t>Check 1</t>
  </si>
  <si>
    <t>WTI Crude Oil (CL=F) 1983-2026</t>
  </si>
  <si>
    <t>Daily</t>
  </si>
  <si>
    <t>VIX (^VIX) 1990-2026</t>
  </si>
  <si>
    <t>S&amp;P500 (^GSPC) 1927-2026</t>
  </si>
  <si>
    <t>RBOB Gasoline (RB=F) 2005-2026</t>
  </si>
  <si>
    <t>OVX (Oil Implied Vol) (^OVX) 2007-2026</t>
  </si>
  <si>
    <t>Natural Gas (NG=F) 1990-2026</t>
  </si>
  <si>
    <t xml:space="preserve">HEATING OILE (HO=F) </t>
  </si>
  <si>
    <t>GOLD (GC=F)</t>
  </si>
  <si>
    <t>EEM EMERGING MARKETS</t>
  </si>
  <si>
    <t>??</t>
  </si>
  <si>
    <t>DXY US DOLLAR INDEX</t>
  </si>
  <si>
    <t>10Y Treasury Yield ^TMX</t>
  </si>
  <si>
    <t>-not inserted - replace above</t>
  </si>
  <si>
    <t>TCMSY10 - Daily 1990-01-01 - 2026-04-26</t>
  </si>
  <si>
    <t>SPR Inventories (PET.WCSSTUS1.W) 1982-Present</t>
  </si>
  <si>
    <t>Refinery Utilization Rate (PET.WPULEUS3.W)1990-2026</t>
  </si>
  <si>
    <t xml:space="preserve">Weekly Stock Exclud SPR of crd oil </t>
  </si>
  <si>
    <t>Geopolitical Risk Index (Dario Caldara &amp; Matteo Iacoviello)</t>
  </si>
  <si>
    <t>US Crude Production (PET.MCRFPUS2.M) 1920-2026</t>
  </si>
  <si>
    <t>US Industrial Production (INDPRO) 1980-2026</t>
  </si>
  <si>
    <t>Kilian Global Real Economic Activity (IGREA) 1980-2026</t>
  </si>
  <si>
    <t>In Tab?</t>
  </si>
  <si>
    <t>Notes</t>
  </si>
  <si>
    <t>investing_com</t>
  </si>
  <si>
    <t>Ryan S</t>
  </si>
  <si>
    <t>Weekly</t>
  </si>
  <si>
    <t>do not include in analysis - not enough aligned data</t>
  </si>
  <si>
    <t>TCMSY10 - Weekly 1990-01-01 - 2026-04-26</t>
  </si>
  <si>
    <t>CapitalIQ</t>
  </si>
  <si>
    <t>Jerry</t>
  </si>
  <si>
    <t>Y</t>
  </si>
  <si>
    <t>Monthly</t>
  </si>
  <si>
    <t>https://www.investing.com/indices/us-spx-500-historical-data</t>
  </si>
  <si>
    <t>Deepika</t>
  </si>
  <si>
    <t>RBOB Gasoline (RB=F) 2005-2026 (GAS FUTURES??)</t>
  </si>
  <si>
    <t>n/a</t>
  </si>
  <si>
    <t>removed data misalignment</t>
  </si>
  <si>
    <t>removed data misalignment; using capitaliq data instead</t>
  </si>
  <si>
    <t>TCMSY10 - Monthly 1990-01-01 - 2026-04-26</t>
  </si>
  <si>
    <t>Ryan F</t>
  </si>
  <si>
    <t>???</t>
  </si>
  <si>
    <t>EIA</t>
  </si>
  <si>
    <t>Monthly not available; calcualted from weekly as average for month via pivot talbe, in original source file</t>
  </si>
  <si>
    <t xml:space="preserve">Weekly Stock Exclude SPR of crd oil </t>
  </si>
  <si>
    <t>GPR Matteo Iacoviello</t>
  </si>
  <si>
    <t>https://www.matteoiacoviello.com/gpr.html</t>
  </si>
  <si>
    <t>Fred</t>
  </si>
  <si>
    <t>Copper (HGN6)</t>
  </si>
  <si>
    <t>WTI</t>
  </si>
  <si>
    <t>VIX</t>
  </si>
  <si>
    <t>S&amp;P 500</t>
  </si>
  <si>
    <t>Date</t>
  </si>
  <si>
    <t>Price</t>
  </si>
  <si>
    <t>Open</t>
  </si>
  <si>
    <t>Change %</t>
  </si>
  <si>
    <t>% Change</t>
  </si>
  <si>
    <t>Master Date Col</t>
  </si>
  <si>
    <t xml:space="preserve">VIX </t>
  </si>
  <si>
    <t xml:space="preserve">HEATING OIL (HO=F) </t>
  </si>
  <si>
    <t>SPR Inventories (PET.WCSSTUS1.W) 1982-Present
(Monthly Average)</t>
  </si>
  <si>
    <t>Monthly Avg Stock Stock Exclude SPR of Crude Oil 
(Commercial Crude Inventories, Monthly Avg.)</t>
  </si>
  <si>
    <t>Copper</t>
  </si>
  <si>
    <t>IGREA</t>
  </si>
  <si>
    <t>WTI Price</t>
  </si>
  <si>
    <t>WTI Open</t>
  </si>
  <si>
    <t>WTI Change %</t>
  </si>
  <si>
    <t>VIX Date</t>
  </si>
  <si>
    <t>Close VIX</t>
  </si>
  <si>
    <t>Open VIX</t>
  </si>
  <si>
    <t>Change % VIX</t>
  </si>
  <si>
    <t>S&amp;P 500 Date</t>
  </si>
  <si>
    <t>Dates</t>
  </si>
  <si>
    <r>
      <rPr>
        <b/>
        <sz val="10"/>
        <color theme="1"/>
        <rFont val="Arial"/>
        <family val="2"/>
      </rPr>
      <t>United States Treasury Constant Maturity - 10 Year (%TCMSY10) - Rate Value</t>
    </r>
  </si>
  <si>
    <t>Month</t>
  </si>
  <si>
    <t>Monthly Avg. U.S. Ending Stocks of Crude Oil in SPR  (Thousand Barrels)</t>
  </si>
  <si>
    <t>Average of Weekly U.S. Percent Utilization of Refinery Operable Capacity (Percent)</t>
  </si>
  <si>
    <t>Monthly Avg. U.S. Ending Stocks excluding SPR of Crude Oil (Thousand Barrels)</t>
  </si>
  <si>
    <t>Recent GPR (Index: 1985:2019=100)</t>
  </si>
  <si>
    <t>Recent GPR Threats (Index: 1985:2019=100)</t>
  </si>
  <si>
    <t>U.S. Field Production of Crude Oil (Thousand Barrels per Day)</t>
  </si>
  <si>
    <t>Monthly % Change US Crude Production</t>
  </si>
  <si>
    <t>observation_date</t>
  </si>
  <si>
    <t>INDPRO</t>
  </si>
  <si>
    <t>INDPRO % Change</t>
  </si>
  <si>
    <t>wti_chg_pct</t>
  </si>
  <si>
    <t>vix_chg_pct</t>
  </si>
  <si>
    <t>sp500_chg_pct</t>
  </si>
  <si>
    <t>ng_chg_pct</t>
  </si>
  <si>
    <t>heatoil_chg_pct</t>
  </si>
  <si>
    <t>gld_chg_pct</t>
  </si>
  <si>
    <t>dxy_chg_pct</t>
  </si>
  <si>
    <t>tcmsy10_rate</t>
  </si>
  <si>
    <t>spr_inv_chg</t>
  </si>
  <si>
    <t>refin_util_rate</t>
  </si>
  <si>
    <t>crude_stk_excl_spr</t>
  </si>
  <si>
    <t>WTI Close</t>
  </si>
  <si>
    <t>vix</t>
  </si>
  <si>
    <t>gpr_index</t>
  </si>
  <si>
    <t>gpr_threats_index</t>
  </si>
  <si>
    <t>indpro_pct_chg</t>
  </si>
  <si>
    <t>wti_close</t>
  </si>
  <si>
    <t>wti_open</t>
  </si>
  <si>
    <t>vix_close</t>
  </si>
  <si>
    <t>vix_open</t>
  </si>
  <si>
    <t>sp500_close</t>
  </si>
  <si>
    <t>sp500_open</t>
  </si>
  <si>
    <t>ng_close</t>
  </si>
  <si>
    <t>ng_open</t>
  </si>
  <si>
    <t>heatOil_close</t>
  </si>
  <si>
    <t>heatOil_open</t>
  </si>
  <si>
    <t>gold_close</t>
  </si>
  <si>
    <t>gold_open</t>
  </si>
  <si>
    <t>dxy_close</t>
  </si>
  <si>
    <t>dxy_open</t>
  </si>
  <si>
    <t>crude_stk_level</t>
  </si>
  <si>
    <t>spr_inv_level</t>
  </si>
  <si>
    <t>gpr_idx_level</t>
  </si>
  <si>
    <t>gpr_threats_idx_level</t>
  </si>
  <si>
    <t>us_crudeProd_level</t>
  </si>
  <si>
    <t>us_crudeProd_chg_pct</t>
  </si>
  <si>
    <t>indpro_level</t>
  </si>
  <si>
    <t>indpro_chg_pct</t>
  </si>
  <si>
    <t>igrea_level</t>
  </si>
  <si>
    <t>copper_chg_pct</t>
  </si>
  <si>
    <t>copper_open</t>
  </si>
  <si>
    <t>copper_close</t>
  </si>
  <si>
    <t>tcmsy10_rate_1st_diff</t>
  </si>
  <si>
    <t>1st Difference 10Y 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</si>
</sst>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mmm\ yyyy"/>
    <numFmt numFmtId="165" formatCode="m/d/yy"/>
    <numFmt numFmtId="166" formatCode="0.00000"/>
    <numFmt numFmtId="167" formatCode="mmm\-yyyy"/>
    <numFmt numFmtId="168" formatCode="0.0000"/>
    <numFmt numFmtId="169" formatCode="0.0000000000"/>
    <numFmt numFmtId="170" formatCode="mm/dd/yyyy"/>
    <numFmt numFmtId="171" formatCode="[$-409]mmm\-dd\-yyyy"/>
    <numFmt numFmtId="172" formatCode="yyyy\-mmm"/>
    <numFmt numFmtId="173" formatCode="yyyy\-mm\-dd"/>
    <numFmt numFmtId="174" formatCode="yyyy\-mmmm"/>
    <numFmt numFmtId="179" formatCode="mmmm\-yyyy"/>
  </numFmts>
  <fonts count="52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  <scheme val="minor"/>
    </font>
    <font>
      <sz val="10"/>
      <color rgb="FF1F1F1F"/>
      <name val="Arial"/>
      <family val="2"/>
      <scheme val="minor"/>
    </font>
    <font>
      <sz val="10"/>
      <color rgb="FFFFFFFF"/>
      <name val="Arial"/>
      <family val="2"/>
      <scheme val="minor"/>
    </font>
    <font>
      <strike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trike/>
      <sz val="10"/>
      <color rgb="FFB7B7B7"/>
      <name val="Arial"/>
      <family val="2"/>
      <scheme val="minor"/>
    </font>
    <font>
      <sz val="10"/>
      <color rgb="FFB7B7B7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232526"/>
      <name val="Inter"/>
    </font>
    <font>
      <sz val="11"/>
      <color rgb="FF5B616E"/>
      <name val="Inter"/>
    </font>
    <font>
      <sz val="10"/>
      <name val="Arial"/>
      <family val="2"/>
    </font>
    <font>
      <b/>
      <sz val="12"/>
      <color rgb="FF000000"/>
      <name val="&quot;Aptos Narrow&quot;"/>
    </font>
    <font>
      <sz val="12"/>
      <color rgb="FF000000"/>
      <name val="&quot;Aptos Narrow&quot;"/>
    </font>
    <font>
      <sz val="10"/>
      <color theme="1"/>
      <name val="Arial"/>
      <family val="2"/>
    </font>
    <font>
      <b/>
      <sz val="14"/>
      <color theme="0"/>
      <name val="Arial"/>
      <family val="2"/>
    </font>
    <font>
      <b/>
      <sz val="14"/>
      <color rgb="FF000000"/>
      <name val="Arial"/>
      <family val="2"/>
    </font>
    <font>
      <sz val="14"/>
      <color theme="1"/>
      <name val="Arial"/>
      <family val="2"/>
    </font>
    <font>
      <b/>
      <sz val="14"/>
      <color rgb="FF000000"/>
      <name val="Helvetica Neue"/>
    </font>
    <font>
      <b/>
      <sz val="14"/>
      <color theme="1"/>
      <name val="Arial"/>
      <family val="2"/>
      <scheme val="minor"/>
    </font>
    <font>
      <b/>
      <sz val="14"/>
      <color theme="1"/>
      <name val="Arial"/>
      <family val="2"/>
    </font>
    <font>
      <b/>
      <i/>
      <sz val="14"/>
      <color theme="1"/>
      <name val="Arial"/>
      <family val="2"/>
      <scheme val="minor"/>
    </font>
    <font>
      <b/>
      <sz val="14"/>
      <color theme="1"/>
      <name val="Calibri"/>
      <family val="2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Helvetica Neue"/>
    </font>
    <font>
      <b/>
      <sz val="10"/>
      <color theme="1"/>
      <name val="Arial"/>
      <family val="2"/>
      <scheme val="minor"/>
    </font>
    <font>
      <b/>
      <sz val="10"/>
      <color rgb="FF000000"/>
      <name val="&quot;Aptos Narrow&quot;"/>
    </font>
    <font>
      <b/>
      <sz val="10"/>
      <color theme="1"/>
      <name val="Calibri"/>
      <family val="2"/>
    </font>
    <font>
      <b/>
      <sz val="12"/>
      <color theme="0"/>
      <name val="&quot;Aptos Narrow&quot;"/>
    </font>
    <font>
      <b/>
      <sz val="10"/>
      <color rgb="FF000000"/>
      <name val="Helvetica Neue"/>
    </font>
    <font>
      <sz val="10"/>
      <color rgb="FF000000"/>
      <name val="Helvetica Neue"/>
    </font>
    <font>
      <sz val="12"/>
      <color theme="1"/>
      <name val="Aptos Narrow"/>
      <family val="2"/>
    </font>
    <font>
      <sz val="11"/>
      <color theme="1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2"/>
      <color rgb="FFFFFFFF"/>
      <name val="&quot;\0022Aptos Narrow\0022&quot;"/>
    </font>
    <font>
      <b/>
      <sz val="12"/>
      <color rgb="FF000000"/>
      <name val="&quot;\0022Aptos Narrow\0022&quot;"/>
    </font>
    <font>
      <sz val="12"/>
      <color rgb="FF000000"/>
      <name val="&quot;\0022Aptos Narrow\0022&quot;"/>
    </font>
    <font>
      <sz val="10"/>
      <color rgb="FF000000"/>
      <name val="Arial"/>
      <family val="2"/>
    </font>
    <font>
      <sz val="10"/>
      <color rgb="FFFFFF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073763"/>
        <bgColor rgb="FF07376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CCCCCC"/>
        <bgColor rgb="FFCCCCCC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34A853"/>
        <bgColor rgb="FF34A85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5" fillId="3" borderId="0" xfId="0" applyFont="1" applyFill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7" fillId="4" borderId="0" xfId="0" applyFont="1" applyFill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0" fillId="0" borderId="2" xfId="0" applyFont="1" applyBorder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10" fillId="4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3" fillId="5" borderId="0" xfId="0" applyFont="1" applyFill="1" applyAlignment="1">
      <alignment horizontal="left"/>
    </xf>
    <xf numFmtId="0" fontId="14" fillId="5" borderId="0" xfId="0" applyFont="1" applyFill="1"/>
    <xf numFmtId="165" fontId="17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10" fontId="17" fillId="0" borderId="0" xfId="0" applyNumberFormat="1" applyFont="1" applyAlignment="1">
      <alignment horizontal="right"/>
    </xf>
    <xf numFmtId="10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0" fontId="19" fillId="4" borderId="0" xfId="0" applyFont="1" applyFill="1" applyAlignment="1">
      <alignment horizontal="center" vertical="center" wrapText="1"/>
    </xf>
    <xf numFmtId="0" fontId="20" fillId="8" borderId="0" xfId="0" applyFont="1" applyFill="1" applyAlignment="1">
      <alignment horizontal="center" vertical="center" wrapText="1"/>
    </xf>
    <xf numFmtId="0" fontId="21" fillId="8" borderId="0" xfId="0" applyFont="1" applyFill="1" applyAlignment="1">
      <alignment horizontal="center" vertical="center" wrapText="1"/>
    </xf>
    <xf numFmtId="0" fontId="24" fillId="8" borderId="0" xfId="0" applyFont="1" applyFill="1" applyAlignment="1">
      <alignment horizontal="center" vertical="center" wrapText="1"/>
    </xf>
    <xf numFmtId="0" fontId="27" fillId="4" borderId="0" xfId="0" applyFont="1" applyFill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8" fillId="8" borderId="0" xfId="0" applyFont="1" applyFill="1" applyAlignment="1">
      <alignment horizontal="left" vertical="center" wrapText="1"/>
    </xf>
    <xf numFmtId="0" fontId="29" fillId="8" borderId="0" xfId="0" applyFont="1" applyFill="1" applyAlignment="1">
      <alignment horizontal="left" vertical="center" wrapText="1"/>
    </xf>
    <xf numFmtId="0" fontId="30" fillId="5" borderId="0" xfId="0" applyFont="1" applyFill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top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wrapText="1"/>
    </xf>
    <xf numFmtId="0" fontId="29" fillId="0" borderId="0" xfId="0" applyFont="1" applyAlignment="1">
      <alignment horizontal="left"/>
    </xf>
    <xf numFmtId="0" fontId="33" fillId="0" borderId="0" xfId="0" applyFont="1" applyAlignment="1">
      <alignment horizontal="left" vertical="center" wrapText="1"/>
    </xf>
    <xf numFmtId="0" fontId="30" fillId="15" borderId="3" xfId="0" applyFont="1" applyFill="1" applyBorder="1" applyAlignment="1">
      <alignment horizontal="left" vertical="top"/>
    </xf>
    <xf numFmtId="166" fontId="30" fillId="15" borderId="3" xfId="0" applyNumberFormat="1" applyFont="1" applyFill="1" applyBorder="1" applyAlignment="1">
      <alignment horizontal="left" vertical="top"/>
    </xf>
    <xf numFmtId="167" fontId="34" fillId="4" borderId="0" xfId="0" applyNumberFormat="1" applyFont="1" applyFill="1" applyAlignment="1">
      <alignment horizontal="center"/>
    </xf>
    <xf numFmtId="167" fontId="16" fillId="0" borderId="0" xfId="0" applyNumberFormat="1" applyFont="1" applyAlignment="1">
      <alignment horizontal="right"/>
    </xf>
    <xf numFmtId="168" fontId="17" fillId="0" borderId="0" xfId="0" applyNumberFormat="1" applyFont="1" applyAlignment="1">
      <alignment horizontal="right"/>
    </xf>
    <xf numFmtId="165" fontId="17" fillId="8" borderId="0" xfId="0" applyNumberFormat="1" applyFont="1" applyFill="1" applyAlignment="1">
      <alignment horizontal="right"/>
    </xf>
    <xf numFmtId="165" fontId="16" fillId="0" borderId="0" xfId="0" applyNumberFormat="1" applyFont="1" applyAlignment="1">
      <alignment horizontal="right"/>
    </xf>
    <xf numFmtId="165" fontId="18" fillId="8" borderId="0" xfId="0" applyNumberFormat="1" applyFont="1" applyFill="1"/>
    <xf numFmtId="170" fontId="35" fillId="5" borderId="0" xfId="0" applyNumberFormat="1" applyFont="1" applyFill="1" applyAlignment="1">
      <alignment vertical="top"/>
    </xf>
    <xf numFmtId="0" fontId="36" fillId="5" borderId="0" xfId="0" applyFont="1" applyFill="1" applyAlignment="1">
      <alignment vertical="top"/>
    </xf>
    <xf numFmtId="10" fontId="2" fillId="5" borderId="0" xfId="0" applyNumberFormat="1" applyFont="1" applyFill="1" applyAlignment="1">
      <alignment vertical="top"/>
    </xf>
    <xf numFmtId="170" fontId="35" fillId="0" borderId="0" xfId="0" applyNumberFormat="1" applyFont="1" applyAlignment="1">
      <alignment vertical="top"/>
    </xf>
    <xf numFmtId="0" fontId="36" fillId="0" borderId="0" xfId="0" applyFont="1" applyAlignment="1">
      <alignment vertical="top"/>
    </xf>
    <xf numFmtId="10" fontId="36" fillId="0" borderId="0" xfId="0" applyNumberFormat="1" applyFont="1" applyAlignment="1">
      <alignment vertical="top"/>
    </xf>
    <xf numFmtId="171" fontId="18" fillId="0" borderId="0" xfId="0" applyNumberFormat="1" applyFont="1" applyAlignment="1">
      <alignment horizontal="right"/>
    </xf>
    <xf numFmtId="172" fontId="37" fillId="0" borderId="0" xfId="0" applyNumberFormat="1" applyFont="1"/>
    <xf numFmtId="0" fontId="37" fillId="0" borderId="0" xfId="0" applyFont="1" applyAlignment="1">
      <alignment horizontal="right"/>
    </xf>
    <xf numFmtId="10" fontId="18" fillId="0" borderId="0" xfId="0" applyNumberFormat="1" applyFont="1"/>
    <xf numFmtId="10" fontId="2" fillId="0" borderId="0" xfId="0" applyNumberFormat="1" applyFont="1"/>
    <xf numFmtId="172" fontId="37" fillId="0" borderId="0" xfId="0" applyNumberFormat="1" applyFont="1" applyAlignment="1">
      <alignment horizontal="right"/>
    </xf>
    <xf numFmtId="10" fontId="37" fillId="0" borderId="0" xfId="0" applyNumberFormat="1" applyFont="1" applyAlignment="1">
      <alignment horizontal="right"/>
    </xf>
    <xf numFmtId="14" fontId="18" fillId="0" borderId="0" xfId="0" applyNumberFormat="1" applyFont="1" applyAlignment="1">
      <alignment horizontal="right"/>
    </xf>
    <xf numFmtId="4" fontId="18" fillId="0" borderId="0" xfId="0" applyNumberFormat="1" applyFont="1" applyAlignment="1">
      <alignment horizontal="right"/>
    </xf>
    <xf numFmtId="167" fontId="18" fillId="0" borderId="0" xfId="0" applyNumberFormat="1" applyFont="1" applyAlignment="1">
      <alignment horizontal="right"/>
    </xf>
    <xf numFmtId="173" fontId="38" fillId="0" borderId="0" xfId="0" applyNumberFormat="1" applyFont="1" applyAlignment="1">
      <alignment horizontal="right"/>
    </xf>
    <xf numFmtId="168" fontId="38" fillId="0" borderId="0" xfId="0" applyNumberFormat="1" applyFont="1" applyAlignment="1">
      <alignment horizontal="right"/>
    </xf>
    <xf numFmtId="169" fontId="38" fillId="0" borderId="0" xfId="0" applyNumberFormat="1" applyFont="1" applyAlignment="1">
      <alignment horizontal="right"/>
    </xf>
    <xf numFmtId="10" fontId="38" fillId="0" borderId="0" xfId="0" applyNumberFormat="1" applyFont="1" applyAlignment="1">
      <alignment horizontal="right"/>
    </xf>
    <xf numFmtId="170" fontId="35" fillId="16" borderId="3" xfId="0" applyNumberFormat="1" applyFont="1" applyFill="1" applyBorder="1" applyAlignment="1">
      <alignment vertical="top"/>
    </xf>
    <xf numFmtId="166" fontId="36" fillId="0" borderId="3" xfId="0" applyNumberFormat="1" applyFont="1" applyBorder="1" applyAlignment="1">
      <alignment vertical="top"/>
    </xf>
    <xf numFmtId="10" fontId="36" fillId="0" borderId="3" xfId="0" applyNumberFormat="1" applyFont="1" applyBorder="1" applyAlignment="1">
      <alignment vertical="top"/>
    </xf>
    <xf numFmtId="0" fontId="39" fillId="0" borderId="0" xfId="0" applyFont="1" applyAlignment="1">
      <alignment horizontal="right"/>
    </xf>
    <xf numFmtId="174" fontId="37" fillId="0" borderId="0" xfId="0" applyNumberFormat="1" applyFont="1"/>
    <xf numFmtId="174" fontId="37" fillId="0" borderId="0" xfId="0" applyNumberFormat="1" applyFont="1" applyAlignment="1">
      <alignment horizontal="right"/>
    </xf>
    <xf numFmtId="172" fontId="2" fillId="0" borderId="0" xfId="0" applyNumberFormat="1" applyFont="1"/>
    <xf numFmtId="0" fontId="40" fillId="0" borderId="0" xfId="0" applyFont="1" applyAlignment="1">
      <alignment horizontal="right"/>
    </xf>
    <xf numFmtId="10" fontId="40" fillId="0" borderId="0" xfId="0" applyNumberFormat="1" applyFont="1" applyAlignment="1">
      <alignment horizontal="right"/>
    </xf>
    <xf numFmtId="174" fontId="2" fillId="0" borderId="0" xfId="0" applyNumberFormat="1" applyFont="1"/>
    <xf numFmtId="4" fontId="36" fillId="5" borderId="0" xfId="0" applyNumberFormat="1" applyFont="1" applyFill="1" applyAlignment="1">
      <alignment vertical="top"/>
    </xf>
    <xf numFmtId="4" fontId="36" fillId="0" borderId="0" xfId="0" applyNumberFormat="1" applyFont="1" applyAlignment="1">
      <alignment vertical="top"/>
    </xf>
    <xf numFmtId="0" fontId="18" fillId="8" borderId="0" xfId="0" applyFont="1" applyFill="1"/>
    <xf numFmtId="0" fontId="41" fillId="4" borderId="0" xfId="0" applyFont="1" applyFill="1" applyAlignment="1">
      <alignment horizontal="center"/>
    </xf>
    <xf numFmtId="0" fontId="2" fillId="8" borderId="0" xfId="0" applyFont="1" applyFill="1"/>
    <xf numFmtId="0" fontId="2" fillId="5" borderId="0" xfId="0" applyFont="1" applyFill="1"/>
    <xf numFmtId="166" fontId="2" fillId="0" borderId="0" xfId="0" applyNumberFormat="1" applyFont="1"/>
    <xf numFmtId="0" fontId="42" fillId="4" borderId="0" xfId="0" applyFont="1" applyFill="1" applyAlignment="1">
      <alignment horizontal="center"/>
    </xf>
    <xf numFmtId="0" fontId="43" fillId="4" borderId="0" xfId="0" applyFont="1" applyFill="1" applyAlignment="1">
      <alignment horizontal="center"/>
    </xf>
    <xf numFmtId="0" fontId="20" fillId="8" borderId="0" xfId="0" applyFont="1" applyFill="1" applyAlignment="1">
      <alignment horizontal="center"/>
    </xf>
    <xf numFmtId="0" fontId="44" fillId="4" borderId="0" xfId="0" applyFont="1" applyFill="1" applyAlignment="1">
      <alignment horizontal="left"/>
    </xf>
    <xf numFmtId="0" fontId="45" fillId="0" borderId="0" xfId="0" applyFont="1" applyAlignment="1">
      <alignment horizontal="left"/>
    </xf>
    <xf numFmtId="0" fontId="45" fillId="8" borderId="0" xfId="0" applyFont="1" applyFill="1" applyAlignment="1">
      <alignment horizontal="left"/>
    </xf>
    <xf numFmtId="0" fontId="46" fillId="0" borderId="0" xfId="0" applyFont="1" applyAlignment="1">
      <alignment horizontal="left"/>
    </xf>
    <xf numFmtId="167" fontId="47" fillId="4" borderId="0" xfId="0" applyNumberFormat="1" applyFont="1" applyFill="1" applyAlignment="1">
      <alignment horizontal="center"/>
    </xf>
    <xf numFmtId="167" fontId="48" fillId="0" borderId="0" xfId="0" applyNumberFormat="1" applyFont="1" applyAlignment="1">
      <alignment horizontal="right"/>
    </xf>
    <xf numFmtId="0" fontId="49" fillId="0" borderId="0" xfId="0" applyFont="1" applyAlignment="1">
      <alignment horizontal="right"/>
    </xf>
    <xf numFmtId="10" fontId="49" fillId="0" borderId="0" xfId="0" applyNumberFormat="1" applyFont="1" applyAlignment="1">
      <alignment horizontal="right"/>
    </xf>
    <xf numFmtId="0" fontId="49" fillId="8" borderId="0" xfId="0" applyFont="1" applyFill="1" applyAlignment="1">
      <alignment horizontal="right"/>
    </xf>
    <xf numFmtId="0" fontId="48" fillId="0" borderId="0" xfId="0" applyFont="1" applyAlignment="1">
      <alignment horizontal="right"/>
    </xf>
    <xf numFmtId="0" fontId="50" fillId="8" borderId="0" xfId="0" applyFont="1" applyFill="1"/>
    <xf numFmtId="165" fontId="50" fillId="0" borderId="0" xfId="0" applyNumberFormat="1" applyFont="1" applyAlignment="1">
      <alignment horizontal="right"/>
    </xf>
    <xf numFmtId="0" fontId="50" fillId="0" borderId="0" xfId="0" applyFont="1" applyAlignment="1">
      <alignment horizontal="right"/>
    </xf>
    <xf numFmtId="173" fontId="40" fillId="0" borderId="0" xfId="0" applyNumberFormat="1" applyFont="1" applyAlignment="1">
      <alignment horizontal="right"/>
    </xf>
    <xf numFmtId="0" fontId="50" fillId="0" borderId="0" xfId="0" applyFont="1"/>
    <xf numFmtId="179" fontId="47" fillId="4" borderId="0" xfId="0" applyNumberFormat="1" applyFont="1" applyFill="1" applyAlignment="1">
      <alignment horizontal="center"/>
    </xf>
    <xf numFmtId="179" fontId="48" fillId="0" borderId="0" xfId="0" applyNumberFormat="1" applyFont="1" applyAlignment="1">
      <alignment horizontal="right"/>
    </xf>
    <xf numFmtId="165" fontId="48" fillId="0" borderId="0" xfId="0" applyNumberFormat="1" applyFont="1" applyAlignment="1">
      <alignment horizontal="right"/>
    </xf>
    <xf numFmtId="0" fontId="44" fillId="4" borderId="0" xfId="0" applyFont="1" applyFill="1" applyAlignment="1">
      <alignment horizontal="center"/>
    </xf>
    <xf numFmtId="0" fontId="45" fillId="0" borderId="0" xfId="0" applyFont="1"/>
    <xf numFmtId="0" fontId="51" fillId="4" borderId="0" xfId="0" applyFont="1" applyFill="1" applyAlignment="1">
      <alignment horizontal="center"/>
    </xf>
    <xf numFmtId="0" fontId="23" fillId="13" borderId="0" xfId="0" applyFont="1" applyFill="1" applyAlignment="1">
      <alignment horizontal="center" vertical="center" wrapText="1"/>
    </xf>
    <xf numFmtId="0" fontId="0" fillId="0" borderId="0" xfId="0"/>
    <xf numFmtId="0" fontId="23" fillId="6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6" fillId="12" borderId="0" xfId="0" applyFont="1" applyFill="1" applyAlignment="1">
      <alignment horizontal="center" vertical="center" wrapText="1"/>
    </xf>
    <xf numFmtId="0" fontId="25" fillId="10" borderId="0" xfId="0" applyFont="1" applyFill="1" applyAlignment="1">
      <alignment horizontal="center" vertical="center" wrapText="1"/>
    </xf>
    <xf numFmtId="0" fontId="15" fillId="0" borderId="2" xfId="0" applyFont="1" applyBorder="1"/>
    <xf numFmtId="0" fontId="23" fillId="11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0" fontId="23" fillId="9" borderId="0" xfId="0" applyFont="1" applyFill="1" applyAlignment="1">
      <alignment horizontal="center" vertical="center" wrapText="1"/>
    </xf>
    <xf numFmtId="0" fontId="23" fillId="14" borderId="0" xfId="0" applyFont="1" applyFill="1" applyAlignment="1">
      <alignment horizontal="center" vertical="center" wrapText="1"/>
    </xf>
    <xf numFmtId="0" fontId="20" fillId="7" borderId="0" xfId="0" applyFont="1" applyFill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0" fontId="22" fillId="10" borderId="0" xfId="0" applyFont="1" applyFill="1" applyAlignment="1">
      <alignment horizontal="center" vertical="center" wrapText="1"/>
    </xf>
    <xf numFmtId="0" fontId="22" fillId="11" borderId="0" xfId="0" applyFont="1" applyFill="1" applyAlignment="1">
      <alignment horizontal="center" vertical="center" wrapText="1"/>
    </xf>
    <xf numFmtId="0" fontId="23" fillId="12" borderId="0" xfId="0" applyFont="1" applyFill="1" applyAlignment="1">
      <alignment horizontal="center" vertical="center" wrapText="1"/>
    </xf>
    <xf numFmtId="0" fontId="20" fillId="7" borderId="0" xfId="0" applyFont="1" applyFill="1" applyAlignment="1">
      <alignment horizontal="center"/>
    </xf>
    <xf numFmtId="0" fontId="20" fillId="9" borderId="0" xfId="0" applyFont="1" applyFill="1" applyAlignment="1">
      <alignment horizontal="center"/>
    </xf>
    <xf numFmtId="0" fontId="20" fillId="17" borderId="0" xfId="0" applyFont="1" applyFill="1" applyAlignment="1">
      <alignment horizontal="center"/>
    </xf>
    <xf numFmtId="0" fontId="20" fillId="1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indices/us-spx-500-historical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99"/>
  <sheetViews>
    <sheetView topLeftCell="A22" workbookViewId="0"/>
  </sheetViews>
  <sheetFormatPr defaultColWidth="12.5703125" defaultRowHeight="15.75" customHeight="1"/>
  <cols>
    <col min="1" max="1" width="22.28515625" customWidth="1"/>
    <col min="2" max="2" width="57.140625" customWidth="1"/>
    <col min="3" max="3" width="28.28515625" customWidth="1"/>
    <col min="4" max="4" width="43" customWidth="1"/>
    <col min="13" max="13" width="46.42578125" customWidth="1"/>
  </cols>
  <sheetData>
    <row r="1" spans="1:30" ht="12.75" hidden="1">
      <c r="A1" s="1" t="s">
        <v>0</v>
      </c>
      <c r="B1" s="2" t="s">
        <v>1</v>
      </c>
      <c r="C1" s="3"/>
      <c r="D1" s="4" t="s">
        <v>2</v>
      </c>
      <c r="E1" s="4"/>
      <c r="F1" s="4" t="s">
        <v>3</v>
      </c>
      <c r="G1" s="4" t="s">
        <v>4</v>
      </c>
      <c r="H1" s="4"/>
      <c r="I1" s="4" t="s">
        <v>5</v>
      </c>
      <c r="J1" s="4" t="s">
        <v>6</v>
      </c>
      <c r="K1" s="4" t="s">
        <v>7</v>
      </c>
      <c r="L1" s="4" t="s">
        <v>8</v>
      </c>
    </row>
    <row r="2" spans="1:30" ht="12.75" hidden="1">
      <c r="A2" s="5">
        <v>1</v>
      </c>
      <c r="B2" s="6" t="s">
        <v>9</v>
      </c>
      <c r="C2" s="7"/>
      <c r="D2" s="8"/>
      <c r="E2" s="8"/>
      <c r="F2" s="8">
        <v>1983</v>
      </c>
      <c r="G2" s="8">
        <v>2026</v>
      </c>
      <c r="H2" s="8"/>
      <c r="I2" s="8"/>
      <c r="J2" s="8" t="s">
        <v>10</v>
      </c>
      <c r="K2" s="8"/>
      <c r="L2" s="8"/>
    </row>
    <row r="3" spans="1:30" ht="12.75" hidden="1">
      <c r="A3" s="5">
        <v>2</v>
      </c>
      <c r="B3" s="6" t="s">
        <v>11</v>
      </c>
      <c r="C3" s="7"/>
      <c r="D3" s="8"/>
      <c r="E3" s="8"/>
      <c r="F3" s="8">
        <v>1990</v>
      </c>
      <c r="G3" s="8">
        <v>2026</v>
      </c>
      <c r="H3" s="8"/>
      <c r="I3" s="8"/>
      <c r="J3" s="8" t="s">
        <v>10</v>
      </c>
      <c r="K3" s="8"/>
      <c r="L3" s="8"/>
    </row>
    <row r="4" spans="1:30" ht="12.75" hidden="1">
      <c r="A4" s="5">
        <v>3</v>
      </c>
      <c r="B4" s="6" t="s">
        <v>12</v>
      </c>
      <c r="C4" s="7"/>
      <c r="D4" s="8"/>
      <c r="E4" s="8"/>
      <c r="F4" s="8">
        <v>1927</v>
      </c>
      <c r="G4" s="8">
        <v>2026</v>
      </c>
      <c r="H4" s="8"/>
      <c r="I4" s="8"/>
      <c r="J4" s="8" t="s">
        <v>10</v>
      </c>
      <c r="K4" s="8"/>
      <c r="L4" s="8"/>
    </row>
    <row r="5" spans="1:30" ht="12.75" hidden="1">
      <c r="A5" s="5">
        <v>4</v>
      </c>
      <c r="B5" s="6" t="s">
        <v>13</v>
      </c>
      <c r="C5" s="7"/>
      <c r="D5" s="8"/>
      <c r="E5" s="8"/>
      <c r="F5" s="8">
        <v>2005</v>
      </c>
      <c r="G5" s="8">
        <v>2026</v>
      </c>
      <c r="H5" s="8"/>
      <c r="I5" s="8"/>
      <c r="J5" s="8" t="s">
        <v>10</v>
      </c>
      <c r="K5" s="8"/>
      <c r="L5" s="8"/>
    </row>
    <row r="6" spans="1:30" ht="12.75" hidden="1">
      <c r="A6" s="5">
        <v>5</v>
      </c>
      <c r="B6" s="6" t="s">
        <v>14</v>
      </c>
      <c r="C6" s="7"/>
      <c r="D6" s="8"/>
      <c r="E6" s="8"/>
      <c r="F6" s="8">
        <v>2007</v>
      </c>
      <c r="G6" s="8">
        <v>2026</v>
      </c>
      <c r="H6" s="8"/>
      <c r="I6" s="8"/>
      <c r="J6" s="8" t="s">
        <v>10</v>
      </c>
      <c r="K6" s="8"/>
      <c r="L6" s="8"/>
    </row>
    <row r="7" spans="1:30" ht="12.75" hidden="1">
      <c r="A7" s="5">
        <v>6</v>
      </c>
      <c r="B7" s="6" t="s">
        <v>15</v>
      </c>
      <c r="C7" s="7"/>
      <c r="D7" s="8"/>
      <c r="E7" s="8"/>
      <c r="F7" s="8">
        <v>1990</v>
      </c>
      <c r="G7" s="8">
        <v>2026</v>
      </c>
      <c r="H7" s="8"/>
      <c r="I7" s="8"/>
      <c r="J7" s="8" t="s">
        <v>10</v>
      </c>
      <c r="K7" s="8"/>
      <c r="L7" s="8"/>
    </row>
    <row r="8" spans="1:30" ht="12.75" hidden="1">
      <c r="A8" s="5">
        <v>7</v>
      </c>
      <c r="B8" s="5" t="s">
        <v>16</v>
      </c>
      <c r="C8" s="9"/>
      <c r="E8" s="8"/>
      <c r="J8" s="8" t="s">
        <v>10</v>
      </c>
    </row>
    <row r="9" spans="1:30" ht="12.75" hidden="1">
      <c r="A9" s="5">
        <v>8</v>
      </c>
      <c r="B9" s="5" t="s">
        <v>17</v>
      </c>
      <c r="C9" s="9"/>
      <c r="E9" s="8"/>
      <c r="J9" s="8" t="s">
        <v>10</v>
      </c>
    </row>
    <row r="10" spans="1:30" ht="12.75" hidden="1">
      <c r="A10" s="5">
        <v>9</v>
      </c>
      <c r="B10" s="5" t="s">
        <v>18</v>
      </c>
      <c r="C10" s="9"/>
      <c r="D10" s="5"/>
      <c r="E10" s="8"/>
      <c r="F10" s="5">
        <v>2003</v>
      </c>
      <c r="G10" s="5" t="s">
        <v>19</v>
      </c>
      <c r="J10" s="8" t="s">
        <v>10</v>
      </c>
    </row>
    <row r="11" spans="1:30" ht="12.75" hidden="1">
      <c r="A11" s="5">
        <v>10</v>
      </c>
      <c r="B11" s="5" t="s">
        <v>20</v>
      </c>
      <c r="C11" s="9"/>
      <c r="D11" s="5"/>
      <c r="E11" s="8"/>
      <c r="F11" s="5">
        <v>1985</v>
      </c>
      <c r="J11" s="8" t="s">
        <v>10</v>
      </c>
    </row>
    <row r="12" spans="1:30" ht="12.75" hidden="1">
      <c r="A12" s="5">
        <v>11</v>
      </c>
      <c r="B12" s="5" t="s">
        <v>17</v>
      </c>
      <c r="C12" s="7"/>
      <c r="D12" s="8"/>
      <c r="E12" s="8"/>
      <c r="F12" s="8"/>
      <c r="G12" s="8"/>
      <c r="H12" s="8"/>
      <c r="I12" s="8"/>
      <c r="J12" s="8"/>
      <c r="K12" s="8"/>
      <c r="L12" s="8"/>
    </row>
    <row r="13" spans="1:30" ht="16.5" hidden="1" customHeight="1">
      <c r="A13" s="5">
        <v>12</v>
      </c>
      <c r="B13" s="5" t="s">
        <v>21</v>
      </c>
      <c r="C13" s="7"/>
      <c r="D13" s="8"/>
      <c r="E13" s="8"/>
      <c r="F13" s="8"/>
      <c r="G13" s="8"/>
      <c r="H13" s="8"/>
      <c r="I13" s="8"/>
      <c r="J13" s="8"/>
      <c r="K13" s="8"/>
      <c r="L13" s="8"/>
    </row>
    <row r="14" spans="1:30" ht="12.75" hidden="1">
      <c r="A14" s="10" t="s">
        <v>22</v>
      </c>
      <c r="B14" s="10" t="s">
        <v>23</v>
      </c>
      <c r="C14" s="11"/>
      <c r="D14" s="12"/>
      <c r="E14" s="12"/>
      <c r="F14" s="12">
        <v>1990</v>
      </c>
      <c r="G14" s="12">
        <v>2026</v>
      </c>
      <c r="H14" s="10"/>
      <c r="I14" s="10"/>
      <c r="J14" s="12" t="s">
        <v>10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ht="12.75" hidden="1">
      <c r="A15" s="5">
        <v>13</v>
      </c>
      <c r="B15" s="6" t="s">
        <v>24</v>
      </c>
      <c r="C15" s="7"/>
      <c r="D15" s="8"/>
      <c r="E15" s="8"/>
      <c r="F15" s="8">
        <v>1982</v>
      </c>
      <c r="G15" s="8">
        <v>2026</v>
      </c>
      <c r="H15" s="8"/>
      <c r="I15" s="8"/>
      <c r="J15" s="8" t="s">
        <v>10</v>
      </c>
      <c r="K15" s="8"/>
      <c r="L15" s="8"/>
    </row>
    <row r="16" spans="1:30" ht="12.75" hidden="1">
      <c r="A16" s="5">
        <v>14</v>
      </c>
      <c r="B16" s="6" t="s">
        <v>25</v>
      </c>
      <c r="C16" s="7"/>
      <c r="D16" s="8"/>
      <c r="E16" s="8"/>
      <c r="F16" s="8">
        <v>1990</v>
      </c>
      <c r="G16" s="8">
        <v>2026</v>
      </c>
      <c r="H16" s="8"/>
      <c r="I16" s="8"/>
      <c r="J16" s="8" t="s">
        <v>10</v>
      </c>
      <c r="K16" s="8"/>
      <c r="L16" s="8"/>
    </row>
    <row r="17" spans="1:30" ht="12.75" hidden="1">
      <c r="A17" s="5">
        <v>15</v>
      </c>
      <c r="B17" s="5" t="s">
        <v>26</v>
      </c>
      <c r="C17" s="9"/>
      <c r="E17" s="8"/>
    </row>
    <row r="18" spans="1:30" ht="12.75" hidden="1">
      <c r="A18" s="5">
        <v>16</v>
      </c>
      <c r="B18" s="6" t="s">
        <v>27</v>
      </c>
      <c r="C18" s="7"/>
      <c r="D18" s="8"/>
      <c r="E18" s="8"/>
      <c r="F18" s="8">
        <v>1985</v>
      </c>
      <c r="G18" s="8">
        <v>2026</v>
      </c>
      <c r="H18" s="8"/>
      <c r="I18" s="8"/>
      <c r="J18" s="8" t="s">
        <v>10</v>
      </c>
      <c r="K18" s="8"/>
      <c r="L18" s="8"/>
    </row>
    <row r="19" spans="1:30" ht="12.75" hidden="1">
      <c r="A19" s="5">
        <v>17</v>
      </c>
      <c r="B19" s="6" t="s">
        <v>28</v>
      </c>
      <c r="C19" s="7"/>
      <c r="D19" s="8"/>
      <c r="E19" s="8"/>
      <c r="F19" s="8">
        <v>1920</v>
      </c>
      <c r="G19" s="8">
        <v>2026</v>
      </c>
      <c r="H19" s="8"/>
      <c r="I19" s="8"/>
      <c r="J19" s="8" t="s">
        <v>10</v>
      </c>
      <c r="K19" s="8"/>
      <c r="L19" s="8"/>
    </row>
    <row r="20" spans="1:30" ht="12.75" hidden="1">
      <c r="A20" s="5">
        <v>18</v>
      </c>
      <c r="B20" s="6" t="s">
        <v>29</v>
      </c>
      <c r="C20" s="7"/>
      <c r="D20" s="8"/>
      <c r="E20" s="8"/>
      <c r="F20" s="8">
        <v>1980</v>
      </c>
      <c r="G20" s="8">
        <v>2026</v>
      </c>
      <c r="H20" s="8"/>
      <c r="I20" s="8"/>
      <c r="J20" s="8" t="s">
        <v>10</v>
      </c>
      <c r="K20" s="8"/>
      <c r="L20" s="8"/>
    </row>
    <row r="21" spans="1:30" ht="12.75" hidden="1">
      <c r="A21" s="5">
        <v>19</v>
      </c>
      <c r="B21" s="6" t="s">
        <v>30</v>
      </c>
      <c r="C21" s="7"/>
      <c r="D21" s="8"/>
      <c r="E21" s="8"/>
      <c r="F21" s="8">
        <v>1980</v>
      </c>
      <c r="G21" s="8">
        <v>2026</v>
      </c>
      <c r="H21" s="8"/>
      <c r="I21" s="8"/>
      <c r="J21" s="8" t="s">
        <v>10</v>
      </c>
    </row>
    <row r="22" spans="1:30" ht="12.75">
      <c r="A22" s="13"/>
      <c r="B22" s="14"/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ht="12.75">
      <c r="A23" s="18" t="s">
        <v>0</v>
      </c>
      <c r="B23" s="19" t="s">
        <v>1</v>
      </c>
      <c r="C23" s="20"/>
      <c r="D23" s="21" t="s">
        <v>2</v>
      </c>
      <c r="E23" s="21"/>
      <c r="F23" s="21" t="s">
        <v>3</v>
      </c>
      <c r="G23" s="21" t="s">
        <v>4</v>
      </c>
      <c r="H23" s="21" t="s">
        <v>31</v>
      </c>
      <c r="I23" s="21" t="s">
        <v>5</v>
      </c>
      <c r="J23" s="21" t="s">
        <v>6</v>
      </c>
      <c r="K23" s="21" t="s">
        <v>7</v>
      </c>
      <c r="L23" s="21" t="s">
        <v>8</v>
      </c>
      <c r="M23" s="21" t="s">
        <v>32</v>
      </c>
    </row>
    <row r="24" spans="1:30" ht="12.75">
      <c r="A24" s="5">
        <v>1</v>
      </c>
      <c r="B24" s="6" t="s">
        <v>9</v>
      </c>
      <c r="C24" s="22" t="s">
        <v>33</v>
      </c>
      <c r="E24" s="8" t="s">
        <v>34</v>
      </c>
      <c r="F24" s="8">
        <v>1983</v>
      </c>
      <c r="G24" s="8">
        <v>2026</v>
      </c>
      <c r="J24" s="8" t="s">
        <v>35</v>
      </c>
    </row>
    <row r="25" spans="1:30" ht="12.75">
      <c r="A25" s="5">
        <v>2</v>
      </c>
      <c r="B25" s="6" t="s">
        <v>11</v>
      </c>
      <c r="C25" s="22" t="s">
        <v>33</v>
      </c>
      <c r="E25" s="8" t="s">
        <v>34</v>
      </c>
      <c r="F25" s="8">
        <v>1990</v>
      </c>
      <c r="G25" s="8">
        <v>2026</v>
      </c>
      <c r="J25" s="8" t="s">
        <v>35</v>
      </c>
    </row>
    <row r="26" spans="1:30" ht="12.75">
      <c r="A26" s="5">
        <v>3</v>
      </c>
      <c r="B26" s="6" t="s">
        <v>12</v>
      </c>
      <c r="C26" s="22" t="s">
        <v>33</v>
      </c>
      <c r="E26" s="8" t="s">
        <v>34</v>
      </c>
      <c r="F26" s="8">
        <v>1927</v>
      </c>
      <c r="G26" s="8">
        <v>2026</v>
      </c>
      <c r="J26" s="8" t="s">
        <v>35</v>
      </c>
    </row>
    <row r="27" spans="1:30" ht="12.75">
      <c r="A27" s="5">
        <v>4</v>
      </c>
      <c r="B27" s="6" t="s">
        <v>13</v>
      </c>
      <c r="C27" s="22" t="s">
        <v>33</v>
      </c>
      <c r="E27" s="8" t="s">
        <v>34</v>
      </c>
      <c r="F27" s="23">
        <v>2005</v>
      </c>
      <c r="G27" s="8">
        <v>2026</v>
      </c>
      <c r="J27" s="8" t="s">
        <v>35</v>
      </c>
      <c r="M27" s="5" t="s">
        <v>36</v>
      </c>
    </row>
    <row r="28" spans="1:30" ht="12.75">
      <c r="A28" s="5">
        <v>5</v>
      </c>
      <c r="B28" s="6" t="s">
        <v>14</v>
      </c>
      <c r="C28" s="22" t="s">
        <v>33</v>
      </c>
      <c r="E28" s="8" t="s">
        <v>34</v>
      </c>
      <c r="F28" s="23">
        <v>2007</v>
      </c>
      <c r="G28" s="8">
        <v>2026</v>
      </c>
      <c r="J28" s="8" t="s">
        <v>35</v>
      </c>
      <c r="M28" s="5" t="s">
        <v>36</v>
      </c>
    </row>
    <row r="29" spans="1:30" ht="12.75">
      <c r="A29" s="5">
        <v>6</v>
      </c>
      <c r="B29" s="6" t="s">
        <v>15</v>
      </c>
      <c r="C29" s="22" t="s">
        <v>33</v>
      </c>
      <c r="E29" s="8" t="s">
        <v>34</v>
      </c>
      <c r="F29" s="8">
        <v>1990</v>
      </c>
      <c r="G29" s="8">
        <v>2026</v>
      </c>
      <c r="J29" s="8" t="s">
        <v>35</v>
      </c>
    </row>
    <row r="30" spans="1:30" ht="12.75">
      <c r="A30" s="5">
        <v>7</v>
      </c>
      <c r="B30" s="5" t="s">
        <v>16</v>
      </c>
      <c r="C30" s="22" t="s">
        <v>33</v>
      </c>
      <c r="E30" s="8" t="s">
        <v>34</v>
      </c>
      <c r="F30" s="8"/>
      <c r="G30" s="8"/>
      <c r="J30" s="8" t="s">
        <v>35</v>
      </c>
    </row>
    <row r="31" spans="1:30" ht="12.75">
      <c r="A31" s="5">
        <v>8</v>
      </c>
      <c r="B31" s="5" t="s">
        <v>17</v>
      </c>
      <c r="C31" s="22" t="s">
        <v>33</v>
      </c>
      <c r="E31" s="8" t="s">
        <v>34</v>
      </c>
      <c r="F31" s="8"/>
      <c r="G31" s="8"/>
      <c r="J31" s="8" t="s">
        <v>35</v>
      </c>
    </row>
    <row r="32" spans="1:30" ht="12.75">
      <c r="A32" s="5">
        <v>9</v>
      </c>
      <c r="B32" s="5" t="s">
        <v>18</v>
      </c>
      <c r="C32" s="22" t="s">
        <v>33</v>
      </c>
      <c r="E32" s="8" t="s">
        <v>34</v>
      </c>
      <c r="F32" s="23">
        <v>2003</v>
      </c>
      <c r="G32" s="8" t="s">
        <v>19</v>
      </c>
      <c r="J32" s="8" t="s">
        <v>35</v>
      </c>
      <c r="M32" s="5" t="s">
        <v>36</v>
      </c>
    </row>
    <row r="33" spans="1:30" ht="12.75">
      <c r="A33" s="5">
        <v>10</v>
      </c>
      <c r="B33" s="5" t="s">
        <v>20</v>
      </c>
      <c r="C33" s="22" t="s">
        <v>33</v>
      </c>
      <c r="E33" s="8" t="s">
        <v>34</v>
      </c>
      <c r="F33" s="8">
        <v>1985</v>
      </c>
      <c r="G33" s="8"/>
      <c r="J33" s="8" t="s">
        <v>35</v>
      </c>
    </row>
    <row r="34" spans="1:30" ht="12.75">
      <c r="A34" s="5">
        <v>11</v>
      </c>
      <c r="B34" s="5" t="s">
        <v>17</v>
      </c>
      <c r="C34" s="22" t="s">
        <v>33</v>
      </c>
      <c r="E34" s="8" t="s">
        <v>34</v>
      </c>
      <c r="F34" s="8"/>
      <c r="G34" s="8"/>
      <c r="J34" s="8" t="s">
        <v>35</v>
      </c>
    </row>
    <row r="35" spans="1:30" ht="12.75">
      <c r="A35" s="24">
        <v>12</v>
      </c>
      <c r="B35" s="24" t="s">
        <v>21</v>
      </c>
      <c r="C35" s="22" t="s">
        <v>33</v>
      </c>
      <c r="D35" s="24"/>
      <c r="E35" s="8" t="s">
        <v>34</v>
      </c>
      <c r="F35" s="25"/>
      <c r="G35" s="25"/>
      <c r="H35" s="24"/>
      <c r="I35" s="24"/>
      <c r="J35" s="25" t="s">
        <v>35</v>
      </c>
    </row>
    <row r="36" spans="1:30" ht="12.75">
      <c r="A36" s="10" t="s">
        <v>22</v>
      </c>
      <c r="B36" s="10" t="s">
        <v>37</v>
      </c>
      <c r="C36" s="9" t="s">
        <v>38</v>
      </c>
      <c r="D36" s="5" t="s">
        <v>37</v>
      </c>
      <c r="E36" s="8" t="s">
        <v>34</v>
      </c>
      <c r="F36" s="12">
        <v>1990</v>
      </c>
      <c r="G36" s="12">
        <v>2026</v>
      </c>
      <c r="J36" s="8" t="s">
        <v>35</v>
      </c>
    </row>
    <row r="37" spans="1:30" ht="12.75">
      <c r="A37" s="5">
        <v>13</v>
      </c>
      <c r="B37" s="6" t="s">
        <v>24</v>
      </c>
      <c r="C37" s="22" t="s">
        <v>33</v>
      </c>
      <c r="E37" s="8" t="s">
        <v>34</v>
      </c>
      <c r="F37" s="8">
        <v>1982</v>
      </c>
      <c r="G37" s="8">
        <v>2026</v>
      </c>
      <c r="J37" s="8" t="s">
        <v>35</v>
      </c>
    </row>
    <row r="38" spans="1:30" ht="12.75">
      <c r="A38" s="5">
        <v>14</v>
      </c>
      <c r="B38" s="6" t="s">
        <v>25</v>
      </c>
      <c r="C38" s="22" t="s">
        <v>33</v>
      </c>
      <c r="E38" s="8" t="s">
        <v>34</v>
      </c>
      <c r="F38" s="8">
        <v>1990</v>
      </c>
      <c r="G38" s="8">
        <v>2026</v>
      </c>
      <c r="J38" s="8" t="s">
        <v>35</v>
      </c>
    </row>
    <row r="39" spans="1:30" ht="12.75">
      <c r="A39" s="5">
        <v>15</v>
      </c>
      <c r="B39" s="5" t="s">
        <v>26</v>
      </c>
      <c r="C39" s="22" t="s">
        <v>33</v>
      </c>
      <c r="E39" s="8" t="s">
        <v>34</v>
      </c>
      <c r="F39" s="8"/>
      <c r="G39" s="8"/>
      <c r="J39" s="8" t="s">
        <v>35</v>
      </c>
    </row>
    <row r="40" spans="1:30" ht="12.75">
      <c r="A40" s="5">
        <v>16</v>
      </c>
      <c r="B40" s="6" t="s">
        <v>27</v>
      </c>
      <c r="C40" s="22" t="s">
        <v>33</v>
      </c>
      <c r="E40" s="8" t="s">
        <v>34</v>
      </c>
      <c r="F40" s="8">
        <v>1985</v>
      </c>
      <c r="G40" s="8">
        <v>2026</v>
      </c>
      <c r="J40" s="8" t="s">
        <v>35</v>
      </c>
    </row>
    <row r="41" spans="1:30" ht="12.75">
      <c r="A41" s="5">
        <v>17</v>
      </c>
      <c r="B41" s="6" t="s">
        <v>28</v>
      </c>
      <c r="C41" s="22" t="s">
        <v>33</v>
      </c>
      <c r="E41" s="8" t="s">
        <v>34</v>
      </c>
      <c r="F41" s="8">
        <v>1920</v>
      </c>
      <c r="G41" s="8">
        <v>2026</v>
      </c>
      <c r="J41" s="8" t="s">
        <v>35</v>
      </c>
    </row>
    <row r="42" spans="1:30" ht="12.75">
      <c r="A42" s="5">
        <v>18</v>
      </c>
      <c r="B42" s="6" t="s">
        <v>29</v>
      </c>
      <c r="C42" s="22" t="s">
        <v>33</v>
      </c>
      <c r="E42" s="8" t="s">
        <v>34</v>
      </c>
      <c r="F42" s="8">
        <v>1980</v>
      </c>
      <c r="G42" s="8">
        <v>2026</v>
      </c>
      <c r="J42" s="8" t="s">
        <v>35</v>
      </c>
    </row>
    <row r="43" spans="1:30" ht="12.75">
      <c r="A43" s="5">
        <v>19</v>
      </c>
      <c r="B43" s="6" t="s">
        <v>30</v>
      </c>
      <c r="C43" s="22" t="s">
        <v>33</v>
      </c>
      <c r="E43" s="8" t="s">
        <v>34</v>
      </c>
      <c r="F43" s="8">
        <v>1980</v>
      </c>
      <c r="G43" s="8">
        <v>2026</v>
      </c>
      <c r="J43" s="8" t="s">
        <v>35</v>
      </c>
    </row>
    <row r="44" spans="1:30" ht="12.75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spans="1:30" ht="12.75">
      <c r="A45" s="18" t="s">
        <v>0</v>
      </c>
      <c r="B45" s="19" t="s">
        <v>1</v>
      </c>
      <c r="C45" s="20"/>
      <c r="D45" s="21" t="s">
        <v>2</v>
      </c>
      <c r="E45" s="21"/>
      <c r="F45" s="21" t="s">
        <v>3</v>
      </c>
      <c r="G45" s="21" t="s">
        <v>4</v>
      </c>
      <c r="H45" s="21" t="s">
        <v>31</v>
      </c>
      <c r="I45" s="21" t="s">
        <v>5</v>
      </c>
      <c r="J45" s="21" t="s">
        <v>6</v>
      </c>
      <c r="K45" s="21" t="s">
        <v>7</v>
      </c>
      <c r="L45" s="21" t="s">
        <v>8</v>
      </c>
      <c r="M45" s="21" t="s">
        <v>32</v>
      </c>
    </row>
    <row r="46" spans="1:30" ht="12.75">
      <c r="A46" s="5">
        <v>1</v>
      </c>
      <c r="B46" s="6" t="s">
        <v>9</v>
      </c>
      <c r="C46" s="22" t="s">
        <v>33</v>
      </c>
      <c r="E46" s="8" t="s">
        <v>39</v>
      </c>
      <c r="F46" s="8">
        <v>1983</v>
      </c>
      <c r="G46" s="8">
        <v>2026</v>
      </c>
      <c r="H46" s="5" t="s">
        <v>40</v>
      </c>
      <c r="J46" s="8" t="s">
        <v>41</v>
      </c>
    </row>
    <row r="47" spans="1:30" ht="12.75">
      <c r="A47" s="5">
        <v>2</v>
      </c>
      <c r="B47" s="6" t="s">
        <v>11</v>
      </c>
      <c r="C47" s="22" t="s">
        <v>33</v>
      </c>
      <c r="E47" s="8" t="s">
        <v>39</v>
      </c>
      <c r="F47" s="8">
        <v>1990</v>
      </c>
      <c r="G47" s="8">
        <v>2026</v>
      </c>
      <c r="H47" s="5" t="s">
        <v>40</v>
      </c>
      <c r="J47" s="8" t="s">
        <v>41</v>
      </c>
    </row>
    <row r="48" spans="1:30" ht="25.5">
      <c r="A48" s="5">
        <v>3</v>
      </c>
      <c r="B48" s="6" t="s">
        <v>12</v>
      </c>
      <c r="C48" s="26" t="s">
        <v>42</v>
      </c>
      <c r="E48" s="8" t="s">
        <v>43</v>
      </c>
      <c r="F48" s="8">
        <v>1927</v>
      </c>
      <c r="G48" s="8">
        <v>2026</v>
      </c>
      <c r="H48" s="5" t="s">
        <v>40</v>
      </c>
      <c r="J48" s="8" t="s">
        <v>41</v>
      </c>
    </row>
    <row r="49" spans="1:30" ht="12.75">
      <c r="A49" s="27">
        <v>4</v>
      </c>
      <c r="B49" s="28" t="s">
        <v>44</v>
      </c>
      <c r="C49" s="29" t="s">
        <v>33</v>
      </c>
      <c r="D49" s="27" t="s">
        <v>13</v>
      </c>
      <c r="E49" s="30" t="s">
        <v>45</v>
      </c>
      <c r="F49" s="31">
        <v>2005</v>
      </c>
      <c r="G49" s="30">
        <v>2026</v>
      </c>
      <c r="H49" s="27" t="s">
        <v>45</v>
      </c>
      <c r="I49" s="27" t="s">
        <v>45</v>
      </c>
      <c r="J49" s="30" t="s">
        <v>41</v>
      </c>
      <c r="K49" s="27"/>
      <c r="L49" s="27"/>
      <c r="M49" s="27" t="s">
        <v>46</v>
      </c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spans="1:30" ht="12.75">
      <c r="A50" s="27">
        <v>5</v>
      </c>
      <c r="B50" s="28" t="s">
        <v>14</v>
      </c>
      <c r="C50" s="29" t="s">
        <v>33</v>
      </c>
      <c r="D50" s="27"/>
      <c r="E50" s="30" t="s">
        <v>45</v>
      </c>
      <c r="F50" s="31">
        <v>2007</v>
      </c>
      <c r="G50" s="30">
        <v>2026</v>
      </c>
      <c r="H50" s="27" t="s">
        <v>45</v>
      </c>
      <c r="I50" s="27" t="s">
        <v>45</v>
      </c>
      <c r="J50" s="30" t="s">
        <v>41</v>
      </c>
      <c r="K50" s="27"/>
      <c r="L50" s="27"/>
      <c r="M50" s="27" t="s">
        <v>46</v>
      </c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 spans="1:30" ht="12.75">
      <c r="A51" s="5">
        <v>6</v>
      </c>
      <c r="B51" s="6" t="s">
        <v>15</v>
      </c>
      <c r="C51" s="22" t="s">
        <v>33</v>
      </c>
      <c r="E51" s="8" t="s">
        <v>39</v>
      </c>
      <c r="F51" s="8">
        <v>1990</v>
      </c>
      <c r="G51" s="8">
        <v>2026</v>
      </c>
      <c r="H51" s="5" t="s">
        <v>40</v>
      </c>
      <c r="J51" s="8" t="s">
        <v>41</v>
      </c>
    </row>
    <row r="52" spans="1:30" ht="12.75">
      <c r="A52" s="5">
        <v>7</v>
      </c>
      <c r="B52" s="5" t="s">
        <v>16</v>
      </c>
      <c r="C52" s="22" t="s">
        <v>33</v>
      </c>
      <c r="E52" s="8" t="s">
        <v>39</v>
      </c>
      <c r="F52" s="8">
        <v>1990</v>
      </c>
      <c r="G52" s="8">
        <v>2026</v>
      </c>
      <c r="H52" s="5" t="s">
        <v>40</v>
      </c>
      <c r="J52" s="8" t="s">
        <v>41</v>
      </c>
    </row>
    <row r="53" spans="1:30" ht="12.75">
      <c r="A53" s="5">
        <v>8</v>
      </c>
      <c r="B53" s="5" t="s">
        <v>17</v>
      </c>
      <c r="C53" s="22" t="s">
        <v>33</v>
      </c>
      <c r="E53" s="8" t="s">
        <v>43</v>
      </c>
      <c r="F53" s="8">
        <v>1990</v>
      </c>
      <c r="G53" s="8">
        <v>2026</v>
      </c>
      <c r="H53" s="5" t="s">
        <v>40</v>
      </c>
      <c r="J53" s="8" t="s">
        <v>41</v>
      </c>
    </row>
    <row r="54" spans="1:30" ht="12.75">
      <c r="A54" s="27">
        <v>9</v>
      </c>
      <c r="B54" s="27" t="s">
        <v>18</v>
      </c>
      <c r="C54" s="29" t="s">
        <v>33</v>
      </c>
      <c r="D54" s="27"/>
      <c r="E54" s="30"/>
      <c r="F54" s="31">
        <v>2003</v>
      </c>
      <c r="G54" s="30" t="s">
        <v>19</v>
      </c>
      <c r="H54" s="27" t="s">
        <v>45</v>
      </c>
      <c r="I54" s="27" t="s">
        <v>45</v>
      </c>
      <c r="J54" s="30" t="s">
        <v>41</v>
      </c>
      <c r="K54" s="32"/>
      <c r="L54" s="32"/>
      <c r="M54" s="27" t="s">
        <v>46</v>
      </c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spans="1:30" ht="14.25">
      <c r="A55" s="5">
        <v>10</v>
      </c>
      <c r="B55" s="5" t="s">
        <v>20</v>
      </c>
      <c r="C55" s="22" t="s">
        <v>33</v>
      </c>
      <c r="E55" s="8" t="s">
        <v>43</v>
      </c>
      <c r="F55" s="8">
        <v>1990</v>
      </c>
      <c r="G55" s="8">
        <v>2026</v>
      </c>
      <c r="H55" s="33" t="s">
        <v>40</v>
      </c>
      <c r="J55" s="8" t="s">
        <v>41</v>
      </c>
    </row>
    <row r="56" spans="1:30" ht="14.25">
      <c r="A56" s="5">
        <v>11</v>
      </c>
      <c r="B56" s="5" t="s">
        <v>17</v>
      </c>
      <c r="C56" s="22" t="s">
        <v>33</v>
      </c>
      <c r="E56" s="34" t="s">
        <v>43</v>
      </c>
      <c r="F56" s="8">
        <v>1990</v>
      </c>
      <c r="G56" s="8">
        <v>2026</v>
      </c>
      <c r="H56" s="33" t="s">
        <v>40</v>
      </c>
      <c r="J56" s="8" t="s">
        <v>41</v>
      </c>
    </row>
    <row r="57" spans="1:30" ht="12.75">
      <c r="A57" s="27">
        <v>12</v>
      </c>
      <c r="B57" s="27" t="s">
        <v>21</v>
      </c>
      <c r="C57" s="29" t="s">
        <v>33</v>
      </c>
      <c r="D57" s="27"/>
      <c r="E57" s="30" t="s">
        <v>45</v>
      </c>
      <c r="F57" s="30" t="s">
        <v>45</v>
      </c>
      <c r="G57" s="30" t="s">
        <v>45</v>
      </c>
      <c r="H57" s="27" t="s">
        <v>45</v>
      </c>
      <c r="I57" s="27" t="s">
        <v>45</v>
      </c>
      <c r="J57" s="30" t="s">
        <v>41</v>
      </c>
      <c r="M57" s="27" t="s">
        <v>47</v>
      </c>
    </row>
    <row r="58" spans="1:30" ht="12.75">
      <c r="A58" s="5">
        <v>12</v>
      </c>
      <c r="B58" s="5" t="s">
        <v>48</v>
      </c>
      <c r="C58" s="9" t="s">
        <v>38</v>
      </c>
      <c r="D58" s="5" t="s">
        <v>48</v>
      </c>
      <c r="E58" s="8" t="s">
        <v>49</v>
      </c>
      <c r="F58" s="8">
        <v>1990</v>
      </c>
      <c r="G58" s="8">
        <v>2026</v>
      </c>
      <c r="H58" s="5" t="s">
        <v>40</v>
      </c>
      <c r="J58" s="8" t="s">
        <v>41</v>
      </c>
    </row>
    <row r="59" spans="1:30" ht="14.25">
      <c r="A59" s="5">
        <v>13</v>
      </c>
      <c r="B59" s="6" t="s">
        <v>24</v>
      </c>
      <c r="C59" s="22" t="s">
        <v>50</v>
      </c>
      <c r="E59" s="8" t="s">
        <v>49</v>
      </c>
      <c r="F59" s="8">
        <v>1982</v>
      </c>
      <c r="G59" s="8">
        <v>2026</v>
      </c>
      <c r="H59" s="33" t="s">
        <v>40</v>
      </c>
      <c r="I59" s="33" t="s">
        <v>40</v>
      </c>
      <c r="J59" s="8" t="s">
        <v>41</v>
      </c>
    </row>
    <row r="60" spans="1:30" ht="25.5">
      <c r="A60" s="5">
        <v>14</v>
      </c>
      <c r="B60" s="6" t="s">
        <v>25</v>
      </c>
      <c r="C60" s="22" t="s">
        <v>51</v>
      </c>
      <c r="D60" s="5" t="s">
        <v>25</v>
      </c>
      <c r="E60" s="8" t="s">
        <v>49</v>
      </c>
      <c r="F60" s="35">
        <v>33178</v>
      </c>
      <c r="G60" s="8">
        <v>2026</v>
      </c>
      <c r="H60" s="5" t="s">
        <v>40</v>
      </c>
      <c r="I60" s="5" t="s">
        <v>40</v>
      </c>
      <c r="J60" s="8" t="s">
        <v>41</v>
      </c>
      <c r="M60" s="9" t="s">
        <v>52</v>
      </c>
    </row>
    <row r="61" spans="1:30" ht="12.75">
      <c r="A61" s="5">
        <v>15</v>
      </c>
      <c r="B61" s="5" t="s">
        <v>53</v>
      </c>
      <c r="C61" s="22" t="s">
        <v>50</v>
      </c>
      <c r="D61" s="5" t="s">
        <v>50</v>
      </c>
      <c r="E61" s="8" t="s">
        <v>49</v>
      </c>
      <c r="F61" s="8"/>
      <c r="G61" s="8"/>
      <c r="H61" s="5" t="s">
        <v>40</v>
      </c>
      <c r="J61" s="8" t="s">
        <v>41</v>
      </c>
    </row>
    <row r="62" spans="1:30" ht="12.75">
      <c r="A62" s="5">
        <v>16</v>
      </c>
      <c r="B62" s="6" t="s">
        <v>27</v>
      </c>
      <c r="C62" s="22" t="s">
        <v>54</v>
      </c>
      <c r="D62" s="5" t="s">
        <v>55</v>
      </c>
      <c r="E62" s="8" t="s">
        <v>49</v>
      </c>
      <c r="F62" s="8">
        <v>1985</v>
      </c>
      <c r="G62" s="8">
        <v>2026</v>
      </c>
      <c r="H62" s="5" t="s">
        <v>40</v>
      </c>
      <c r="I62" s="5" t="s">
        <v>40</v>
      </c>
      <c r="J62" s="8" t="s">
        <v>41</v>
      </c>
    </row>
    <row r="63" spans="1:30" ht="12.75">
      <c r="A63" s="5">
        <v>17</v>
      </c>
      <c r="B63" s="6" t="s">
        <v>28</v>
      </c>
      <c r="C63" s="22" t="s">
        <v>51</v>
      </c>
      <c r="D63" s="5" t="s">
        <v>28</v>
      </c>
      <c r="E63" s="8" t="s">
        <v>49</v>
      </c>
      <c r="F63" s="8">
        <v>1920</v>
      </c>
      <c r="G63" s="8">
        <v>2026</v>
      </c>
      <c r="H63" s="5" t="s">
        <v>40</v>
      </c>
      <c r="I63" s="5" t="s">
        <v>40</v>
      </c>
      <c r="J63" s="8" t="s">
        <v>41</v>
      </c>
    </row>
    <row r="64" spans="1:30" ht="12.75">
      <c r="A64" s="5">
        <v>18</v>
      </c>
      <c r="B64" s="6" t="s">
        <v>29</v>
      </c>
      <c r="C64" s="22" t="s">
        <v>56</v>
      </c>
      <c r="D64" s="5" t="s">
        <v>29</v>
      </c>
      <c r="E64" s="8" t="s">
        <v>49</v>
      </c>
      <c r="F64" s="8">
        <v>1980</v>
      </c>
      <c r="G64" s="8">
        <v>2026</v>
      </c>
      <c r="H64" s="5" t="s">
        <v>40</v>
      </c>
      <c r="J64" s="8" t="s">
        <v>41</v>
      </c>
    </row>
    <row r="65" spans="1:10" ht="12.75">
      <c r="A65" s="5">
        <v>19</v>
      </c>
      <c r="B65" s="6" t="s">
        <v>30</v>
      </c>
      <c r="C65" s="22" t="s">
        <v>56</v>
      </c>
      <c r="D65" s="5" t="s">
        <v>30</v>
      </c>
      <c r="E65" s="8" t="s">
        <v>49</v>
      </c>
      <c r="F65" s="8">
        <v>1980</v>
      </c>
      <c r="G65" s="8">
        <v>2026</v>
      </c>
      <c r="H65" s="5" t="s">
        <v>40</v>
      </c>
      <c r="J65" s="8" t="s">
        <v>41</v>
      </c>
    </row>
    <row r="66" spans="1:10" ht="12.75">
      <c r="A66" s="5">
        <v>20</v>
      </c>
      <c r="B66" s="36" t="s">
        <v>57</v>
      </c>
      <c r="C66" s="9" t="s">
        <v>33</v>
      </c>
      <c r="E66" s="8" t="s">
        <v>43</v>
      </c>
      <c r="F66" s="8">
        <v>1990</v>
      </c>
      <c r="G66" s="8">
        <v>2026</v>
      </c>
      <c r="H66" s="5" t="s">
        <v>40</v>
      </c>
      <c r="J66" s="8" t="s">
        <v>41</v>
      </c>
    </row>
    <row r="67" spans="1:10" ht="14.25">
      <c r="B67" s="37"/>
      <c r="C67" s="9"/>
      <c r="E67" s="8"/>
    </row>
    <row r="68" spans="1:10" ht="12.75">
      <c r="C68" s="9"/>
      <c r="E68" s="8"/>
    </row>
    <row r="69" spans="1:10" ht="12.75">
      <c r="C69" s="9"/>
      <c r="E69" s="8"/>
    </row>
    <row r="70" spans="1:10" ht="12.75">
      <c r="C70" s="9"/>
      <c r="E70" s="8"/>
    </row>
    <row r="71" spans="1:10" ht="12.75">
      <c r="C71" s="9"/>
      <c r="E71" s="8"/>
    </row>
    <row r="72" spans="1:10" ht="12.75">
      <c r="C72" s="9"/>
      <c r="E72" s="8"/>
    </row>
    <row r="73" spans="1:10" ht="12.75">
      <c r="C73" s="9"/>
      <c r="E73" s="8"/>
    </row>
    <row r="74" spans="1:10" ht="12.75">
      <c r="C74" s="9"/>
      <c r="E74" s="8"/>
    </row>
    <row r="75" spans="1:10" ht="12.75">
      <c r="C75" s="9"/>
      <c r="E75" s="8"/>
    </row>
    <row r="76" spans="1:10" ht="12.75">
      <c r="C76" s="9"/>
      <c r="E76" s="8"/>
    </row>
    <row r="77" spans="1:10" ht="12.75">
      <c r="C77" s="9"/>
      <c r="E77" s="8"/>
    </row>
    <row r="78" spans="1:10" ht="12.75">
      <c r="C78" s="9"/>
      <c r="E78" s="8"/>
    </row>
    <row r="79" spans="1:10" ht="12.75">
      <c r="C79" s="9"/>
      <c r="E79" s="8"/>
    </row>
    <row r="80" spans="1:10" ht="12.75">
      <c r="C80" s="9"/>
      <c r="E80" s="8"/>
    </row>
    <row r="81" spans="3:5" ht="12.75">
      <c r="C81" s="9"/>
      <c r="E81" s="8"/>
    </row>
    <row r="82" spans="3:5" ht="12.75">
      <c r="C82" s="9"/>
      <c r="E82" s="8"/>
    </row>
    <row r="83" spans="3:5" ht="12.75">
      <c r="C83" s="9"/>
      <c r="E83" s="8"/>
    </row>
    <row r="84" spans="3:5" ht="12.75">
      <c r="C84" s="9"/>
      <c r="E84" s="8"/>
    </row>
    <row r="85" spans="3:5" ht="12.75">
      <c r="C85" s="9"/>
      <c r="E85" s="8"/>
    </row>
    <row r="86" spans="3:5" ht="12.75">
      <c r="C86" s="9"/>
      <c r="E86" s="8"/>
    </row>
    <row r="87" spans="3:5" ht="12.75">
      <c r="C87" s="9"/>
      <c r="E87" s="8"/>
    </row>
    <row r="88" spans="3:5" ht="12.75">
      <c r="C88" s="9"/>
      <c r="E88" s="8"/>
    </row>
    <row r="89" spans="3:5" ht="12.75">
      <c r="C89" s="9"/>
      <c r="E89" s="8"/>
    </row>
    <row r="90" spans="3:5" ht="12.75">
      <c r="C90" s="9"/>
      <c r="E90" s="8"/>
    </row>
    <row r="91" spans="3:5" ht="12.75">
      <c r="C91" s="9"/>
      <c r="E91" s="8"/>
    </row>
    <row r="92" spans="3:5" ht="12.75">
      <c r="C92" s="9"/>
      <c r="E92" s="8"/>
    </row>
    <row r="93" spans="3:5" ht="12.75">
      <c r="C93" s="9"/>
      <c r="E93" s="8"/>
    </row>
    <row r="94" spans="3:5" ht="12.75">
      <c r="C94" s="9"/>
      <c r="E94" s="8"/>
    </row>
    <row r="95" spans="3:5" ht="12.75">
      <c r="C95" s="9"/>
      <c r="E95" s="8"/>
    </row>
    <row r="96" spans="3:5" ht="12.75">
      <c r="C96" s="9"/>
      <c r="E96" s="8"/>
    </row>
    <row r="97" spans="3:5" ht="12.75">
      <c r="C97" s="9"/>
      <c r="E97" s="8"/>
    </row>
    <row r="98" spans="3:5" ht="12.75">
      <c r="C98" s="9"/>
      <c r="E98" s="8"/>
    </row>
    <row r="99" spans="3:5" ht="12.75">
      <c r="C99" s="9"/>
      <c r="E99" s="8"/>
    </row>
    <row r="100" spans="3:5" ht="12.75">
      <c r="C100" s="9"/>
      <c r="E100" s="8"/>
    </row>
    <row r="101" spans="3:5" ht="12.75">
      <c r="C101" s="9"/>
      <c r="E101" s="8"/>
    </row>
    <row r="102" spans="3:5" ht="12.75">
      <c r="C102" s="9"/>
      <c r="E102" s="8"/>
    </row>
    <row r="103" spans="3:5" ht="12.75">
      <c r="C103" s="9"/>
      <c r="E103" s="8"/>
    </row>
    <row r="104" spans="3:5" ht="12.75">
      <c r="C104" s="9"/>
      <c r="E104" s="8"/>
    </row>
    <row r="105" spans="3:5" ht="12.75">
      <c r="C105" s="9"/>
      <c r="E105" s="8"/>
    </row>
    <row r="106" spans="3:5" ht="12.75">
      <c r="C106" s="9"/>
      <c r="E106" s="8"/>
    </row>
    <row r="107" spans="3:5" ht="12.75">
      <c r="C107" s="9"/>
      <c r="E107" s="8"/>
    </row>
    <row r="108" spans="3:5" ht="12.75">
      <c r="C108" s="9"/>
      <c r="E108" s="8"/>
    </row>
    <row r="109" spans="3:5" ht="12.75">
      <c r="C109" s="9"/>
      <c r="E109" s="8"/>
    </row>
    <row r="110" spans="3:5" ht="12.75">
      <c r="C110" s="9"/>
      <c r="E110" s="8"/>
    </row>
    <row r="111" spans="3:5" ht="12.75">
      <c r="C111" s="9"/>
      <c r="E111" s="8"/>
    </row>
    <row r="112" spans="3:5" ht="12.75">
      <c r="C112" s="9"/>
      <c r="E112" s="8"/>
    </row>
    <row r="113" spans="3:5" ht="12.75">
      <c r="C113" s="9"/>
      <c r="E113" s="8"/>
    </row>
    <row r="114" spans="3:5" ht="12.75">
      <c r="C114" s="9"/>
      <c r="E114" s="8"/>
    </row>
    <row r="115" spans="3:5" ht="12.75">
      <c r="C115" s="9"/>
      <c r="E115" s="8"/>
    </row>
    <row r="116" spans="3:5" ht="12.75">
      <c r="C116" s="9"/>
      <c r="E116" s="8"/>
    </row>
    <row r="117" spans="3:5" ht="12.75">
      <c r="C117" s="9"/>
      <c r="E117" s="8"/>
    </row>
    <row r="118" spans="3:5" ht="12.75">
      <c r="C118" s="9"/>
      <c r="E118" s="8"/>
    </row>
    <row r="119" spans="3:5" ht="12.75">
      <c r="C119" s="9"/>
      <c r="E119" s="8"/>
    </row>
    <row r="120" spans="3:5" ht="12.75">
      <c r="C120" s="9"/>
      <c r="E120" s="8"/>
    </row>
    <row r="121" spans="3:5" ht="12.75">
      <c r="C121" s="9"/>
      <c r="E121" s="8"/>
    </row>
    <row r="122" spans="3:5" ht="12.75">
      <c r="C122" s="9"/>
      <c r="E122" s="8"/>
    </row>
    <row r="123" spans="3:5" ht="12.75">
      <c r="C123" s="9"/>
      <c r="E123" s="8"/>
    </row>
    <row r="124" spans="3:5" ht="12.75">
      <c r="C124" s="9"/>
      <c r="E124" s="8"/>
    </row>
    <row r="125" spans="3:5" ht="12.75">
      <c r="C125" s="9"/>
      <c r="E125" s="8"/>
    </row>
    <row r="126" spans="3:5" ht="12.75">
      <c r="C126" s="9"/>
      <c r="E126" s="8"/>
    </row>
    <row r="127" spans="3:5" ht="12.75">
      <c r="C127" s="9"/>
      <c r="E127" s="8"/>
    </row>
    <row r="128" spans="3:5" ht="12.75">
      <c r="C128" s="9"/>
      <c r="E128" s="8"/>
    </row>
    <row r="129" spans="3:5" ht="12.75">
      <c r="C129" s="9"/>
      <c r="E129" s="8"/>
    </row>
    <row r="130" spans="3:5" ht="12.75">
      <c r="C130" s="9"/>
      <c r="E130" s="8"/>
    </row>
    <row r="131" spans="3:5" ht="12.75">
      <c r="C131" s="9"/>
      <c r="E131" s="8"/>
    </row>
    <row r="132" spans="3:5" ht="12.75">
      <c r="C132" s="9"/>
      <c r="E132" s="8"/>
    </row>
    <row r="133" spans="3:5" ht="12.75">
      <c r="C133" s="9"/>
      <c r="E133" s="8"/>
    </row>
    <row r="134" spans="3:5" ht="12.75">
      <c r="C134" s="9"/>
      <c r="E134" s="8"/>
    </row>
    <row r="135" spans="3:5" ht="12.75">
      <c r="C135" s="9"/>
      <c r="E135" s="8"/>
    </row>
    <row r="136" spans="3:5" ht="12.75">
      <c r="C136" s="9"/>
      <c r="E136" s="8"/>
    </row>
    <row r="137" spans="3:5" ht="12.75">
      <c r="C137" s="9"/>
      <c r="E137" s="8"/>
    </row>
    <row r="138" spans="3:5" ht="12.75">
      <c r="C138" s="9"/>
      <c r="E138" s="8"/>
    </row>
    <row r="139" spans="3:5" ht="12.75">
      <c r="C139" s="9"/>
      <c r="E139" s="8"/>
    </row>
    <row r="140" spans="3:5" ht="12.75">
      <c r="C140" s="9"/>
      <c r="E140" s="8"/>
    </row>
    <row r="141" spans="3:5" ht="12.75">
      <c r="C141" s="9"/>
      <c r="E141" s="8"/>
    </row>
    <row r="142" spans="3:5" ht="12.75">
      <c r="C142" s="9"/>
      <c r="E142" s="8"/>
    </row>
    <row r="143" spans="3:5" ht="12.75">
      <c r="C143" s="9"/>
      <c r="E143" s="8"/>
    </row>
    <row r="144" spans="3:5" ht="12.75">
      <c r="C144" s="9"/>
      <c r="E144" s="8"/>
    </row>
    <row r="145" spans="3:5" ht="12.75">
      <c r="C145" s="9"/>
      <c r="E145" s="8"/>
    </row>
    <row r="146" spans="3:5" ht="12.75">
      <c r="C146" s="9"/>
      <c r="E146" s="8"/>
    </row>
    <row r="147" spans="3:5" ht="12.75">
      <c r="C147" s="9"/>
      <c r="E147" s="8"/>
    </row>
    <row r="148" spans="3:5" ht="12.75">
      <c r="C148" s="9"/>
      <c r="E148" s="8"/>
    </row>
    <row r="149" spans="3:5" ht="12.75">
      <c r="C149" s="9"/>
      <c r="E149" s="8"/>
    </row>
    <row r="150" spans="3:5" ht="12.75">
      <c r="C150" s="9"/>
      <c r="E150" s="8"/>
    </row>
    <row r="151" spans="3:5" ht="12.75">
      <c r="C151" s="9"/>
      <c r="E151" s="8"/>
    </row>
    <row r="152" spans="3:5" ht="12.75">
      <c r="C152" s="9"/>
      <c r="E152" s="8"/>
    </row>
    <row r="153" spans="3:5" ht="12.75">
      <c r="C153" s="9"/>
      <c r="E153" s="8"/>
    </row>
    <row r="154" spans="3:5" ht="12.75">
      <c r="C154" s="9"/>
      <c r="E154" s="8"/>
    </row>
    <row r="155" spans="3:5" ht="12.75">
      <c r="C155" s="9"/>
      <c r="E155" s="8"/>
    </row>
    <row r="156" spans="3:5" ht="12.75">
      <c r="C156" s="9"/>
      <c r="E156" s="8"/>
    </row>
    <row r="157" spans="3:5" ht="12.75">
      <c r="C157" s="9"/>
      <c r="E157" s="8"/>
    </row>
    <row r="158" spans="3:5" ht="12.75">
      <c r="C158" s="9"/>
      <c r="E158" s="8"/>
    </row>
    <row r="159" spans="3:5" ht="12.75">
      <c r="C159" s="9"/>
      <c r="E159" s="8"/>
    </row>
    <row r="160" spans="3:5" ht="12.75">
      <c r="C160" s="9"/>
      <c r="E160" s="8"/>
    </row>
    <row r="161" spans="3:5" ht="12.75">
      <c r="C161" s="9"/>
      <c r="E161" s="8"/>
    </row>
    <row r="162" spans="3:5" ht="12.75">
      <c r="C162" s="9"/>
      <c r="E162" s="8"/>
    </row>
    <row r="163" spans="3:5" ht="12.75">
      <c r="C163" s="9"/>
      <c r="E163" s="8"/>
    </row>
    <row r="164" spans="3:5" ht="12.75">
      <c r="C164" s="9"/>
      <c r="E164" s="8"/>
    </row>
    <row r="165" spans="3:5" ht="12.75">
      <c r="C165" s="9"/>
      <c r="E165" s="8"/>
    </row>
    <row r="166" spans="3:5" ht="12.75">
      <c r="C166" s="9"/>
      <c r="E166" s="8"/>
    </row>
    <row r="167" spans="3:5" ht="12.75">
      <c r="C167" s="9"/>
      <c r="E167" s="8"/>
    </row>
    <row r="168" spans="3:5" ht="12.75">
      <c r="C168" s="9"/>
      <c r="E168" s="8"/>
    </row>
    <row r="169" spans="3:5" ht="12.75">
      <c r="C169" s="9"/>
      <c r="E169" s="8"/>
    </row>
    <row r="170" spans="3:5" ht="12.75">
      <c r="C170" s="9"/>
      <c r="E170" s="8"/>
    </row>
    <row r="171" spans="3:5" ht="12.75">
      <c r="C171" s="9"/>
      <c r="E171" s="8"/>
    </row>
    <row r="172" spans="3:5" ht="12.75">
      <c r="C172" s="9"/>
      <c r="E172" s="8"/>
    </row>
    <row r="173" spans="3:5" ht="12.75">
      <c r="C173" s="9"/>
      <c r="E173" s="8"/>
    </row>
    <row r="174" spans="3:5" ht="12.75">
      <c r="C174" s="9"/>
      <c r="E174" s="8"/>
    </row>
    <row r="175" spans="3:5" ht="12.75">
      <c r="C175" s="9"/>
      <c r="E175" s="8"/>
    </row>
    <row r="176" spans="3:5" ht="12.75">
      <c r="C176" s="9"/>
      <c r="E176" s="8"/>
    </row>
    <row r="177" spans="3:5" ht="12.75">
      <c r="C177" s="9"/>
      <c r="E177" s="8"/>
    </row>
    <row r="178" spans="3:5" ht="12.75">
      <c r="C178" s="9"/>
      <c r="E178" s="8"/>
    </row>
    <row r="179" spans="3:5" ht="12.75">
      <c r="C179" s="9"/>
      <c r="E179" s="8"/>
    </row>
    <row r="180" spans="3:5" ht="12.75">
      <c r="C180" s="9"/>
      <c r="E180" s="8"/>
    </row>
    <row r="181" spans="3:5" ht="12.75">
      <c r="C181" s="9"/>
      <c r="E181" s="8"/>
    </row>
    <row r="182" spans="3:5" ht="12.75">
      <c r="C182" s="9"/>
      <c r="E182" s="8"/>
    </row>
    <row r="183" spans="3:5" ht="12.75">
      <c r="C183" s="9"/>
      <c r="E183" s="8"/>
    </row>
    <row r="184" spans="3:5" ht="12.75">
      <c r="C184" s="9"/>
      <c r="E184" s="8"/>
    </row>
    <row r="185" spans="3:5" ht="12.75">
      <c r="C185" s="9"/>
      <c r="E185" s="8"/>
    </row>
    <row r="186" spans="3:5" ht="12.75">
      <c r="C186" s="9"/>
      <c r="E186" s="8"/>
    </row>
    <row r="187" spans="3:5" ht="12.75">
      <c r="C187" s="9"/>
      <c r="E187" s="8"/>
    </row>
    <row r="188" spans="3:5" ht="12.75">
      <c r="C188" s="9"/>
      <c r="E188" s="8"/>
    </row>
    <row r="189" spans="3:5" ht="12.75">
      <c r="C189" s="9"/>
      <c r="E189" s="8"/>
    </row>
    <row r="190" spans="3:5" ht="12.75">
      <c r="C190" s="9"/>
      <c r="E190" s="8"/>
    </row>
    <row r="191" spans="3:5" ht="12.75">
      <c r="C191" s="9"/>
      <c r="E191" s="8"/>
    </row>
    <row r="192" spans="3:5" ht="12.75">
      <c r="C192" s="9"/>
      <c r="E192" s="8"/>
    </row>
    <row r="193" spans="3:5" ht="12.75">
      <c r="C193" s="9"/>
      <c r="E193" s="8"/>
    </row>
    <row r="194" spans="3:5" ht="12.75">
      <c r="C194" s="9"/>
      <c r="E194" s="8"/>
    </row>
    <row r="195" spans="3:5" ht="12.75">
      <c r="C195" s="9"/>
      <c r="E195" s="8"/>
    </row>
    <row r="196" spans="3:5" ht="12.75">
      <c r="C196" s="9"/>
      <c r="E196" s="8"/>
    </row>
    <row r="197" spans="3:5" ht="12.75">
      <c r="C197" s="9"/>
      <c r="E197" s="8"/>
    </row>
    <row r="198" spans="3:5" ht="12.75">
      <c r="C198" s="9"/>
      <c r="E198" s="8"/>
    </row>
    <row r="199" spans="3:5" ht="12.75">
      <c r="C199" s="9"/>
      <c r="E199" s="8"/>
    </row>
    <row r="200" spans="3:5" ht="12.75">
      <c r="C200" s="9"/>
      <c r="E200" s="8"/>
    </row>
    <row r="201" spans="3:5" ht="12.75">
      <c r="C201" s="9"/>
      <c r="E201" s="8"/>
    </row>
    <row r="202" spans="3:5" ht="12.75">
      <c r="C202" s="9"/>
      <c r="E202" s="8"/>
    </row>
    <row r="203" spans="3:5" ht="12.75">
      <c r="C203" s="9"/>
      <c r="E203" s="8"/>
    </row>
    <row r="204" spans="3:5" ht="12.75">
      <c r="C204" s="9"/>
      <c r="E204" s="8"/>
    </row>
    <row r="205" spans="3:5" ht="12.75">
      <c r="C205" s="9"/>
      <c r="E205" s="8"/>
    </row>
    <row r="206" spans="3:5" ht="12.75">
      <c r="C206" s="9"/>
      <c r="E206" s="8"/>
    </row>
    <row r="207" spans="3:5" ht="12.75">
      <c r="C207" s="9"/>
      <c r="E207" s="8"/>
    </row>
    <row r="208" spans="3:5" ht="12.75">
      <c r="C208" s="9"/>
      <c r="E208" s="8"/>
    </row>
    <row r="209" spans="3:5" ht="12.75">
      <c r="C209" s="9"/>
      <c r="E209" s="8"/>
    </row>
    <row r="210" spans="3:5" ht="12.75">
      <c r="C210" s="9"/>
      <c r="E210" s="8"/>
    </row>
    <row r="211" spans="3:5" ht="12.75">
      <c r="C211" s="9"/>
      <c r="E211" s="8"/>
    </row>
    <row r="212" spans="3:5" ht="12.75">
      <c r="C212" s="9"/>
      <c r="E212" s="8"/>
    </row>
    <row r="213" spans="3:5" ht="12.75">
      <c r="C213" s="9"/>
      <c r="E213" s="8"/>
    </row>
    <row r="214" spans="3:5" ht="12.75">
      <c r="C214" s="9"/>
      <c r="E214" s="8"/>
    </row>
    <row r="215" spans="3:5" ht="12.75">
      <c r="C215" s="9"/>
      <c r="E215" s="8"/>
    </row>
    <row r="216" spans="3:5" ht="12.75">
      <c r="C216" s="9"/>
      <c r="E216" s="8"/>
    </row>
    <row r="217" spans="3:5" ht="12.75">
      <c r="C217" s="9"/>
      <c r="E217" s="8"/>
    </row>
    <row r="218" spans="3:5" ht="12.75">
      <c r="C218" s="9"/>
      <c r="E218" s="8"/>
    </row>
    <row r="219" spans="3:5" ht="12.75">
      <c r="C219" s="9"/>
      <c r="E219" s="8"/>
    </row>
    <row r="220" spans="3:5" ht="12.75">
      <c r="C220" s="9"/>
      <c r="E220" s="8"/>
    </row>
    <row r="221" spans="3:5" ht="12.75">
      <c r="C221" s="9"/>
      <c r="E221" s="8"/>
    </row>
    <row r="222" spans="3:5" ht="12.75">
      <c r="C222" s="9"/>
      <c r="E222" s="8"/>
    </row>
    <row r="223" spans="3:5" ht="12.75">
      <c r="C223" s="9"/>
      <c r="E223" s="8"/>
    </row>
    <row r="224" spans="3:5" ht="12.75">
      <c r="C224" s="9"/>
      <c r="E224" s="8"/>
    </row>
    <row r="225" spans="3:5" ht="12.75">
      <c r="C225" s="9"/>
      <c r="E225" s="8"/>
    </row>
    <row r="226" spans="3:5" ht="12.75">
      <c r="C226" s="9"/>
      <c r="E226" s="8"/>
    </row>
    <row r="227" spans="3:5" ht="12.75">
      <c r="C227" s="9"/>
      <c r="E227" s="8"/>
    </row>
    <row r="228" spans="3:5" ht="12.75">
      <c r="C228" s="9"/>
      <c r="E228" s="8"/>
    </row>
    <row r="229" spans="3:5" ht="12.75">
      <c r="C229" s="9"/>
      <c r="E229" s="8"/>
    </row>
    <row r="230" spans="3:5" ht="12.75">
      <c r="C230" s="9"/>
      <c r="E230" s="8"/>
    </row>
    <row r="231" spans="3:5" ht="12.75">
      <c r="C231" s="9"/>
      <c r="E231" s="8"/>
    </row>
    <row r="232" spans="3:5" ht="12.75">
      <c r="C232" s="9"/>
      <c r="E232" s="8"/>
    </row>
    <row r="233" spans="3:5" ht="12.75">
      <c r="C233" s="9"/>
      <c r="E233" s="8"/>
    </row>
    <row r="234" spans="3:5" ht="12.75">
      <c r="C234" s="9"/>
      <c r="E234" s="8"/>
    </row>
    <row r="235" spans="3:5" ht="12.75">
      <c r="C235" s="9"/>
      <c r="E235" s="8"/>
    </row>
    <row r="236" spans="3:5" ht="12.75">
      <c r="C236" s="9"/>
      <c r="E236" s="8"/>
    </row>
    <row r="237" spans="3:5" ht="12.75">
      <c r="C237" s="9"/>
      <c r="E237" s="8"/>
    </row>
    <row r="238" spans="3:5" ht="12.75">
      <c r="C238" s="9"/>
      <c r="E238" s="8"/>
    </row>
    <row r="239" spans="3:5" ht="12.75">
      <c r="C239" s="9"/>
      <c r="E239" s="8"/>
    </row>
    <row r="240" spans="3:5" ht="12.75">
      <c r="C240" s="9"/>
      <c r="E240" s="8"/>
    </row>
    <row r="241" spans="3:5" ht="12.75">
      <c r="C241" s="9"/>
      <c r="E241" s="8"/>
    </row>
    <row r="242" spans="3:5" ht="12.75">
      <c r="C242" s="9"/>
      <c r="E242" s="8"/>
    </row>
    <row r="243" spans="3:5" ht="12.75">
      <c r="C243" s="9"/>
      <c r="E243" s="8"/>
    </row>
    <row r="244" spans="3:5" ht="12.75">
      <c r="C244" s="9"/>
      <c r="E244" s="8"/>
    </row>
    <row r="245" spans="3:5" ht="12.75">
      <c r="C245" s="9"/>
      <c r="E245" s="8"/>
    </row>
    <row r="246" spans="3:5" ht="12.75">
      <c r="C246" s="9"/>
      <c r="E246" s="8"/>
    </row>
    <row r="247" spans="3:5" ht="12.75">
      <c r="C247" s="9"/>
      <c r="E247" s="8"/>
    </row>
    <row r="248" spans="3:5" ht="12.75">
      <c r="C248" s="9"/>
      <c r="E248" s="8"/>
    </row>
    <row r="249" spans="3:5" ht="12.75">
      <c r="C249" s="9"/>
      <c r="E249" s="8"/>
    </row>
    <row r="250" spans="3:5" ht="12.75">
      <c r="C250" s="9"/>
      <c r="E250" s="8"/>
    </row>
    <row r="251" spans="3:5" ht="12.75">
      <c r="C251" s="9"/>
      <c r="E251" s="8"/>
    </row>
    <row r="252" spans="3:5" ht="12.75">
      <c r="C252" s="9"/>
      <c r="E252" s="8"/>
    </row>
    <row r="253" spans="3:5" ht="12.75">
      <c r="C253" s="9"/>
      <c r="E253" s="8"/>
    </row>
    <row r="254" spans="3:5" ht="12.75">
      <c r="C254" s="9"/>
      <c r="E254" s="8"/>
    </row>
    <row r="255" spans="3:5" ht="12.75">
      <c r="C255" s="9"/>
      <c r="E255" s="8"/>
    </row>
    <row r="256" spans="3:5" ht="12.75">
      <c r="C256" s="9"/>
      <c r="E256" s="8"/>
    </row>
    <row r="257" spans="3:5" ht="12.75">
      <c r="C257" s="9"/>
      <c r="E257" s="8"/>
    </row>
    <row r="258" spans="3:5" ht="12.75">
      <c r="C258" s="9"/>
      <c r="E258" s="8"/>
    </row>
    <row r="259" spans="3:5" ht="12.75">
      <c r="C259" s="9"/>
      <c r="E259" s="8"/>
    </row>
    <row r="260" spans="3:5" ht="12.75">
      <c r="C260" s="9"/>
      <c r="E260" s="8"/>
    </row>
    <row r="261" spans="3:5" ht="12.75">
      <c r="C261" s="9"/>
      <c r="E261" s="8"/>
    </row>
    <row r="262" spans="3:5" ht="12.75">
      <c r="C262" s="9"/>
      <c r="E262" s="8"/>
    </row>
    <row r="263" spans="3:5" ht="12.75">
      <c r="C263" s="9"/>
      <c r="E263" s="8"/>
    </row>
    <row r="264" spans="3:5" ht="12.75">
      <c r="C264" s="9"/>
      <c r="E264" s="8"/>
    </row>
    <row r="265" spans="3:5" ht="12.75">
      <c r="C265" s="9"/>
      <c r="E265" s="8"/>
    </row>
    <row r="266" spans="3:5" ht="12.75">
      <c r="C266" s="9"/>
      <c r="E266" s="8"/>
    </row>
    <row r="267" spans="3:5" ht="12.75">
      <c r="C267" s="9"/>
      <c r="E267" s="8"/>
    </row>
    <row r="268" spans="3:5" ht="12.75">
      <c r="C268" s="9"/>
      <c r="E268" s="8"/>
    </row>
    <row r="269" spans="3:5" ht="12.75">
      <c r="C269" s="9"/>
      <c r="E269" s="8"/>
    </row>
    <row r="270" spans="3:5" ht="12.75">
      <c r="C270" s="9"/>
      <c r="E270" s="8"/>
    </row>
    <row r="271" spans="3:5" ht="12.75">
      <c r="C271" s="9"/>
      <c r="E271" s="8"/>
    </row>
    <row r="272" spans="3:5" ht="12.75">
      <c r="C272" s="9"/>
      <c r="E272" s="8"/>
    </row>
    <row r="273" spans="3:5" ht="12.75">
      <c r="C273" s="9"/>
      <c r="E273" s="8"/>
    </row>
    <row r="274" spans="3:5" ht="12.75">
      <c r="C274" s="9"/>
      <c r="E274" s="8"/>
    </row>
    <row r="275" spans="3:5" ht="12.75">
      <c r="C275" s="9"/>
      <c r="E275" s="8"/>
    </row>
    <row r="276" spans="3:5" ht="12.75">
      <c r="C276" s="9"/>
      <c r="E276" s="8"/>
    </row>
    <row r="277" spans="3:5" ht="12.75">
      <c r="C277" s="9"/>
      <c r="E277" s="8"/>
    </row>
    <row r="278" spans="3:5" ht="12.75">
      <c r="C278" s="9"/>
      <c r="E278" s="8"/>
    </row>
    <row r="279" spans="3:5" ht="12.75">
      <c r="C279" s="9"/>
      <c r="E279" s="8"/>
    </row>
    <row r="280" spans="3:5" ht="12.75">
      <c r="C280" s="9"/>
      <c r="E280" s="8"/>
    </row>
    <row r="281" spans="3:5" ht="12.75">
      <c r="C281" s="9"/>
      <c r="E281" s="8"/>
    </row>
    <row r="282" spans="3:5" ht="12.75">
      <c r="C282" s="9"/>
      <c r="E282" s="8"/>
    </row>
    <row r="283" spans="3:5" ht="12.75">
      <c r="C283" s="9"/>
      <c r="E283" s="8"/>
    </row>
    <row r="284" spans="3:5" ht="12.75">
      <c r="C284" s="9"/>
      <c r="E284" s="8"/>
    </row>
    <row r="285" spans="3:5" ht="12.75">
      <c r="C285" s="9"/>
      <c r="E285" s="8"/>
    </row>
    <row r="286" spans="3:5" ht="12.75">
      <c r="C286" s="9"/>
      <c r="E286" s="8"/>
    </row>
    <row r="287" spans="3:5" ht="12.75">
      <c r="C287" s="9"/>
      <c r="E287" s="8"/>
    </row>
    <row r="288" spans="3:5" ht="12.75">
      <c r="C288" s="9"/>
      <c r="E288" s="8"/>
    </row>
    <row r="289" spans="3:5" ht="12.75">
      <c r="C289" s="9"/>
      <c r="E289" s="8"/>
    </row>
    <row r="290" spans="3:5" ht="12.75">
      <c r="C290" s="9"/>
      <c r="E290" s="8"/>
    </row>
    <row r="291" spans="3:5" ht="12.75">
      <c r="C291" s="9"/>
      <c r="E291" s="8"/>
    </row>
    <row r="292" spans="3:5" ht="12.75">
      <c r="C292" s="9"/>
      <c r="E292" s="8"/>
    </row>
    <row r="293" spans="3:5" ht="12.75">
      <c r="C293" s="9"/>
      <c r="E293" s="8"/>
    </row>
    <row r="294" spans="3:5" ht="12.75">
      <c r="C294" s="9"/>
      <c r="E294" s="8"/>
    </row>
    <row r="295" spans="3:5" ht="12.75">
      <c r="C295" s="9"/>
      <c r="E295" s="8"/>
    </row>
    <row r="296" spans="3:5" ht="12.75">
      <c r="C296" s="9"/>
      <c r="E296" s="8"/>
    </row>
    <row r="297" spans="3:5" ht="12.75">
      <c r="C297" s="9"/>
      <c r="E297" s="8"/>
    </row>
    <row r="298" spans="3:5" ht="12.75">
      <c r="C298" s="9"/>
      <c r="E298" s="8"/>
    </row>
    <row r="299" spans="3:5" ht="12.75">
      <c r="C299" s="9"/>
      <c r="E299" s="8"/>
    </row>
    <row r="300" spans="3:5" ht="12.75">
      <c r="C300" s="9"/>
      <c r="E300" s="8"/>
    </row>
    <row r="301" spans="3:5" ht="12.75">
      <c r="C301" s="9"/>
      <c r="E301" s="8"/>
    </row>
    <row r="302" spans="3:5" ht="12.75">
      <c r="C302" s="9"/>
      <c r="E302" s="8"/>
    </row>
    <row r="303" spans="3:5" ht="12.75">
      <c r="C303" s="9"/>
      <c r="E303" s="8"/>
    </row>
    <row r="304" spans="3:5" ht="12.75">
      <c r="C304" s="9"/>
      <c r="E304" s="8"/>
    </row>
    <row r="305" spans="3:5" ht="12.75">
      <c r="C305" s="9"/>
      <c r="E305" s="8"/>
    </row>
    <row r="306" spans="3:5" ht="12.75">
      <c r="C306" s="9"/>
      <c r="E306" s="8"/>
    </row>
    <row r="307" spans="3:5" ht="12.75">
      <c r="C307" s="9"/>
      <c r="E307" s="8"/>
    </row>
    <row r="308" spans="3:5" ht="12.75">
      <c r="C308" s="9"/>
      <c r="E308" s="8"/>
    </row>
    <row r="309" spans="3:5" ht="12.75">
      <c r="C309" s="9"/>
      <c r="E309" s="8"/>
    </row>
    <row r="310" spans="3:5" ht="12.75">
      <c r="C310" s="9"/>
      <c r="E310" s="8"/>
    </row>
    <row r="311" spans="3:5" ht="12.75">
      <c r="C311" s="9"/>
      <c r="E311" s="8"/>
    </row>
    <row r="312" spans="3:5" ht="12.75">
      <c r="C312" s="9"/>
      <c r="E312" s="8"/>
    </row>
    <row r="313" spans="3:5" ht="12.75">
      <c r="C313" s="9"/>
      <c r="E313" s="8"/>
    </row>
    <row r="314" spans="3:5" ht="12.75">
      <c r="C314" s="9"/>
      <c r="E314" s="8"/>
    </row>
    <row r="315" spans="3:5" ht="12.75">
      <c r="C315" s="9"/>
      <c r="E315" s="8"/>
    </row>
    <row r="316" spans="3:5" ht="12.75">
      <c r="C316" s="9"/>
      <c r="E316" s="8"/>
    </row>
    <row r="317" spans="3:5" ht="12.75">
      <c r="C317" s="9"/>
      <c r="E317" s="8"/>
    </row>
    <row r="318" spans="3:5" ht="12.75">
      <c r="C318" s="9"/>
      <c r="E318" s="8"/>
    </row>
    <row r="319" spans="3:5" ht="12.75">
      <c r="C319" s="9"/>
      <c r="E319" s="8"/>
    </row>
    <row r="320" spans="3:5" ht="12.75">
      <c r="C320" s="9"/>
      <c r="E320" s="8"/>
    </row>
    <row r="321" spans="3:5" ht="12.75">
      <c r="C321" s="9"/>
      <c r="E321" s="8"/>
    </row>
    <row r="322" spans="3:5" ht="12.75">
      <c r="C322" s="9"/>
      <c r="E322" s="8"/>
    </row>
    <row r="323" spans="3:5" ht="12.75">
      <c r="C323" s="9"/>
      <c r="E323" s="8"/>
    </row>
    <row r="324" spans="3:5" ht="12.75">
      <c r="C324" s="9"/>
      <c r="E324" s="8"/>
    </row>
    <row r="325" spans="3:5" ht="12.75">
      <c r="C325" s="9"/>
      <c r="E325" s="8"/>
    </row>
    <row r="326" spans="3:5" ht="12.75">
      <c r="C326" s="9"/>
      <c r="E326" s="8"/>
    </row>
    <row r="327" spans="3:5" ht="12.75">
      <c r="C327" s="9"/>
      <c r="E327" s="8"/>
    </row>
    <row r="328" spans="3:5" ht="12.75">
      <c r="C328" s="9"/>
      <c r="E328" s="8"/>
    </row>
    <row r="329" spans="3:5" ht="12.75">
      <c r="C329" s="9"/>
      <c r="E329" s="8"/>
    </row>
    <row r="330" spans="3:5" ht="12.75">
      <c r="C330" s="9"/>
      <c r="E330" s="8"/>
    </row>
    <row r="331" spans="3:5" ht="12.75">
      <c r="C331" s="9"/>
      <c r="E331" s="8"/>
    </row>
    <row r="332" spans="3:5" ht="12.75">
      <c r="C332" s="9"/>
      <c r="E332" s="8"/>
    </row>
    <row r="333" spans="3:5" ht="12.75">
      <c r="C333" s="9"/>
      <c r="E333" s="8"/>
    </row>
    <row r="334" spans="3:5" ht="12.75">
      <c r="C334" s="9"/>
      <c r="E334" s="8"/>
    </row>
    <row r="335" spans="3:5" ht="12.75">
      <c r="C335" s="9"/>
      <c r="E335" s="8"/>
    </row>
    <row r="336" spans="3:5" ht="12.75">
      <c r="C336" s="9"/>
      <c r="E336" s="8"/>
    </row>
    <row r="337" spans="3:5" ht="12.75">
      <c r="C337" s="9"/>
      <c r="E337" s="8"/>
    </row>
    <row r="338" spans="3:5" ht="12.75">
      <c r="C338" s="9"/>
      <c r="E338" s="8"/>
    </row>
    <row r="339" spans="3:5" ht="12.75">
      <c r="C339" s="9"/>
      <c r="E339" s="8"/>
    </row>
    <row r="340" spans="3:5" ht="12.75">
      <c r="C340" s="9"/>
      <c r="E340" s="8"/>
    </row>
    <row r="341" spans="3:5" ht="12.75">
      <c r="C341" s="9"/>
      <c r="E341" s="8"/>
    </row>
    <row r="342" spans="3:5" ht="12.75">
      <c r="C342" s="9"/>
      <c r="E342" s="8"/>
    </row>
    <row r="343" spans="3:5" ht="12.75">
      <c r="C343" s="9"/>
      <c r="E343" s="8"/>
    </row>
    <row r="344" spans="3:5" ht="12.75">
      <c r="C344" s="9"/>
      <c r="E344" s="8"/>
    </row>
    <row r="345" spans="3:5" ht="12.75">
      <c r="C345" s="9"/>
      <c r="E345" s="8"/>
    </row>
    <row r="346" spans="3:5" ht="12.75">
      <c r="C346" s="9"/>
      <c r="E346" s="8"/>
    </row>
    <row r="347" spans="3:5" ht="12.75">
      <c r="C347" s="9"/>
      <c r="E347" s="8"/>
    </row>
    <row r="348" spans="3:5" ht="12.75">
      <c r="C348" s="9"/>
      <c r="E348" s="8"/>
    </row>
    <row r="349" spans="3:5" ht="12.75">
      <c r="C349" s="9"/>
      <c r="E349" s="8"/>
    </row>
    <row r="350" spans="3:5" ht="12.75">
      <c r="C350" s="9"/>
      <c r="E350" s="8"/>
    </row>
    <row r="351" spans="3:5" ht="12.75">
      <c r="C351" s="9"/>
      <c r="E351" s="8"/>
    </row>
    <row r="352" spans="3:5" ht="12.75">
      <c r="C352" s="9"/>
      <c r="E352" s="8"/>
    </row>
    <row r="353" spans="3:5" ht="12.75">
      <c r="C353" s="9"/>
      <c r="E353" s="8"/>
    </row>
    <row r="354" spans="3:5" ht="12.75">
      <c r="C354" s="9"/>
      <c r="E354" s="8"/>
    </row>
    <row r="355" spans="3:5" ht="12.75">
      <c r="C355" s="9"/>
      <c r="E355" s="8"/>
    </row>
    <row r="356" spans="3:5" ht="12.75">
      <c r="C356" s="9"/>
      <c r="E356" s="8"/>
    </row>
    <row r="357" spans="3:5" ht="12.75">
      <c r="C357" s="9"/>
      <c r="E357" s="8"/>
    </row>
    <row r="358" spans="3:5" ht="12.75">
      <c r="C358" s="9"/>
      <c r="E358" s="8"/>
    </row>
    <row r="359" spans="3:5" ht="12.75">
      <c r="C359" s="9"/>
      <c r="E359" s="8"/>
    </row>
    <row r="360" spans="3:5" ht="12.75">
      <c r="C360" s="9"/>
      <c r="E360" s="8"/>
    </row>
    <row r="361" spans="3:5" ht="12.75">
      <c r="C361" s="9"/>
      <c r="E361" s="8"/>
    </row>
    <row r="362" spans="3:5" ht="12.75">
      <c r="C362" s="9"/>
      <c r="E362" s="8"/>
    </row>
    <row r="363" spans="3:5" ht="12.75">
      <c r="C363" s="9"/>
      <c r="E363" s="8"/>
    </row>
    <row r="364" spans="3:5" ht="12.75">
      <c r="C364" s="9"/>
      <c r="E364" s="8"/>
    </row>
    <row r="365" spans="3:5" ht="12.75">
      <c r="C365" s="9"/>
      <c r="E365" s="8"/>
    </row>
    <row r="366" spans="3:5" ht="12.75">
      <c r="C366" s="9"/>
      <c r="E366" s="8"/>
    </row>
    <row r="367" spans="3:5" ht="12.75">
      <c r="C367" s="9"/>
      <c r="E367" s="8"/>
    </row>
    <row r="368" spans="3:5" ht="12.75">
      <c r="C368" s="9"/>
      <c r="E368" s="8"/>
    </row>
    <row r="369" spans="3:5" ht="12.75">
      <c r="C369" s="9"/>
      <c r="E369" s="8"/>
    </row>
    <row r="370" spans="3:5" ht="12.75">
      <c r="C370" s="9"/>
      <c r="E370" s="8"/>
    </row>
    <row r="371" spans="3:5" ht="12.75">
      <c r="C371" s="9"/>
      <c r="E371" s="8"/>
    </row>
    <row r="372" spans="3:5" ht="12.75">
      <c r="C372" s="9"/>
      <c r="E372" s="8"/>
    </row>
    <row r="373" spans="3:5" ht="12.75">
      <c r="C373" s="9"/>
      <c r="E373" s="8"/>
    </row>
    <row r="374" spans="3:5" ht="12.75">
      <c r="C374" s="9"/>
      <c r="E374" s="8"/>
    </row>
    <row r="375" spans="3:5" ht="12.75">
      <c r="C375" s="9"/>
      <c r="E375" s="8"/>
    </row>
    <row r="376" spans="3:5" ht="12.75">
      <c r="C376" s="9"/>
      <c r="E376" s="8"/>
    </row>
    <row r="377" spans="3:5" ht="12.75">
      <c r="C377" s="9"/>
      <c r="E377" s="8"/>
    </row>
    <row r="378" spans="3:5" ht="12.75">
      <c r="C378" s="9"/>
      <c r="E378" s="8"/>
    </row>
    <row r="379" spans="3:5" ht="12.75">
      <c r="C379" s="9"/>
      <c r="E379" s="8"/>
    </row>
    <row r="380" spans="3:5" ht="12.75">
      <c r="C380" s="9"/>
      <c r="E380" s="8"/>
    </row>
    <row r="381" spans="3:5" ht="12.75">
      <c r="C381" s="9"/>
      <c r="E381" s="8"/>
    </row>
    <row r="382" spans="3:5" ht="12.75">
      <c r="C382" s="9"/>
      <c r="E382" s="8"/>
    </row>
    <row r="383" spans="3:5" ht="12.75">
      <c r="C383" s="9"/>
      <c r="E383" s="8"/>
    </row>
    <row r="384" spans="3:5" ht="12.75">
      <c r="C384" s="9"/>
      <c r="E384" s="8"/>
    </row>
    <row r="385" spans="3:5" ht="12.75">
      <c r="C385" s="9"/>
      <c r="E385" s="8"/>
    </row>
    <row r="386" spans="3:5" ht="12.75">
      <c r="C386" s="9"/>
      <c r="E386" s="8"/>
    </row>
    <row r="387" spans="3:5" ht="12.75">
      <c r="C387" s="9"/>
      <c r="E387" s="8"/>
    </row>
    <row r="388" spans="3:5" ht="12.75">
      <c r="C388" s="9"/>
      <c r="E388" s="8"/>
    </row>
    <row r="389" spans="3:5" ht="12.75">
      <c r="C389" s="9"/>
      <c r="E389" s="8"/>
    </row>
    <row r="390" spans="3:5" ht="12.75">
      <c r="C390" s="9"/>
      <c r="E390" s="8"/>
    </row>
    <row r="391" spans="3:5" ht="12.75">
      <c r="C391" s="9"/>
      <c r="E391" s="8"/>
    </row>
    <row r="392" spans="3:5" ht="12.75">
      <c r="C392" s="9"/>
      <c r="E392" s="8"/>
    </row>
    <row r="393" spans="3:5" ht="12.75">
      <c r="C393" s="9"/>
      <c r="E393" s="8"/>
    </row>
    <row r="394" spans="3:5" ht="12.75">
      <c r="C394" s="9"/>
      <c r="E394" s="8"/>
    </row>
    <row r="395" spans="3:5" ht="12.75">
      <c r="C395" s="9"/>
      <c r="E395" s="8"/>
    </row>
    <row r="396" spans="3:5" ht="12.75">
      <c r="C396" s="9"/>
      <c r="E396" s="8"/>
    </row>
    <row r="397" spans="3:5" ht="12.75">
      <c r="C397" s="9"/>
      <c r="E397" s="8"/>
    </row>
    <row r="398" spans="3:5" ht="12.75">
      <c r="C398" s="9"/>
      <c r="E398" s="8"/>
    </row>
    <row r="399" spans="3:5" ht="12.75">
      <c r="C399" s="9"/>
      <c r="E399" s="8"/>
    </row>
    <row r="400" spans="3:5" ht="12.75">
      <c r="C400" s="9"/>
      <c r="E400" s="8"/>
    </row>
    <row r="401" spans="3:5" ht="12.75">
      <c r="C401" s="9"/>
      <c r="E401" s="8"/>
    </row>
    <row r="402" spans="3:5" ht="12.75">
      <c r="C402" s="9"/>
      <c r="E402" s="8"/>
    </row>
    <row r="403" spans="3:5" ht="12.75">
      <c r="C403" s="9"/>
      <c r="E403" s="8"/>
    </row>
    <row r="404" spans="3:5" ht="12.75">
      <c r="C404" s="9"/>
      <c r="E404" s="8"/>
    </row>
    <row r="405" spans="3:5" ht="12.75">
      <c r="C405" s="9"/>
      <c r="E405" s="8"/>
    </row>
    <row r="406" spans="3:5" ht="12.75">
      <c r="C406" s="9"/>
      <c r="E406" s="8"/>
    </row>
    <row r="407" spans="3:5" ht="12.75">
      <c r="C407" s="9"/>
      <c r="E407" s="8"/>
    </row>
    <row r="408" spans="3:5" ht="12.75">
      <c r="C408" s="9"/>
      <c r="E408" s="8"/>
    </row>
    <row r="409" spans="3:5" ht="12.75">
      <c r="C409" s="9"/>
      <c r="E409" s="8"/>
    </row>
    <row r="410" spans="3:5" ht="12.75">
      <c r="C410" s="9"/>
      <c r="E410" s="8"/>
    </row>
    <row r="411" spans="3:5" ht="12.75">
      <c r="C411" s="9"/>
      <c r="E411" s="8"/>
    </row>
    <row r="412" spans="3:5" ht="12.75">
      <c r="C412" s="9"/>
      <c r="E412" s="8"/>
    </row>
    <row r="413" spans="3:5" ht="12.75">
      <c r="C413" s="9"/>
      <c r="E413" s="8"/>
    </row>
    <row r="414" spans="3:5" ht="12.75">
      <c r="C414" s="9"/>
      <c r="E414" s="8"/>
    </row>
    <row r="415" spans="3:5" ht="12.75">
      <c r="C415" s="9"/>
      <c r="E415" s="8"/>
    </row>
    <row r="416" spans="3:5" ht="12.75">
      <c r="C416" s="9"/>
      <c r="E416" s="8"/>
    </row>
    <row r="417" spans="3:5" ht="12.75">
      <c r="C417" s="9"/>
      <c r="E417" s="8"/>
    </row>
    <row r="418" spans="3:5" ht="12.75">
      <c r="C418" s="9"/>
      <c r="E418" s="8"/>
    </row>
    <row r="419" spans="3:5" ht="12.75">
      <c r="C419" s="9"/>
      <c r="E419" s="8"/>
    </row>
    <row r="420" spans="3:5" ht="12.75">
      <c r="C420" s="9"/>
      <c r="E420" s="8"/>
    </row>
    <row r="421" spans="3:5" ht="12.75">
      <c r="C421" s="9"/>
      <c r="E421" s="8"/>
    </row>
    <row r="422" spans="3:5" ht="12.75">
      <c r="C422" s="9"/>
      <c r="E422" s="8"/>
    </row>
    <row r="423" spans="3:5" ht="12.75">
      <c r="C423" s="9"/>
      <c r="E423" s="8"/>
    </row>
    <row r="424" spans="3:5" ht="12.75">
      <c r="C424" s="9"/>
      <c r="E424" s="8"/>
    </row>
    <row r="425" spans="3:5" ht="12.75">
      <c r="C425" s="9"/>
      <c r="E425" s="8"/>
    </row>
    <row r="426" spans="3:5" ht="12.75">
      <c r="C426" s="9"/>
      <c r="E426" s="8"/>
    </row>
    <row r="427" spans="3:5" ht="12.75">
      <c r="C427" s="9"/>
      <c r="E427" s="8"/>
    </row>
    <row r="428" spans="3:5" ht="12.75">
      <c r="C428" s="9"/>
      <c r="E428" s="8"/>
    </row>
    <row r="429" spans="3:5" ht="12.75">
      <c r="C429" s="9"/>
      <c r="E429" s="8"/>
    </row>
    <row r="430" spans="3:5" ht="12.75">
      <c r="C430" s="9"/>
      <c r="E430" s="8"/>
    </row>
    <row r="431" spans="3:5" ht="12.75">
      <c r="C431" s="9"/>
      <c r="E431" s="8"/>
    </row>
    <row r="432" spans="3:5" ht="12.75">
      <c r="C432" s="9"/>
      <c r="E432" s="8"/>
    </row>
    <row r="433" spans="3:5" ht="12.75">
      <c r="C433" s="9"/>
      <c r="E433" s="8"/>
    </row>
    <row r="434" spans="3:5" ht="12.75">
      <c r="C434" s="9"/>
      <c r="E434" s="8"/>
    </row>
    <row r="435" spans="3:5" ht="12.75">
      <c r="C435" s="9"/>
      <c r="E435" s="8"/>
    </row>
    <row r="436" spans="3:5" ht="12.75">
      <c r="C436" s="9"/>
      <c r="E436" s="8"/>
    </row>
    <row r="437" spans="3:5" ht="12.75">
      <c r="C437" s="9"/>
      <c r="E437" s="8"/>
    </row>
    <row r="438" spans="3:5" ht="12.75">
      <c r="C438" s="9"/>
      <c r="E438" s="8"/>
    </row>
    <row r="439" spans="3:5" ht="12.75">
      <c r="C439" s="9"/>
      <c r="E439" s="8"/>
    </row>
    <row r="440" spans="3:5" ht="12.75">
      <c r="C440" s="9"/>
      <c r="E440" s="8"/>
    </row>
    <row r="441" spans="3:5" ht="12.75">
      <c r="C441" s="9"/>
      <c r="E441" s="8"/>
    </row>
    <row r="442" spans="3:5" ht="12.75">
      <c r="C442" s="9"/>
      <c r="E442" s="8"/>
    </row>
    <row r="443" spans="3:5" ht="12.75">
      <c r="C443" s="9"/>
      <c r="E443" s="8"/>
    </row>
    <row r="444" spans="3:5" ht="12.75">
      <c r="C444" s="9"/>
      <c r="E444" s="8"/>
    </row>
    <row r="445" spans="3:5" ht="12.75">
      <c r="C445" s="9"/>
      <c r="E445" s="8"/>
    </row>
    <row r="446" spans="3:5" ht="12.75">
      <c r="C446" s="9"/>
      <c r="E446" s="8"/>
    </row>
    <row r="447" spans="3:5" ht="12.75">
      <c r="C447" s="9"/>
      <c r="E447" s="8"/>
    </row>
    <row r="448" spans="3:5" ht="12.75">
      <c r="C448" s="9"/>
      <c r="E448" s="8"/>
    </row>
    <row r="449" spans="3:5" ht="12.75">
      <c r="C449" s="9"/>
      <c r="E449" s="8"/>
    </row>
    <row r="450" spans="3:5" ht="12.75">
      <c r="C450" s="9"/>
      <c r="E450" s="8"/>
    </row>
    <row r="451" spans="3:5" ht="12.75">
      <c r="C451" s="9"/>
      <c r="E451" s="8"/>
    </row>
    <row r="452" spans="3:5" ht="12.75">
      <c r="C452" s="9"/>
      <c r="E452" s="8"/>
    </row>
    <row r="453" spans="3:5" ht="12.75">
      <c r="C453" s="9"/>
      <c r="E453" s="8"/>
    </row>
    <row r="454" spans="3:5" ht="12.75">
      <c r="C454" s="9"/>
      <c r="E454" s="8"/>
    </row>
    <row r="455" spans="3:5" ht="12.75">
      <c r="C455" s="9"/>
      <c r="E455" s="8"/>
    </row>
    <row r="456" spans="3:5" ht="12.75">
      <c r="C456" s="9"/>
      <c r="E456" s="8"/>
    </row>
    <row r="457" spans="3:5" ht="12.75">
      <c r="C457" s="9"/>
      <c r="E457" s="8"/>
    </row>
    <row r="458" spans="3:5" ht="12.75">
      <c r="C458" s="9"/>
      <c r="E458" s="8"/>
    </row>
    <row r="459" spans="3:5" ht="12.75">
      <c r="C459" s="9"/>
      <c r="E459" s="8"/>
    </row>
    <row r="460" spans="3:5" ht="12.75">
      <c r="C460" s="9"/>
      <c r="E460" s="8"/>
    </row>
    <row r="461" spans="3:5" ht="12.75">
      <c r="C461" s="9"/>
      <c r="E461" s="8"/>
    </row>
    <row r="462" spans="3:5" ht="12.75">
      <c r="C462" s="9"/>
      <c r="E462" s="8"/>
    </row>
    <row r="463" spans="3:5" ht="12.75">
      <c r="C463" s="9"/>
      <c r="E463" s="8"/>
    </row>
    <row r="464" spans="3:5" ht="12.75">
      <c r="C464" s="9"/>
      <c r="E464" s="8"/>
    </row>
    <row r="465" spans="3:5" ht="12.75">
      <c r="C465" s="9"/>
      <c r="E465" s="8"/>
    </row>
    <row r="466" spans="3:5" ht="12.75">
      <c r="C466" s="9"/>
      <c r="E466" s="8"/>
    </row>
    <row r="467" spans="3:5" ht="12.75">
      <c r="C467" s="9"/>
      <c r="E467" s="8"/>
    </row>
    <row r="468" spans="3:5" ht="12.75">
      <c r="C468" s="9"/>
      <c r="E468" s="8"/>
    </row>
    <row r="469" spans="3:5" ht="12.75">
      <c r="C469" s="9"/>
      <c r="E469" s="8"/>
    </row>
    <row r="470" spans="3:5" ht="12.75">
      <c r="C470" s="9"/>
      <c r="E470" s="8"/>
    </row>
    <row r="471" spans="3:5" ht="12.75">
      <c r="C471" s="9"/>
      <c r="E471" s="8"/>
    </row>
    <row r="472" spans="3:5" ht="12.75">
      <c r="C472" s="9"/>
      <c r="E472" s="8"/>
    </row>
    <row r="473" spans="3:5" ht="12.75">
      <c r="C473" s="9"/>
      <c r="E473" s="8"/>
    </row>
    <row r="474" spans="3:5" ht="12.75">
      <c r="C474" s="9"/>
      <c r="E474" s="8"/>
    </row>
    <row r="475" spans="3:5" ht="12.75">
      <c r="C475" s="9"/>
      <c r="E475" s="8"/>
    </row>
    <row r="476" spans="3:5" ht="12.75">
      <c r="C476" s="9"/>
      <c r="E476" s="8"/>
    </row>
    <row r="477" spans="3:5" ht="12.75">
      <c r="C477" s="9"/>
      <c r="E477" s="8"/>
    </row>
    <row r="478" spans="3:5" ht="12.75">
      <c r="C478" s="9"/>
      <c r="E478" s="8"/>
    </row>
    <row r="479" spans="3:5" ht="12.75">
      <c r="C479" s="9"/>
      <c r="E479" s="8"/>
    </row>
    <row r="480" spans="3:5" ht="12.75">
      <c r="C480" s="9"/>
      <c r="E480" s="8"/>
    </row>
    <row r="481" spans="3:5" ht="12.75">
      <c r="C481" s="9"/>
      <c r="E481" s="8"/>
    </row>
    <row r="482" spans="3:5" ht="12.75">
      <c r="C482" s="9"/>
      <c r="E482" s="8"/>
    </row>
    <row r="483" spans="3:5" ht="12.75">
      <c r="C483" s="9"/>
      <c r="E483" s="8"/>
    </row>
    <row r="484" spans="3:5" ht="12.75">
      <c r="C484" s="9"/>
      <c r="E484" s="8"/>
    </row>
    <row r="485" spans="3:5" ht="12.75">
      <c r="C485" s="9"/>
      <c r="E485" s="8"/>
    </row>
    <row r="486" spans="3:5" ht="12.75">
      <c r="C486" s="9"/>
      <c r="E486" s="8"/>
    </row>
    <row r="487" spans="3:5" ht="12.75">
      <c r="C487" s="9"/>
      <c r="E487" s="8"/>
    </row>
    <row r="488" spans="3:5" ht="12.75">
      <c r="C488" s="9"/>
      <c r="E488" s="8"/>
    </row>
    <row r="489" spans="3:5" ht="12.75">
      <c r="C489" s="9"/>
      <c r="E489" s="8"/>
    </row>
    <row r="490" spans="3:5" ht="12.75">
      <c r="C490" s="9"/>
      <c r="E490" s="8"/>
    </row>
    <row r="491" spans="3:5" ht="12.75">
      <c r="C491" s="9"/>
      <c r="E491" s="8"/>
    </row>
    <row r="492" spans="3:5" ht="12.75">
      <c r="C492" s="9"/>
      <c r="E492" s="8"/>
    </row>
    <row r="493" spans="3:5" ht="12.75">
      <c r="C493" s="9"/>
      <c r="E493" s="8"/>
    </row>
    <row r="494" spans="3:5" ht="12.75">
      <c r="C494" s="9"/>
      <c r="E494" s="8"/>
    </row>
    <row r="495" spans="3:5" ht="12.75">
      <c r="C495" s="9"/>
      <c r="E495" s="8"/>
    </row>
    <row r="496" spans="3:5" ht="12.75">
      <c r="C496" s="9"/>
      <c r="E496" s="8"/>
    </row>
    <row r="497" spans="3:5" ht="12.75">
      <c r="C497" s="9"/>
      <c r="E497" s="8"/>
    </row>
    <row r="498" spans="3:5" ht="12.75">
      <c r="C498" s="9"/>
      <c r="E498" s="8"/>
    </row>
    <row r="499" spans="3:5" ht="12.75">
      <c r="C499" s="9"/>
      <c r="E499" s="8"/>
    </row>
    <row r="500" spans="3:5" ht="12.75">
      <c r="C500" s="9"/>
      <c r="E500" s="8"/>
    </row>
    <row r="501" spans="3:5" ht="12.75">
      <c r="C501" s="9"/>
      <c r="E501" s="8"/>
    </row>
    <row r="502" spans="3:5" ht="12.75">
      <c r="C502" s="9"/>
      <c r="E502" s="8"/>
    </row>
    <row r="503" spans="3:5" ht="12.75">
      <c r="C503" s="9"/>
      <c r="E503" s="8"/>
    </row>
    <row r="504" spans="3:5" ht="12.75">
      <c r="C504" s="9"/>
      <c r="E504" s="8"/>
    </row>
    <row r="505" spans="3:5" ht="12.75">
      <c r="C505" s="9"/>
      <c r="E505" s="8"/>
    </row>
    <row r="506" spans="3:5" ht="12.75">
      <c r="C506" s="9"/>
      <c r="E506" s="8"/>
    </row>
    <row r="507" spans="3:5" ht="12.75">
      <c r="C507" s="9"/>
      <c r="E507" s="8"/>
    </row>
    <row r="508" spans="3:5" ht="12.75">
      <c r="C508" s="9"/>
      <c r="E508" s="8"/>
    </row>
    <row r="509" spans="3:5" ht="12.75">
      <c r="C509" s="9"/>
      <c r="E509" s="8"/>
    </row>
    <row r="510" spans="3:5" ht="12.75">
      <c r="C510" s="9"/>
      <c r="E510" s="8"/>
    </row>
    <row r="511" spans="3:5" ht="12.75">
      <c r="C511" s="9"/>
      <c r="E511" s="8"/>
    </row>
    <row r="512" spans="3:5" ht="12.75">
      <c r="C512" s="9"/>
      <c r="E512" s="8"/>
    </row>
    <row r="513" spans="3:5" ht="12.75">
      <c r="C513" s="9"/>
      <c r="E513" s="8"/>
    </row>
    <row r="514" spans="3:5" ht="12.75">
      <c r="C514" s="9"/>
      <c r="E514" s="8"/>
    </row>
    <row r="515" spans="3:5" ht="12.75">
      <c r="C515" s="9"/>
      <c r="E515" s="8"/>
    </row>
    <row r="516" spans="3:5" ht="12.75">
      <c r="C516" s="9"/>
      <c r="E516" s="8"/>
    </row>
    <row r="517" spans="3:5" ht="12.75">
      <c r="C517" s="9"/>
      <c r="E517" s="8"/>
    </row>
    <row r="518" spans="3:5" ht="12.75">
      <c r="C518" s="9"/>
      <c r="E518" s="8"/>
    </row>
    <row r="519" spans="3:5" ht="12.75">
      <c r="C519" s="9"/>
      <c r="E519" s="8"/>
    </row>
    <row r="520" spans="3:5" ht="12.75">
      <c r="C520" s="9"/>
      <c r="E520" s="8"/>
    </row>
    <row r="521" spans="3:5" ht="12.75">
      <c r="C521" s="9"/>
      <c r="E521" s="8"/>
    </row>
    <row r="522" spans="3:5" ht="12.75">
      <c r="C522" s="9"/>
      <c r="E522" s="8"/>
    </row>
    <row r="523" spans="3:5" ht="12.75">
      <c r="C523" s="9"/>
      <c r="E523" s="8"/>
    </row>
    <row r="524" spans="3:5" ht="12.75">
      <c r="C524" s="9"/>
      <c r="E524" s="8"/>
    </row>
    <row r="525" spans="3:5" ht="12.75">
      <c r="C525" s="9"/>
      <c r="E525" s="8"/>
    </row>
    <row r="526" spans="3:5" ht="12.75">
      <c r="C526" s="9"/>
      <c r="E526" s="8"/>
    </row>
    <row r="527" spans="3:5" ht="12.75">
      <c r="C527" s="9"/>
      <c r="E527" s="8"/>
    </row>
    <row r="528" spans="3:5" ht="12.75">
      <c r="C528" s="9"/>
      <c r="E528" s="8"/>
    </row>
    <row r="529" spans="3:5" ht="12.75">
      <c r="C529" s="9"/>
      <c r="E529" s="8"/>
    </row>
    <row r="530" spans="3:5" ht="12.75">
      <c r="C530" s="9"/>
      <c r="E530" s="8"/>
    </row>
    <row r="531" spans="3:5" ht="12.75">
      <c r="C531" s="9"/>
      <c r="E531" s="8"/>
    </row>
    <row r="532" spans="3:5" ht="12.75">
      <c r="C532" s="9"/>
      <c r="E532" s="8"/>
    </row>
    <row r="533" spans="3:5" ht="12.75">
      <c r="C533" s="9"/>
      <c r="E533" s="8"/>
    </row>
    <row r="534" spans="3:5" ht="12.75">
      <c r="C534" s="9"/>
      <c r="E534" s="8"/>
    </row>
    <row r="535" spans="3:5" ht="12.75">
      <c r="C535" s="9"/>
      <c r="E535" s="8"/>
    </row>
    <row r="536" spans="3:5" ht="12.75">
      <c r="C536" s="9"/>
      <c r="E536" s="8"/>
    </row>
    <row r="537" spans="3:5" ht="12.75">
      <c r="C537" s="9"/>
      <c r="E537" s="8"/>
    </row>
    <row r="538" spans="3:5" ht="12.75">
      <c r="C538" s="9"/>
      <c r="E538" s="8"/>
    </row>
    <row r="539" spans="3:5" ht="12.75">
      <c r="C539" s="9"/>
      <c r="E539" s="8"/>
    </row>
    <row r="540" spans="3:5" ht="12.75">
      <c r="C540" s="9"/>
      <c r="E540" s="8"/>
    </row>
    <row r="541" spans="3:5" ht="12.75">
      <c r="C541" s="9"/>
      <c r="E541" s="8"/>
    </row>
    <row r="542" spans="3:5" ht="12.75">
      <c r="C542" s="9"/>
      <c r="E542" s="8"/>
    </row>
    <row r="543" spans="3:5" ht="12.75">
      <c r="C543" s="9"/>
      <c r="E543" s="8"/>
    </row>
    <row r="544" spans="3:5" ht="12.75">
      <c r="C544" s="9"/>
      <c r="E544" s="8"/>
    </row>
    <row r="545" spans="3:5" ht="12.75">
      <c r="C545" s="9"/>
      <c r="E545" s="8"/>
    </row>
    <row r="546" spans="3:5" ht="12.75">
      <c r="C546" s="9"/>
      <c r="E546" s="8"/>
    </row>
    <row r="547" spans="3:5" ht="12.75">
      <c r="C547" s="9"/>
      <c r="E547" s="8"/>
    </row>
    <row r="548" spans="3:5" ht="12.75">
      <c r="C548" s="9"/>
      <c r="E548" s="8"/>
    </row>
    <row r="549" spans="3:5" ht="12.75">
      <c r="C549" s="9"/>
      <c r="E549" s="8"/>
    </row>
    <row r="550" spans="3:5" ht="12.75">
      <c r="C550" s="9"/>
      <c r="E550" s="8"/>
    </row>
    <row r="551" spans="3:5" ht="12.75">
      <c r="C551" s="9"/>
      <c r="E551" s="8"/>
    </row>
    <row r="552" spans="3:5" ht="12.75">
      <c r="C552" s="9"/>
      <c r="E552" s="8"/>
    </row>
    <row r="553" spans="3:5" ht="12.75">
      <c r="C553" s="9"/>
      <c r="E553" s="8"/>
    </row>
    <row r="554" spans="3:5" ht="12.75">
      <c r="C554" s="9"/>
      <c r="E554" s="8"/>
    </row>
    <row r="555" spans="3:5" ht="12.75">
      <c r="C555" s="9"/>
      <c r="E555" s="8"/>
    </row>
    <row r="556" spans="3:5" ht="12.75">
      <c r="C556" s="9"/>
      <c r="E556" s="8"/>
    </row>
    <row r="557" spans="3:5" ht="12.75">
      <c r="C557" s="9"/>
      <c r="E557" s="8"/>
    </row>
    <row r="558" spans="3:5" ht="12.75">
      <c r="C558" s="9"/>
      <c r="E558" s="8"/>
    </row>
    <row r="559" spans="3:5" ht="12.75">
      <c r="C559" s="9"/>
      <c r="E559" s="8"/>
    </row>
    <row r="560" spans="3:5" ht="12.75">
      <c r="C560" s="9"/>
      <c r="E560" s="8"/>
    </row>
    <row r="561" spans="3:5" ht="12.75">
      <c r="C561" s="9"/>
      <c r="E561" s="8"/>
    </row>
    <row r="562" spans="3:5" ht="12.75">
      <c r="C562" s="9"/>
      <c r="E562" s="8"/>
    </row>
    <row r="563" spans="3:5" ht="12.75">
      <c r="C563" s="9"/>
      <c r="E563" s="8"/>
    </row>
    <row r="564" spans="3:5" ht="12.75">
      <c r="C564" s="9"/>
      <c r="E564" s="8"/>
    </row>
    <row r="565" spans="3:5" ht="12.75">
      <c r="C565" s="9"/>
      <c r="E565" s="8"/>
    </row>
    <row r="566" spans="3:5" ht="12.75">
      <c r="C566" s="9"/>
      <c r="E566" s="8"/>
    </row>
    <row r="567" spans="3:5" ht="12.75">
      <c r="C567" s="9"/>
      <c r="E567" s="8"/>
    </row>
    <row r="568" spans="3:5" ht="12.75">
      <c r="C568" s="9"/>
      <c r="E568" s="8"/>
    </row>
    <row r="569" spans="3:5" ht="12.75">
      <c r="C569" s="9"/>
      <c r="E569" s="8"/>
    </row>
    <row r="570" spans="3:5" ht="12.75">
      <c r="C570" s="9"/>
      <c r="E570" s="8"/>
    </row>
    <row r="571" spans="3:5" ht="12.75">
      <c r="C571" s="9"/>
      <c r="E571" s="8"/>
    </row>
    <row r="572" spans="3:5" ht="12.75">
      <c r="C572" s="9"/>
      <c r="E572" s="8"/>
    </row>
    <row r="573" spans="3:5" ht="12.75">
      <c r="C573" s="9"/>
      <c r="E573" s="8"/>
    </row>
    <row r="574" spans="3:5" ht="12.75">
      <c r="C574" s="9"/>
      <c r="E574" s="8"/>
    </row>
    <row r="575" spans="3:5" ht="12.75">
      <c r="C575" s="9"/>
      <c r="E575" s="8"/>
    </row>
    <row r="576" spans="3:5" ht="12.75">
      <c r="C576" s="9"/>
      <c r="E576" s="8"/>
    </row>
    <row r="577" spans="3:5" ht="12.75">
      <c r="C577" s="9"/>
      <c r="E577" s="8"/>
    </row>
    <row r="578" spans="3:5" ht="12.75">
      <c r="C578" s="9"/>
      <c r="E578" s="8"/>
    </row>
    <row r="579" spans="3:5" ht="12.75">
      <c r="C579" s="9"/>
      <c r="E579" s="8"/>
    </row>
    <row r="580" spans="3:5" ht="12.75">
      <c r="C580" s="9"/>
      <c r="E580" s="8"/>
    </row>
    <row r="581" spans="3:5" ht="12.75">
      <c r="C581" s="9"/>
      <c r="E581" s="8"/>
    </row>
    <row r="582" spans="3:5" ht="12.75">
      <c r="C582" s="9"/>
      <c r="E582" s="8"/>
    </row>
    <row r="583" spans="3:5" ht="12.75">
      <c r="C583" s="9"/>
      <c r="E583" s="8"/>
    </row>
    <row r="584" spans="3:5" ht="12.75">
      <c r="C584" s="9"/>
      <c r="E584" s="8"/>
    </row>
    <row r="585" spans="3:5" ht="12.75">
      <c r="C585" s="9"/>
      <c r="E585" s="8"/>
    </row>
    <row r="586" spans="3:5" ht="12.75">
      <c r="C586" s="9"/>
      <c r="E586" s="8"/>
    </row>
    <row r="587" spans="3:5" ht="12.75">
      <c r="C587" s="9"/>
      <c r="E587" s="8"/>
    </row>
    <row r="588" spans="3:5" ht="12.75">
      <c r="C588" s="9"/>
      <c r="E588" s="8"/>
    </row>
    <row r="589" spans="3:5" ht="12.75">
      <c r="C589" s="9"/>
      <c r="E589" s="8"/>
    </row>
    <row r="590" spans="3:5" ht="12.75">
      <c r="C590" s="9"/>
      <c r="E590" s="8"/>
    </row>
    <row r="591" spans="3:5" ht="12.75">
      <c r="C591" s="9"/>
      <c r="E591" s="8"/>
    </row>
    <row r="592" spans="3:5" ht="12.75">
      <c r="C592" s="9"/>
      <c r="E592" s="8"/>
    </row>
    <row r="593" spans="3:5" ht="12.75">
      <c r="C593" s="9"/>
      <c r="E593" s="8"/>
    </row>
    <row r="594" spans="3:5" ht="12.75">
      <c r="C594" s="9"/>
      <c r="E594" s="8"/>
    </row>
    <row r="595" spans="3:5" ht="12.75">
      <c r="C595" s="9"/>
      <c r="E595" s="8"/>
    </row>
    <row r="596" spans="3:5" ht="12.75">
      <c r="C596" s="9"/>
      <c r="E596" s="8"/>
    </row>
    <row r="597" spans="3:5" ht="12.75">
      <c r="C597" s="9"/>
      <c r="E597" s="8"/>
    </row>
    <row r="598" spans="3:5" ht="12.75">
      <c r="C598" s="9"/>
      <c r="E598" s="8"/>
    </row>
    <row r="599" spans="3:5" ht="12.75">
      <c r="C599" s="9"/>
      <c r="E599" s="8"/>
    </row>
    <row r="600" spans="3:5" ht="12.75">
      <c r="C600" s="9"/>
      <c r="E600" s="8"/>
    </row>
    <row r="601" spans="3:5" ht="12.75">
      <c r="C601" s="9"/>
      <c r="E601" s="8"/>
    </row>
    <row r="602" spans="3:5" ht="12.75">
      <c r="C602" s="9"/>
      <c r="E602" s="8"/>
    </row>
    <row r="603" spans="3:5" ht="12.75">
      <c r="C603" s="9"/>
      <c r="E603" s="8"/>
    </row>
    <row r="604" spans="3:5" ht="12.75">
      <c r="C604" s="9"/>
      <c r="E604" s="8"/>
    </row>
    <row r="605" spans="3:5" ht="12.75">
      <c r="C605" s="9"/>
      <c r="E605" s="8"/>
    </row>
    <row r="606" spans="3:5" ht="12.75">
      <c r="C606" s="9"/>
      <c r="E606" s="8"/>
    </row>
    <row r="607" spans="3:5" ht="12.75">
      <c r="C607" s="9"/>
      <c r="E607" s="8"/>
    </row>
    <row r="608" spans="3:5" ht="12.75">
      <c r="C608" s="9"/>
      <c r="E608" s="8"/>
    </row>
    <row r="609" spans="3:5" ht="12.75">
      <c r="C609" s="9"/>
      <c r="E609" s="8"/>
    </row>
    <row r="610" spans="3:5" ht="12.75">
      <c r="C610" s="9"/>
      <c r="E610" s="8"/>
    </row>
    <row r="611" spans="3:5" ht="12.75">
      <c r="C611" s="9"/>
      <c r="E611" s="8"/>
    </row>
    <row r="612" spans="3:5" ht="12.75">
      <c r="C612" s="9"/>
      <c r="E612" s="8"/>
    </row>
    <row r="613" spans="3:5" ht="12.75">
      <c r="C613" s="9"/>
      <c r="E613" s="8"/>
    </row>
    <row r="614" spans="3:5" ht="12.75">
      <c r="C614" s="9"/>
      <c r="E614" s="8"/>
    </row>
    <row r="615" spans="3:5" ht="12.75">
      <c r="C615" s="9"/>
      <c r="E615" s="8"/>
    </row>
    <row r="616" spans="3:5" ht="12.75">
      <c r="C616" s="9"/>
      <c r="E616" s="8"/>
    </row>
    <row r="617" spans="3:5" ht="12.75">
      <c r="C617" s="9"/>
      <c r="E617" s="8"/>
    </row>
    <row r="618" spans="3:5" ht="12.75">
      <c r="C618" s="9"/>
      <c r="E618" s="8"/>
    </row>
    <row r="619" spans="3:5" ht="12.75">
      <c r="C619" s="9"/>
      <c r="E619" s="8"/>
    </row>
    <row r="620" spans="3:5" ht="12.75">
      <c r="C620" s="9"/>
      <c r="E620" s="8"/>
    </row>
    <row r="621" spans="3:5" ht="12.75">
      <c r="C621" s="9"/>
      <c r="E621" s="8"/>
    </row>
    <row r="622" spans="3:5" ht="12.75">
      <c r="C622" s="9"/>
      <c r="E622" s="8"/>
    </row>
    <row r="623" spans="3:5" ht="12.75">
      <c r="C623" s="9"/>
      <c r="E623" s="8"/>
    </row>
    <row r="624" spans="3:5" ht="12.75">
      <c r="C624" s="9"/>
      <c r="E624" s="8"/>
    </row>
    <row r="625" spans="3:5" ht="12.75">
      <c r="C625" s="9"/>
      <c r="E625" s="8"/>
    </row>
    <row r="626" spans="3:5" ht="12.75">
      <c r="C626" s="9"/>
      <c r="E626" s="8"/>
    </row>
    <row r="627" spans="3:5" ht="12.75">
      <c r="C627" s="9"/>
      <c r="E627" s="8"/>
    </row>
    <row r="628" spans="3:5" ht="12.75">
      <c r="C628" s="9"/>
      <c r="E628" s="8"/>
    </row>
    <row r="629" spans="3:5" ht="12.75">
      <c r="C629" s="9"/>
      <c r="E629" s="8"/>
    </row>
    <row r="630" spans="3:5" ht="12.75">
      <c r="C630" s="9"/>
      <c r="E630" s="8"/>
    </row>
    <row r="631" spans="3:5" ht="12.75">
      <c r="C631" s="9"/>
      <c r="E631" s="8"/>
    </row>
    <row r="632" spans="3:5" ht="12.75">
      <c r="C632" s="9"/>
      <c r="E632" s="8"/>
    </row>
    <row r="633" spans="3:5" ht="12.75">
      <c r="C633" s="9"/>
      <c r="E633" s="8"/>
    </row>
    <row r="634" spans="3:5" ht="12.75">
      <c r="C634" s="9"/>
      <c r="E634" s="8"/>
    </row>
    <row r="635" spans="3:5" ht="12.75">
      <c r="C635" s="9"/>
      <c r="E635" s="8"/>
    </row>
    <row r="636" spans="3:5" ht="12.75">
      <c r="C636" s="9"/>
      <c r="E636" s="8"/>
    </row>
    <row r="637" spans="3:5" ht="12.75">
      <c r="C637" s="9"/>
      <c r="E637" s="8"/>
    </row>
    <row r="638" spans="3:5" ht="12.75">
      <c r="C638" s="9"/>
      <c r="E638" s="8"/>
    </row>
    <row r="639" spans="3:5" ht="12.75">
      <c r="C639" s="9"/>
      <c r="E639" s="8"/>
    </row>
    <row r="640" spans="3:5" ht="12.75">
      <c r="C640" s="9"/>
      <c r="E640" s="8"/>
    </row>
    <row r="641" spans="3:5" ht="12.75">
      <c r="C641" s="9"/>
      <c r="E641" s="8"/>
    </row>
    <row r="642" spans="3:5" ht="12.75">
      <c r="C642" s="9"/>
      <c r="E642" s="8"/>
    </row>
    <row r="643" spans="3:5" ht="12.75">
      <c r="C643" s="9"/>
      <c r="E643" s="8"/>
    </row>
    <row r="644" spans="3:5" ht="12.75">
      <c r="C644" s="9"/>
      <c r="E644" s="8"/>
    </row>
    <row r="645" spans="3:5" ht="12.75">
      <c r="C645" s="9"/>
      <c r="E645" s="8"/>
    </row>
    <row r="646" spans="3:5" ht="12.75">
      <c r="C646" s="9"/>
      <c r="E646" s="8"/>
    </row>
    <row r="647" spans="3:5" ht="12.75">
      <c r="C647" s="9"/>
      <c r="E647" s="8"/>
    </row>
    <row r="648" spans="3:5" ht="12.75">
      <c r="C648" s="9"/>
      <c r="E648" s="8"/>
    </row>
    <row r="649" spans="3:5" ht="12.75">
      <c r="C649" s="9"/>
      <c r="E649" s="8"/>
    </row>
    <row r="650" spans="3:5" ht="12.75">
      <c r="C650" s="9"/>
      <c r="E650" s="8"/>
    </row>
    <row r="651" spans="3:5" ht="12.75">
      <c r="C651" s="9"/>
      <c r="E651" s="8"/>
    </row>
    <row r="652" spans="3:5" ht="12.75">
      <c r="C652" s="9"/>
      <c r="E652" s="8"/>
    </row>
    <row r="653" spans="3:5" ht="12.75">
      <c r="C653" s="9"/>
      <c r="E653" s="8"/>
    </row>
    <row r="654" spans="3:5" ht="12.75">
      <c r="C654" s="9"/>
      <c r="E654" s="8"/>
    </row>
    <row r="655" spans="3:5" ht="12.75">
      <c r="C655" s="9"/>
      <c r="E655" s="8"/>
    </row>
    <row r="656" spans="3:5" ht="12.75">
      <c r="C656" s="9"/>
      <c r="E656" s="8"/>
    </row>
    <row r="657" spans="3:5" ht="12.75">
      <c r="C657" s="9"/>
      <c r="E657" s="8"/>
    </row>
    <row r="658" spans="3:5" ht="12.75">
      <c r="C658" s="9"/>
      <c r="E658" s="8"/>
    </row>
    <row r="659" spans="3:5" ht="12.75">
      <c r="C659" s="9"/>
      <c r="E659" s="8"/>
    </row>
    <row r="660" spans="3:5" ht="12.75">
      <c r="C660" s="9"/>
      <c r="E660" s="8"/>
    </row>
    <row r="661" spans="3:5" ht="12.75">
      <c r="C661" s="9"/>
      <c r="E661" s="8"/>
    </row>
    <row r="662" spans="3:5" ht="12.75">
      <c r="C662" s="9"/>
      <c r="E662" s="8"/>
    </row>
    <row r="663" spans="3:5" ht="12.75">
      <c r="C663" s="9"/>
      <c r="E663" s="8"/>
    </row>
    <row r="664" spans="3:5" ht="12.75">
      <c r="C664" s="9"/>
      <c r="E664" s="8"/>
    </row>
    <row r="665" spans="3:5" ht="12.75">
      <c r="C665" s="9"/>
      <c r="E665" s="8"/>
    </row>
    <row r="666" spans="3:5" ht="12.75">
      <c r="C666" s="9"/>
      <c r="E666" s="8"/>
    </row>
    <row r="667" spans="3:5" ht="12.75">
      <c r="C667" s="9"/>
      <c r="E667" s="8"/>
    </row>
    <row r="668" spans="3:5" ht="12.75">
      <c r="C668" s="9"/>
      <c r="E668" s="8"/>
    </row>
    <row r="669" spans="3:5" ht="12.75">
      <c r="C669" s="9"/>
      <c r="E669" s="8"/>
    </row>
    <row r="670" spans="3:5" ht="12.75">
      <c r="C670" s="9"/>
      <c r="E670" s="8"/>
    </row>
    <row r="671" spans="3:5" ht="12.75">
      <c r="C671" s="9"/>
      <c r="E671" s="8"/>
    </row>
    <row r="672" spans="3:5" ht="12.75">
      <c r="C672" s="9"/>
      <c r="E672" s="8"/>
    </row>
    <row r="673" spans="3:5" ht="12.75">
      <c r="C673" s="9"/>
      <c r="E673" s="8"/>
    </row>
    <row r="674" spans="3:5" ht="12.75">
      <c r="C674" s="9"/>
      <c r="E674" s="8"/>
    </row>
    <row r="675" spans="3:5" ht="12.75">
      <c r="C675" s="9"/>
      <c r="E675" s="8"/>
    </row>
    <row r="676" spans="3:5" ht="12.75">
      <c r="C676" s="9"/>
      <c r="E676" s="8"/>
    </row>
    <row r="677" spans="3:5" ht="12.75">
      <c r="C677" s="9"/>
      <c r="E677" s="8"/>
    </row>
    <row r="678" spans="3:5" ht="12.75">
      <c r="C678" s="9"/>
      <c r="E678" s="8"/>
    </row>
    <row r="679" spans="3:5" ht="12.75">
      <c r="C679" s="9"/>
      <c r="E679" s="8"/>
    </row>
    <row r="680" spans="3:5" ht="12.75">
      <c r="C680" s="9"/>
      <c r="E680" s="8"/>
    </row>
    <row r="681" spans="3:5" ht="12.75">
      <c r="C681" s="9"/>
      <c r="E681" s="8"/>
    </row>
    <row r="682" spans="3:5" ht="12.75">
      <c r="C682" s="9"/>
      <c r="E682" s="8"/>
    </row>
    <row r="683" spans="3:5" ht="12.75">
      <c r="C683" s="9"/>
      <c r="E683" s="8"/>
    </row>
    <row r="684" spans="3:5" ht="12.75">
      <c r="C684" s="9"/>
      <c r="E684" s="8"/>
    </row>
    <row r="685" spans="3:5" ht="12.75">
      <c r="C685" s="9"/>
      <c r="E685" s="8"/>
    </row>
    <row r="686" spans="3:5" ht="12.75">
      <c r="C686" s="9"/>
      <c r="E686" s="8"/>
    </row>
    <row r="687" spans="3:5" ht="12.75">
      <c r="C687" s="9"/>
      <c r="E687" s="8"/>
    </row>
    <row r="688" spans="3:5" ht="12.75">
      <c r="C688" s="9"/>
      <c r="E688" s="8"/>
    </row>
    <row r="689" spans="3:5" ht="12.75">
      <c r="C689" s="9"/>
      <c r="E689" s="8"/>
    </row>
    <row r="690" spans="3:5" ht="12.75">
      <c r="C690" s="9"/>
      <c r="E690" s="8"/>
    </row>
    <row r="691" spans="3:5" ht="12.75">
      <c r="C691" s="9"/>
      <c r="E691" s="8"/>
    </row>
    <row r="692" spans="3:5" ht="12.75">
      <c r="C692" s="9"/>
      <c r="E692" s="8"/>
    </row>
    <row r="693" spans="3:5" ht="12.75">
      <c r="C693" s="9"/>
      <c r="E693" s="8"/>
    </row>
    <row r="694" spans="3:5" ht="12.75">
      <c r="C694" s="9"/>
      <c r="E694" s="8"/>
    </row>
    <row r="695" spans="3:5" ht="12.75">
      <c r="C695" s="9"/>
      <c r="E695" s="8"/>
    </row>
    <row r="696" spans="3:5" ht="12.75">
      <c r="C696" s="9"/>
      <c r="E696" s="8"/>
    </row>
    <row r="697" spans="3:5" ht="12.75">
      <c r="C697" s="9"/>
      <c r="E697" s="8"/>
    </row>
    <row r="698" spans="3:5" ht="12.75">
      <c r="C698" s="9"/>
      <c r="E698" s="8"/>
    </row>
    <row r="699" spans="3:5" ht="12.75">
      <c r="C699" s="9"/>
      <c r="E699" s="8"/>
    </row>
    <row r="700" spans="3:5" ht="12.75">
      <c r="C700" s="9"/>
      <c r="E700" s="8"/>
    </row>
    <row r="701" spans="3:5" ht="12.75">
      <c r="C701" s="9"/>
      <c r="E701" s="8"/>
    </row>
    <row r="702" spans="3:5" ht="12.75">
      <c r="C702" s="9"/>
      <c r="E702" s="8"/>
    </row>
    <row r="703" spans="3:5" ht="12.75">
      <c r="C703" s="9"/>
      <c r="E703" s="8"/>
    </row>
    <row r="704" spans="3:5" ht="12.75">
      <c r="C704" s="9"/>
      <c r="E704" s="8"/>
    </row>
    <row r="705" spans="3:5" ht="12.75">
      <c r="C705" s="9"/>
      <c r="E705" s="8"/>
    </row>
    <row r="706" spans="3:5" ht="12.75">
      <c r="C706" s="9"/>
      <c r="E706" s="8"/>
    </row>
    <row r="707" spans="3:5" ht="12.75">
      <c r="C707" s="9"/>
      <c r="E707" s="8"/>
    </row>
    <row r="708" spans="3:5" ht="12.75">
      <c r="C708" s="9"/>
      <c r="E708" s="8"/>
    </row>
    <row r="709" spans="3:5" ht="12.75">
      <c r="C709" s="9"/>
      <c r="E709" s="8"/>
    </row>
    <row r="710" spans="3:5" ht="12.75">
      <c r="C710" s="9"/>
      <c r="E710" s="8"/>
    </row>
    <row r="711" spans="3:5" ht="12.75">
      <c r="C711" s="9"/>
      <c r="E711" s="8"/>
    </row>
    <row r="712" spans="3:5" ht="12.75">
      <c r="C712" s="9"/>
      <c r="E712" s="8"/>
    </row>
    <row r="713" spans="3:5" ht="12.75">
      <c r="C713" s="9"/>
      <c r="E713" s="8"/>
    </row>
    <row r="714" spans="3:5" ht="12.75">
      <c r="C714" s="9"/>
      <c r="E714" s="8"/>
    </row>
    <row r="715" spans="3:5" ht="12.75">
      <c r="C715" s="9"/>
      <c r="E715" s="8"/>
    </row>
    <row r="716" spans="3:5" ht="12.75">
      <c r="C716" s="9"/>
      <c r="E716" s="8"/>
    </row>
    <row r="717" spans="3:5" ht="12.75">
      <c r="C717" s="9"/>
      <c r="E717" s="8"/>
    </row>
    <row r="718" spans="3:5" ht="12.75">
      <c r="C718" s="9"/>
      <c r="E718" s="8"/>
    </row>
    <row r="719" spans="3:5" ht="12.75">
      <c r="C719" s="9"/>
      <c r="E719" s="8"/>
    </row>
    <row r="720" spans="3:5" ht="12.75">
      <c r="C720" s="9"/>
      <c r="E720" s="8"/>
    </row>
    <row r="721" spans="3:5" ht="12.75">
      <c r="C721" s="9"/>
      <c r="E721" s="8"/>
    </row>
    <row r="722" spans="3:5" ht="12.75">
      <c r="C722" s="9"/>
      <c r="E722" s="8"/>
    </row>
    <row r="723" spans="3:5" ht="12.75">
      <c r="C723" s="9"/>
      <c r="E723" s="8"/>
    </row>
    <row r="724" spans="3:5" ht="12.75">
      <c r="C724" s="9"/>
      <c r="E724" s="8"/>
    </row>
    <row r="725" spans="3:5" ht="12.75">
      <c r="C725" s="9"/>
      <c r="E725" s="8"/>
    </row>
    <row r="726" spans="3:5" ht="12.75">
      <c r="C726" s="9"/>
      <c r="E726" s="8"/>
    </row>
    <row r="727" spans="3:5" ht="12.75">
      <c r="C727" s="9"/>
      <c r="E727" s="8"/>
    </row>
    <row r="728" spans="3:5" ht="12.75">
      <c r="C728" s="9"/>
      <c r="E728" s="8"/>
    </row>
    <row r="729" spans="3:5" ht="12.75">
      <c r="C729" s="9"/>
      <c r="E729" s="8"/>
    </row>
    <row r="730" spans="3:5" ht="12.75">
      <c r="C730" s="9"/>
      <c r="E730" s="8"/>
    </row>
    <row r="731" spans="3:5" ht="12.75">
      <c r="C731" s="9"/>
      <c r="E731" s="8"/>
    </row>
    <row r="732" spans="3:5" ht="12.75">
      <c r="C732" s="9"/>
      <c r="E732" s="8"/>
    </row>
    <row r="733" spans="3:5" ht="12.75">
      <c r="C733" s="9"/>
      <c r="E733" s="8"/>
    </row>
    <row r="734" spans="3:5" ht="12.75">
      <c r="C734" s="9"/>
      <c r="E734" s="8"/>
    </row>
    <row r="735" spans="3:5" ht="12.75">
      <c r="C735" s="9"/>
      <c r="E735" s="8"/>
    </row>
    <row r="736" spans="3:5" ht="12.75">
      <c r="C736" s="9"/>
      <c r="E736" s="8"/>
    </row>
    <row r="737" spans="3:5" ht="12.75">
      <c r="C737" s="9"/>
      <c r="E737" s="8"/>
    </row>
    <row r="738" spans="3:5" ht="12.75">
      <c r="C738" s="9"/>
      <c r="E738" s="8"/>
    </row>
    <row r="739" spans="3:5" ht="12.75">
      <c r="C739" s="9"/>
      <c r="E739" s="8"/>
    </row>
    <row r="740" spans="3:5" ht="12.75">
      <c r="C740" s="9"/>
      <c r="E740" s="8"/>
    </row>
    <row r="741" spans="3:5" ht="12.75">
      <c r="C741" s="9"/>
      <c r="E741" s="8"/>
    </row>
    <row r="742" spans="3:5" ht="12.75">
      <c r="C742" s="9"/>
      <c r="E742" s="8"/>
    </row>
    <row r="743" spans="3:5" ht="12.75">
      <c r="C743" s="9"/>
      <c r="E743" s="8"/>
    </row>
    <row r="744" spans="3:5" ht="12.75">
      <c r="C744" s="9"/>
      <c r="E744" s="8"/>
    </row>
    <row r="745" spans="3:5" ht="12.75">
      <c r="C745" s="9"/>
      <c r="E745" s="8"/>
    </row>
    <row r="746" spans="3:5" ht="12.75">
      <c r="C746" s="9"/>
      <c r="E746" s="8"/>
    </row>
    <row r="747" spans="3:5" ht="12.75">
      <c r="C747" s="9"/>
      <c r="E747" s="8"/>
    </row>
    <row r="748" spans="3:5" ht="12.75">
      <c r="C748" s="9"/>
      <c r="E748" s="8"/>
    </row>
    <row r="749" spans="3:5" ht="12.75">
      <c r="C749" s="9"/>
      <c r="E749" s="8"/>
    </row>
    <row r="750" spans="3:5" ht="12.75">
      <c r="C750" s="9"/>
      <c r="E750" s="8"/>
    </row>
    <row r="751" spans="3:5" ht="12.75">
      <c r="C751" s="9"/>
      <c r="E751" s="8"/>
    </row>
    <row r="752" spans="3:5" ht="12.75">
      <c r="C752" s="9"/>
      <c r="E752" s="8"/>
    </row>
    <row r="753" spans="3:5" ht="12.75">
      <c r="C753" s="9"/>
      <c r="E753" s="8"/>
    </row>
    <row r="754" spans="3:5" ht="12.75">
      <c r="C754" s="9"/>
      <c r="E754" s="8"/>
    </row>
    <row r="755" spans="3:5" ht="12.75">
      <c r="C755" s="9"/>
      <c r="E755" s="8"/>
    </row>
    <row r="756" spans="3:5" ht="12.75">
      <c r="C756" s="9"/>
      <c r="E756" s="8"/>
    </row>
    <row r="757" spans="3:5" ht="12.75">
      <c r="C757" s="9"/>
      <c r="E757" s="8"/>
    </row>
    <row r="758" spans="3:5" ht="12.75">
      <c r="C758" s="9"/>
      <c r="E758" s="8"/>
    </row>
    <row r="759" spans="3:5" ht="12.75">
      <c r="C759" s="9"/>
      <c r="E759" s="8"/>
    </row>
    <row r="760" spans="3:5" ht="12.75">
      <c r="C760" s="9"/>
      <c r="E760" s="8"/>
    </row>
    <row r="761" spans="3:5" ht="12.75">
      <c r="C761" s="9"/>
      <c r="E761" s="8"/>
    </row>
    <row r="762" spans="3:5" ht="12.75">
      <c r="C762" s="9"/>
      <c r="E762" s="8"/>
    </row>
    <row r="763" spans="3:5" ht="12.75">
      <c r="C763" s="9"/>
      <c r="E763" s="8"/>
    </row>
    <row r="764" spans="3:5" ht="12.75">
      <c r="C764" s="9"/>
      <c r="E764" s="8"/>
    </row>
    <row r="765" spans="3:5" ht="12.75">
      <c r="C765" s="9"/>
      <c r="E765" s="8"/>
    </row>
    <row r="766" spans="3:5" ht="12.75">
      <c r="C766" s="9"/>
      <c r="E766" s="8"/>
    </row>
    <row r="767" spans="3:5" ht="12.75">
      <c r="C767" s="9"/>
      <c r="E767" s="8"/>
    </row>
    <row r="768" spans="3:5" ht="12.75">
      <c r="C768" s="9"/>
      <c r="E768" s="8"/>
    </row>
    <row r="769" spans="3:5" ht="12.75">
      <c r="C769" s="9"/>
      <c r="E769" s="8"/>
    </row>
    <row r="770" spans="3:5" ht="12.75">
      <c r="C770" s="9"/>
      <c r="E770" s="8"/>
    </row>
    <row r="771" spans="3:5" ht="12.75">
      <c r="C771" s="9"/>
      <c r="E771" s="8"/>
    </row>
    <row r="772" spans="3:5" ht="12.75">
      <c r="C772" s="9"/>
      <c r="E772" s="8"/>
    </row>
    <row r="773" spans="3:5" ht="12.75">
      <c r="C773" s="9"/>
      <c r="E773" s="8"/>
    </row>
    <row r="774" spans="3:5" ht="12.75">
      <c r="C774" s="9"/>
      <c r="E774" s="8"/>
    </row>
    <row r="775" spans="3:5" ht="12.75">
      <c r="C775" s="9"/>
      <c r="E775" s="8"/>
    </row>
    <row r="776" spans="3:5" ht="12.75">
      <c r="C776" s="9"/>
      <c r="E776" s="8"/>
    </row>
    <row r="777" spans="3:5" ht="12.75">
      <c r="C777" s="9"/>
      <c r="E777" s="8"/>
    </row>
    <row r="778" spans="3:5" ht="12.75">
      <c r="C778" s="9"/>
      <c r="E778" s="8"/>
    </row>
    <row r="779" spans="3:5" ht="12.75">
      <c r="C779" s="9"/>
      <c r="E779" s="8"/>
    </row>
    <row r="780" spans="3:5" ht="12.75">
      <c r="C780" s="9"/>
      <c r="E780" s="8"/>
    </row>
    <row r="781" spans="3:5" ht="12.75">
      <c r="C781" s="9"/>
      <c r="E781" s="8"/>
    </row>
    <row r="782" spans="3:5" ht="12.75">
      <c r="C782" s="9"/>
      <c r="E782" s="8"/>
    </row>
    <row r="783" spans="3:5" ht="12.75">
      <c r="C783" s="9"/>
      <c r="E783" s="8"/>
    </row>
    <row r="784" spans="3:5" ht="12.75">
      <c r="C784" s="9"/>
      <c r="E784" s="8"/>
    </row>
    <row r="785" spans="3:5" ht="12.75">
      <c r="C785" s="9"/>
      <c r="E785" s="8"/>
    </row>
    <row r="786" spans="3:5" ht="12.75">
      <c r="C786" s="9"/>
      <c r="E786" s="8"/>
    </row>
    <row r="787" spans="3:5" ht="12.75">
      <c r="C787" s="9"/>
      <c r="E787" s="8"/>
    </row>
    <row r="788" spans="3:5" ht="12.75">
      <c r="C788" s="9"/>
      <c r="E788" s="8"/>
    </row>
    <row r="789" spans="3:5" ht="12.75">
      <c r="C789" s="9"/>
      <c r="E789" s="8"/>
    </row>
    <row r="790" spans="3:5" ht="12.75">
      <c r="C790" s="9"/>
      <c r="E790" s="8"/>
    </row>
    <row r="791" spans="3:5" ht="12.75">
      <c r="C791" s="9"/>
      <c r="E791" s="8"/>
    </row>
    <row r="792" spans="3:5" ht="12.75">
      <c r="C792" s="9"/>
      <c r="E792" s="8"/>
    </row>
    <row r="793" spans="3:5" ht="12.75">
      <c r="C793" s="9"/>
      <c r="E793" s="8"/>
    </row>
    <row r="794" spans="3:5" ht="12.75">
      <c r="C794" s="9"/>
      <c r="E794" s="8"/>
    </row>
    <row r="795" spans="3:5" ht="12.75">
      <c r="C795" s="9"/>
      <c r="E795" s="8"/>
    </row>
    <row r="796" spans="3:5" ht="12.75">
      <c r="C796" s="9"/>
      <c r="E796" s="8"/>
    </row>
    <row r="797" spans="3:5" ht="12.75">
      <c r="C797" s="9"/>
      <c r="E797" s="8"/>
    </row>
    <row r="798" spans="3:5" ht="12.75">
      <c r="C798" s="9"/>
      <c r="E798" s="8"/>
    </row>
    <row r="799" spans="3:5" ht="12.75">
      <c r="C799" s="9"/>
      <c r="E799" s="8"/>
    </row>
    <row r="800" spans="3:5" ht="12.75">
      <c r="C800" s="9"/>
      <c r="E800" s="8"/>
    </row>
    <row r="801" spans="3:5" ht="12.75">
      <c r="C801" s="9"/>
      <c r="E801" s="8"/>
    </row>
    <row r="802" spans="3:5" ht="12.75">
      <c r="C802" s="9"/>
      <c r="E802" s="8"/>
    </row>
    <row r="803" spans="3:5" ht="12.75">
      <c r="C803" s="9"/>
      <c r="E803" s="8"/>
    </row>
    <row r="804" spans="3:5" ht="12.75">
      <c r="C804" s="9"/>
      <c r="E804" s="8"/>
    </row>
    <row r="805" spans="3:5" ht="12.75">
      <c r="C805" s="9"/>
      <c r="E805" s="8"/>
    </row>
    <row r="806" spans="3:5" ht="12.75">
      <c r="C806" s="9"/>
      <c r="E806" s="8"/>
    </row>
    <row r="807" spans="3:5" ht="12.75">
      <c r="C807" s="9"/>
      <c r="E807" s="8"/>
    </row>
    <row r="808" spans="3:5" ht="12.75">
      <c r="C808" s="9"/>
      <c r="E808" s="8"/>
    </row>
    <row r="809" spans="3:5" ht="12.75">
      <c r="C809" s="9"/>
      <c r="E809" s="8"/>
    </row>
    <row r="810" spans="3:5" ht="12.75">
      <c r="C810" s="9"/>
      <c r="E810" s="8"/>
    </row>
    <row r="811" spans="3:5" ht="12.75">
      <c r="C811" s="9"/>
      <c r="E811" s="8"/>
    </row>
    <row r="812" spans="3:5" ht="12.75">
      <c r="C812" s="9"/>
      <c r="E812" s="8"/>
    </row>
    <row r="813" spans="3:5" ht="12.75">
      <c r="C813" s="9"/>
      <c r="E813" s="8"/>
    </row>
    <row r="814" spans="3:5" ht="12.75">
      <c r="C814" s="9"/>
      <c r="E814" s="8"/>
    </row>
    <row r="815" spans="3:5" ht="12.75">
      <c r="C815" s="9"/>
      <c r="E815" s="8"/>
    </row>
    <row r="816" spans="3:5" ht="12.75">
      <c r="C816" s="9"/>
      <c r="E816" s="8"/>
    </row>
    <row r="817" spans="3:5" ht="12.75">
      <c r="C817" s="9"/>
      <c r="E817" s="8"/>
    </row>
    <row r="818" spans="3:5" ht="12.75">
      <c r="C818" s="9"/>
      <c r="E818" s="8"/>
    </row>
    <row r="819" spans="3:5" ht="12.75">
      <c r="C819" s="9"/>
      <c r="E819" s="8"/>
    </row>
    <row r="820" spans="3:5" ht="12.75">
      <c r="C820" s="9"/>
      <c r="E820" s="8"/>
    </row>
    <row r="821" spans="3:5" ht="12.75">
      <c r="C821" s="9"/>
      <c r="E821" s="8"/>
    </row>
    <row r="822" spans="3:5" ht="12.75">
      <c r="C822" s="9"/>
      <c r="E822" s="8"/>
    </row>
    <row r="823" spans="3:5" ht="12.75">
      <c r="C823" s="9"/>
      <c r="E823" s="8"/>
    </row>
    <row r="824" spans="3:5" ht="12.75">
      <c r="C824" s="9"/>
      <c r="E824" s="8"/>
    </row>
    <row r="825" spans="3:5" ht="12.75">
      <c r="C825" s="9"/>
      <c r="E825" s="8"/>
    </row>
    <row r="826" spans="3:5" ht="12.75">
      <c r="C826" s="9"/>
      <c r="E826" s="8"/>
    </row>
    <row r="827" spans="3:5" ht="12.75">
      <c r="C827" s="9"/>
      <c r="E827" s="8"/>
    </row>
    <row r="828" spans="3:5" ht="12.75">
      <c r="C828" s="9"/>
      <c r="E828" s="8"/>
    </row>
    <row r="829" spans="3:5" ht="12.75">
      <c r="C829" s="9"/>
      <c r="E829" s="8"/>
    </row>
    <row r="830" spans="3:5" ht="12.75">
      <c r="C830" s="9"/>
      <c r="E830" s="8"/>
    </row>
    <row r="831" spans="3:5" ht="12.75">
      <c r="C831" s="9"/>
      <c r="E831" s="8"/>
    </row>
    <row r="832" spans="3:5" ht="12.75">
      <c r="C832" s="9"/>
      <c r="E832" s="8"/>
    </row>
    <row r="833" spans="3:5" ht="12.75">
      <c r="C833" s="9"/>
      <c r="E833" s="8"/>
    </row>
    <row r="834" spans="3:5" ht="12.75">
      <c r="C834" s="9"/>
      <c r="E834" s="8"/>
    </row>
    <row r="835" spans="3:5" ht="12.75">
      <c r="C835" s="9"/>
      <c r="E835" s="8"/>
    </row>
    <row r="836" spans="3:5" ht="12.75">
      <c r="C836" s="9"/>
      <c r="E836" s="8"/>
    </row>
    <row r="837" spans="3:5" ht="12.75">
      <c r="C837" s="9"/>
      <c r="E837" s="8"/>
    </row>
    <row r="838" spans="3:5" ht="12.75">
      <c r="C838" s="9"/>
      <c r="E838" s="8"/>
    </row>
    <row r="839" spans="3:5" ht="12.75">
      <c r="C839" s="9"/>
      <c r="E839" s="8"/>
    </row>
    <row r="840" spans="3:5" ht="12.75">
      <c r="C840" s="9"/>
      <c r="E840" s="8"/>
    </row>
    <row r="841" spans="3:5" ht="12.75">
      <c r="C841" s="9"/>
      <c r="E841" s="8"/>
    </row>
    <row r="842" spans="3:5" ht="12.75">
      <c r="C842" s="9"/>
      <c r="E842" s="8"/>
    </row>
    <row r="843" spans="3:5" ht="12.75">
      <c r="C843" s="9"/>
      <c r="E843" s="8"/>
    </row>
    <row r="844" spans="3:5" ht="12.75">
      <c r="C844" s="9"/>
      <c r="E844" s="8"/>
    </row>
    <row r="845" spans="3:5" ht="12.75">
      <c r="C845" s="9"/>
      <c r="E845" s="8"/>
    </row>
    <row r="846" spans="3:5" ht="12.75">
      <c r="C846" s="9"/>
      <c r="E846" s="8"/>
    </row>
    <row r="847" spans="3:5" ht="12.75">
      <c r="C847" s="9"/>
      <c r="E847" s="8"/>
    </row>
    <row r="848" spans="3:5" ht="12.75">
      <c r="C848" s="9"/>
      <c r="E848" s="8"/>
    </row>
    <row r="849" spans="3:5" ht="12.75">
      <c r="C849" s="9"/>
      <c r="E849" s="8"/>
    </row>
    <row r="850" spans="3:5" ht="12.75">
      <c r="C850" s="9"/>
      <c r="E850" s="8"/>
    </row>
    <row r="851" spans="3:5" ht="12.75">
      <c r="C851" s="9"/>
      <c r="E851" s="8"/>
    </row>
    <row r="852" spans="3:5" ht="12.75">
      <c r="C852" s="9"/>
      <c r="E852" s="8"/>
    </row>
    <row r="853" spans="3:5" ht="12.75">
      <c r="C853" s="9"/>
      <c r="E853" s="8"/>
    </row>
    <row r="854" spans="3:5" ht="12.75">
      <c r="C854" s="9"/>
      <c r="E854" s="8"/>
    </row>
    <row r="855" spans="3:5" ht="12.75">
      <c r="C855" s="9"/>
      <c r="E855" s="8"/>
    </row>
    <row r="856" spans="3:5" ht="12.75">
      <c r="C856" s="9"/>
      <c r="E856" s="8"/>
    </row>
    <row r="857" spans="3:5" ht="12.75">
      <c r="C857" s="9"/>
      <c r="E857" s="8"/>
    </row>
    <row r="858" spans="3:5" ht="12.75">
      <c r="C858" s="9"/>
      <c r="E858" s="8"/>
    </row>
    <row r="859" spans="3:5" ht="12.75">
      <c r="C859" s="9"/>
      <c r="E859" s="8"/>
    </row>
    <row r="860" spans="3:5" ht="12.75">
      <c r="C860" s="9"/>
      <c r="E860" s="8"/>
    </row>
    <row r="861" spans="3:5" ht="12.75">
      <c r="C861" s="9"/>
      <c r="E861" s="8"/>
    </row>
    <row r="862" spans="3:5" ht="12.75">
      <c r="C862" s="9"/>
      <c r="E862" s="8"/>
    </row>
    <row r="863" spans="3:5" ht="12.75">
      <c r="C863" s="9"/>
      <c r="E863" s="8"/>
    </row>
    <row r="864" spans="3:5" ht="12.75">
      <c r="C864" s="9"/>
      <c r="E864" s="8"/>
    </row>
    <row r="865" spans="3:5" ht="12.75">
      <c r="C865" s="9"/>
      <c r="E865" s="8"/>
    </row>
    <row r="866" spans="3:5" ht="12.75">
      <c r="C866" s="9"/>
      <c r="E866" s="8"/>
    </row>
    <row r="867" spans="3:5" ht="12.75">
      <c r="C867" s="9"/>
      <c r="E867" s="8"/>
    </row>
    <row r="868" spans="3:5" ht="12.75">
      <c r="C868" s="9"/>
      <c r="E868" s="8"/>
    </row>
    <row r="869" spans="3:5" ht="12.75">
      <c r="C869" s="9"/>
      <c r="E869" s="8"/>
    </row>
    <row r="870" spans="3:5" ht="12.75">
      <c r="C870" s="9"/>
      <c r="E870" s="8"/>
    </row>
    <row r="871" spans="3:5" ht="12.75">
      <c r="C871" s="9"/>
      <c r="E871" s="8"/>
    </row>
    <row r="872" spans="3:5" ht="12.75">
      <c r="C872" s="9"/>
      <c r="E872" s="8"/>
    </row>
    <row r="873" spans="3:5" ht="12.75">
      <c r="C873" s="9"/>
      <c r="E873" s="8"/>
    </row>
    <row r="874" spans="3:5" ht="12.75">
      <c r="C874" s="9"/>
      <c r="E874" s="8"/>
    </row>
    <row r="875" spans="3:5" ht="12.75">
      <c r="C875" s="9"/>
      <c r="E875" s="8"/>
    </row>
    <row r="876" spans="3:5" ht="12.75">
      <c r="C876" s="9"/>
      <c r="E876" s="8"/>
    </row>
    <row r="877" spans="3:5" ht="12.75">
      <c r="C877" s="9"/>
      <c r="E877" s="8"/>
    </row>
    <row r="878" spans="3:5" ht="12.75">
      <c r="C878" s="9"/>
      <c r="E878" s="8"/>
    </row>
    <row r="879" spans="3:5" ht="12.75">
      <c r="C879" s="9"/>
      <c r="E879" s="8"/>
    </row>
    <row r="880" spans="3:5" ht="12.75">
      <c r="C880" s="9"/>
      <c r="E880" s="8"/>
    </row>
    <row r="881" spans="3:5" ht="12.75">
      <c r="C881" s="9"/>
      <c r="E881" s="8"/>
    </row>
    <row r="882" spans="3:5" ht="12.75">
      <c r="C882" s="9"/>
      <c r="E882" s="8"/>
    </row>
    <row r="883" spans="3:5" ht="12.75">
      <c r="C883" s="9"/>
      <c r="E883" s="8"/>
    </row>
    <row r="884" spans="3:5" ht="12.75">
      <c r="C884" s="9"/>
      <c r="E884" s="8"/>
    </row>
    <row r="885" spans="3:5" ht="12.75">
      <c r="C885" s="9"/>
      <c r="E885" s="8"/>
    </row>
    <row r="886" spans="3:5" ht="12.75">
      <c r="C886" s="9"/>
      <c r="E886" s="8"/>
    </row>
    <row r="887" spans="3:5" ht="12.75">
      <c r="C887" s="9"/>
      <c r="E887" s="8"/>
    </row>
    <row r="888" spans="3:5" ht="12.75">
      <c r="C888" s="9"/>
      <c r="E888" s="8"/>
    </row>
    <row r="889" spans="3:5" ht="12.75">
      <c r="C889" s="9"/>
      <c r="E889" s="8"/>
    </row>
    <row r="890" spans="3:5" ht="12.75">
      <c r="C890" s="9"/>
      <c r="E890" s="8"/>
    </row>
    <row r="891" spans="3:5" ht="12.75">
      <c r="C891" s="9"/>
      <c r="E891" s="8"/>
    </row>
    <row r="892" spans="3:5" ht="12.75">
      <c r="C892" s="9"/>
      <c r="E892" s="8"/>
    </row>
    <row r="893" spans="3:5" ht="12.75">
      <c r="C893" s="9"/>
      <c r="E893" s="8"/>
    </row>
    <row r="894" spans="3:5" ht="12.75">
      <c r="C894" s="9"/>
      <c r="E894" s="8"/>
    </row>
    <row r="895" spans="3:5" ht="12.75">
      <c r="C895" s="9"/>
      <c r="E895" s="8"/>
    </row>
    <row r="896" spans="3:5" ht="12.75">
      <c r="C896" s="9"/>
      <c r="E896" s="8"/>
    </row>
    <row r="897" spans="3:5" ht="12.75">
      <c r="C897" s="9"/>
      <c r="E897" s="8"/>
    </row>
    <row r="898" spans="3:5" ht="12.75">
      <c r="C898" s="9"/>
      <c r="E898" s="8"/>
    </row>
    <row r="899" spans="3:5" ht="12.75">
      <c r="C899" s="9"/>
      <c r="E899" s="8"/>
    </row>
    <row r="900" spans="3:5" ht="12.75">
      <c r="C900" s="9"/>
      <c r="E900" s="8"/>
    </row>
    <row r="901" spans="3:5" ht="12.75">
      <c r="C901" s="9"/>
      <c r="E901" s="8"/>
    </row>
    <row r="902" spans="3:5" ht="12.75">
      <c r="C902" s="9"/>
      <c r="E902" s="8"/>
    </row>
    <row r="903" spans="3:5" ht="12.75">
      <c r="C903" s="9"/>
      <c r="E903" s="8"/>
    </row>
    <row r="904" spans="3:5" ht="12.75">
      <c r="C904" s="9"/>
      <c r="E904" s="8"/>
    </row>
    <row r="905" spans="3:5" ht="12.75">
      <c r="C905" s="9"/>
      <c r="E905" s="8"/>
    </row>
    <row r="906" spans="3:5" ht="12.75">
      <c r="C906" s="9"/>
      <c r="E906" s="8"/>
    </row>
    <row r="907" spans="3:5" ht="12.75">
      <c r="C907" s="9"/>
      <c r="E907" s="8"/>
    </row>
    <row r="908" spans="3:5" ht="12.75">
      <c r="C908" s="9"/>
      <c r="E908" s="8"/>
    </row>
    <row r="909" spans="3:5" ht="12.75">
      <c r="C909" s="9"/>
      <c r="E909" s="8"/>
    </row>
    <row r="910" spans="3:5" ht="12.75">
      <c r="C910" s="9"/>
      <c r="E910" s="8"/>
    </row>
    <row r="911" spans="3:5" ht="12.75">
      <c r="C911" s="9"/>
      <c r="E911" s="8"/>
    </row>
    <row r="912" spans="3:5" ht="12.75">
      <c r="C912" s="9"/>
      <c r="E912" s="8"/>
    </row>
    <row r="913" spans="3:5" ht="12.75">
      <c r="C913" s="9"/>
      <c r="E913" s="8"/>
    </row>
    <row r="914" spans="3:5" ht="12.75">
      <c r="C914" s="9"/>
      <c r="E914" s="8"/>
    </row>
    <row r="915" spans="3:5" ht="12.75">
      <c r="C915" s="9"/>
      <c r="E915" s="8"/>
    </row>
    <row r="916" spans="3:5" ht="12.75">
      <c r="C916" s="9"/>
      <c r="E916" s="8"/>
    </row>
    <row r="917" spans="3:5" ht="12.75">
      <c r="C917" s="9"/>
      <c r="E917" s="8"/>
    </row>
    <row r="918" spans="3:5" ht="12.75">
      <c r="C918" s="9"/>
      <c r="E918" s="8"/>
    </row>
    <row r="919" spans="3:5" ht="12.75">
      <c r="C919" s="9"/>
      <c r="E919" s="8"/>
    </row>
    <row r="920" spans="3:5" ht="12.75">
      <c r="C920" s="9"/>
      <c r="E920" s="8"/>
    </row>
    <row r="921" spans="3:5" ht="12.75">
      <c r="C921" s="9"/>
      <c r="E921" s="8"/>
    </row>
    <row r="922" spans="3:5" ht="12.75">
      <c r="C922" s="9"/>
      <c r="E922" s="8"/>
    </row>
    <row r="923" spans="3:5" ht="12.75">
      <c r="C923" s="9"/>
      <c r="E923" s="8"/>
    </row>
    <row r="924" spans="3:5" ht="12.75">
      <c r="C924" s="9"/>
      <c r="E924" s="8"/>
    </row>
    <row r="925" spans="3:5" ht="12.75">
      <c r="C925" s="9"/>
      <c r="E925" s="8"/>
    </row>
    <row r="926" spans="3:5" ht="12.75">
      <c r="C926" s="9"/>
      <c r="E926" s="8"/>
    </row>
    <row r="927" spans="3:5" ht="12.75">
      <c r="C927" s="9"/>
      <c r="E927" s="8"/>
    </row>
    <row r="928" spans="3:5" ht="12.75">
      <c r="C928" s="9"/>
      <c r="E928" s="8"/>
    </row>
    <row r="929" spans="3:5" ht="12.75">
      <c r="C929" s="9"/>
      <c r="E929" s="8"/>
    </row>
    <row r="930" spans="3:5" ht="12.75">
      <c r="C930" s="9"/>
      <c r="E930" s="8"/>
    </row>
    <row r="931" spans="3:5" ht="12.75">
      <c r="C931" s="9"/>
      <c r="E931" s="8"/>
    </row>
    <row r="932" spans="3:5" ht="12.75">
      <c r="C932" s="9"/>
      <c r="E932" s="8"/>
    </row>
    <row r="933" spans="3:5" ht="12.75">
      <c r="C933" s="9"/>
      <c r="E933" s="8"/>
    </row>
    <row r="934" spans="3:5" ht="12.75">
      <c r="C934" s="9"/>
      <c r="E934" s="8"/>
    </row>
    <row r="935" spans="3:5" ht="12.75">
      <c r="C935" s="9"/>
      <c r="E935" s="8"/>
    </row>
    <row r="936" spans="3:5" ht="12.75">
      <c r="C936" s="9"/>
      <c r="E936" s="8"/>
    </row>
    <row r="937" spans="3:5" ht="12.75">
      <c r="C937" s="9"/>
      <c r="E937" s="8"/>
    </row>
    <row r="938" spans="3:5" ht="12.75">
      <c r="C938" s="9"/>
      <c r="E938" s="8"/>
    </row>
    <row r="939" spans="3:5" ht="12.75">
      <c r="C939" s="9"/>
      <c r="E939" s="8"/>
    </row>
    <row r="940" spans="3:5" ht="12.75">
      <c r="C940" s="9"/>
      <c r="E940" s="8"/>
    </row>
    <row r="941" spans="3:5" ht="12.75">
      <c r="C941" s="9"/>
      <c r="E941" s="8"/>
    </row>
    <row r="942" spans="3:5" ht="12.75">
      <c r="C942" s="9"/>
      <c r="E942" s="8"/>
    </row>
    <row r="943" spans="3:5" ht="12.75">
      <c r="C943" s="9"/>
      <c r="E943" s="8"/>
    </row>
    <row r="944" spans="3:5" ht="12.75">
      <c r="C944" s="9"/>
      <c r="E944" s="8"/>
    </row>
    <row r="945" spans="3:5" ht="12.75">
      <c r="C945" s="9"/>
      <c r="E945" s="8"/>
    </row>
    <row r="946" spans="3:5" ht="12.75">
      <c r="C946" s="9"/>
      <c r="E946" s="8"/>
    </row>
    <row r="947" spans="3:5" ht="12.75">
      <c r="C947" s="9"/>
      <c r="E947" s="8"/>
    </row>
    <row r="948" spans="3:5" ht="12.75">
      <c r="C948" s="9"/>
      <c r="E948" s="8"/>
    </row>
    <row r="949" spans="3:5" ht="12.75">
      <c r="C949" s="9"/>
      <c r="E949" s="8"/>
    </row>
    <row r="950" spans="3:5" ht="12.75">
      <c r="C950" s="9"/>
      <c r="E950" s="8"/>
    </row>
    <row r="951" spans="3:5" ht="12.75">
      <c r="C951" s="9"/>
      <c r="E951" s="8"/>
    </row>
    <row r="952" spans="3:5" ht="12.75">
      <c r="C952" s="9"/>
      <c r="E952" s="8"/>
    </row>
    <row r="953" spans="3:5" ht="12.75">
      <c r="C953" s="9"/>
      <c r="E953" s="8"/>
    </row>
    <row r="954" spans="3:5" ht="12.75">
      <c r="C954" s="9"/>
      <c r="E954" s="8"/>
    </row>
    <row r="955" spans="3:5" ht="12.75">
      <c r="C955" s="9"/>
      <c r="E955" s="8"/>
    </row>
    <row r="956" spans="3:5" ht="12.75">
      <c r="C956" s="9"/>
      <c r="E956" s="8"/>
    </row>
    <row r="957" spans="3:5" ht="12.75">
      <c r="C957" s="9"/>
      <c r="E957" s="8"/>
    </row>
    <row r="958" spans="3:5" ht="12.75">
      <c r="C958" s="9"/>
      <c r="E958" s="8"/>
    </row>
    <row r="959" spans="3:5" ht="12.75">
      <c r="C959" s="9"/>
      <c r="E959" s="8"/>
    </row>
    <row r="960" spans="3:5" ht="12.75">
      <c r="C960" s="9"/>
      <c r="E960" s="8"/>
    </row>
    <row r="961" spans="3:5" ht="12.75">
      <c r="C961" s="9"/>
      <c r="E961" s="8"/>
    </row>
    <row r="962" spans="3:5" ht="12.75">
      <c r="C962" s="9"/>
      <c r="E962" s="8"/>
    </row>
    <row r="963" spans="3:5" ht="12.75">
      <c r="C963" s="9"/>
      <c r="E963" s="8"/>
    </row>
    <row r="964" spans="3:5" ht="12.75">
      <c r="C964" s="9"/>
      <c r="E964" s="8"/>
    </row>
    <row r="965" spans="3:5" ht="12.75">
      <c r="C965" s="9"/>
      <c r="E965" s="8"/>
    </row>
    <row r="966" spans="3:5" ht="12.75">
      <c r="C966" s="9"/>
      <c r="E966" s="8"/>
    </row>
    <row r="967" spans="3:5" ht="12.75">
      <c r="C967" s="9"/>
      <c r="E967" s="8"/>
    </row>
    <row r="968" spans="3:5" ht="12.75">
      <c r="C968" s="9"/>
      <c r="E968" s="8"/>
    </row>
    <row r="969" spans="3:5" ht="12.75">
      <c r="C969" s="9"/>
      <c r="E969" s="8"/>
    </row>
    <row r="970" spans="3:5" ht="12.75">
      <c r="C970" s="9"/>
      <c r="E970" s="8"/>
    </row>
    <row r="971" spans="3:5" ht="12.75">
      <c r="C971" s="9"/>
      <c r="E971" s="8"/>
    </row>
    <row r="972" spans="3:5" ht="12.75">
      <c r="C972" s="9"/>
      <c r="E972" s="8"/>
    </row>
    <row r="973" spans="3:5" ht="12.75">
      <c r="C973" s="9"/>
      <c r="E973" s="8"/>
    </row>
    <row r="974" spans="3:5" ht="12.75">
      <c r="C974" s="9"/>
      <c r="E974" s="8"/>
    </row>
    <row r="975" spans="3:5" ht="12.75">
      <c r="C975" s="9"/>
      <c r="E975" s="8"/>
    </row>
    <row r="976" spans="3:5" ht="12.75">
      <c r="C976" s="9"/>
      <c r="E976" s="8"/>
    </row>
    <row r="977" spans="3:5" ht="12.75">
      <c r="C977" s="9"/>
      <c r="E977" s="8"/>
    </row>
    <row r="978" spans="3:5" ht="12.75">
      <c r="C978" s="9"/>
      <c r="E978" s="8"/>
    </row>
    <row r="979" spans="3:5" ht="12.75">
      <c r="C979" s="9"/>
      <c r="E979" s="8"/>
    </row>
    <row r="980" spans="3:5" ht="12.75">
      <c r="C980" s="9"/>
      <c r="E980" s="8"/>
    </row>
    <row r="981" spans="3:5" ht="12.75">
      <c r="C981" s="9"/>
      <c r="E981" s="8"/>
    </row>
    <row r="982" spans="3:5" ht="12.75">
      <c r="C982" s="9"/>
      <c r="E982" s="8"/>
    </row>
    <row r="983" spans="3:5" ht="12.75">
      <c r="C983" s="9"/>
      <c r="E983" s="8"/>
    </row>
    <row r="984" spans="3:5" ht="12.75">
      <c r="C984" s="9"/>
      <c r="E984" s="8"/>
    </row>
    <row r="985" spans="3:5" ht="12.75">
      <c r="C985" s="9"/>
      <c r="E985" s="8"/>
    </row>
    <row r="986" spans="3:5" ht="12.75">
      <c r="C986" s="9"/>
      <c r="E986" s="8"/>
    </row>
    <row r="987" spans="3:5" ht="12.75">
      <c r="C987" s="9"/>
      <c r="E987" s="8"/>
    </row>
    <row r="988" spans="3:5" ht="12.75">
      <c r="C988" s="9"/>
      <c r="E988" s="8"/>
    </row>
    <row r="989" spans="3:5" ht="12.75">
      <c r="C989" s="9"/>
      <c r="E989" s="8"/>
    </row>
    <row r="990" spans="3:5" ht="12.75">
      <c r="C990" s="9"/>
      <c r="E990" s="8"/>
    </row>
    <row r="991" spans="3:5" ht="12.75">
      <c r="C991" s="9"/>
      <c r="E991" s="8"/>
    </row>
    <row r="992" spans="3:5" ht="12.75">
      <c r="C992" s="9"/>
      <c r="E992" s="8"/>
    </row>
    <row r="993" spans="3:5" ht="12.75">
      <c r="C993" s="9"/>
      <c r="E993" s="8"/>
    </row>
    <row r="994" spans="3:5" ht="12.75">
      <c r="C994" s="9"/>
      <c r="E994" s="8"/>
    </row>
    <row r="995" spans="3:5" ht="12.75">
      <c r="C995" s="9"/>
      <c r="E995" s="8"/>
    </row>
    <row r="996" spans="3:5" ht="12.75">
      <c r="C996" s="9"/>
      <c r="E996" s="8"/>
    </row>
    <row r="997" spans="3:5" ht="12.75">
      <c r="C997" s="9"/>
      <c r="E997" s="8"/>
    </row>
    <row r="998" spans="3:5" ht="12.75">
      <c r="C998" s="9"/>
      <c r="E998" s="8"/>
    </row>
    <row r="999" spans="3:5" ht="12.75">
      <c r="C999" s="9"/>
      <c r="E999" s="8"/>
    </row>
  </sheetData>
  <hyperlinks>
    <hyperlink ref="C48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  <outlinePr summaryBelow="0" summaryRight="0"/>
  </sheetPr>
  <dimension ref="A1:BR998"/>
  <sheetViews>
    <sheetView tabSelected="1" workbookViewId="0">
      <pane xSplit="1" ySplit="3" topLeftCell="AO4" activePane="bottomRight" state="frozen"/>
      <selection pane="topRight" activeCell="B1" sqref="B1"/>
      <selection pane="bottomLeft" activeCell="A4" sqref="A4"/>
      <selection pane="bottomRight" activeCell="AX5" sqref="AX5"/>
    </sheetView>
  </sheetViews>
  <sheetFormatPr defaultColWidth="12.5703125" defaultRowHeight="15.75" customHeight="1"/>
  <cols>
    <col min="1" max="1" width="18.5703125" customWidth="1"/>
    <col min="2" max="2" width="11.5703125" bestFit="1" customWidth="1"/>
    <col min="3" max="3" width="10.140625" customWidth="1"/>
    <col min="4" max="4" width="10.42578125" customWidth="1"/>
    <col min="5" max="5" width="14.85546875" customWidth="1"/>
    <col min="6" max="6" width="2" customWidth="1"/>
    <col min="10" max="10" width="14.42578125" customWidth="1"/>
    <col min="11" max="11" width="1.85546875" customWidth="1"/>
    <col min="15" max="15" width="13.28515625" customWidth="1"/>
    <col min="16" max="16" width="1.85546875" customWidth="1"/>
    <col min="17" max="19" width="9.85546875" customWidth="1"/>
    <col min="20" max="20" width="14.140625" customWidth="1"/>
    <col min="21" max="21" width="1.85546875" customWidth="1"/>
    <col min="22" max="24" width="19.140625" customWidth="1"/>
    <col min="25" max="25" width="17.42578125" customWidth="1"/>
    <col min="26" max="26" width="1.85546875" customWidth="1"/>
    <col min="27" max="29" width="11.7109375" customWidth="1"/>
    <col min="30" max="30" width="11.42578125" customWidth="1"/>
    <col min="31" max="31" width="1.85546875" customWidth="1"/>
    <col min="32" max="34" width="19.85546875" customWidth="1"/>
    <col min="35" max="35" width="18.42578125" customWidth="1"/>
    <col min="36" max="36" width="1.85546875" customWidth="1"/>
    <col min="37" max="37" width="27" customWidth="1"/>
    <col min="38" max="39" width="34.85546875" customWidth="1"/>
    <col min="40" max="40" width="1.85546875" customWidth="1"/>
    <col min="41" max="42" width="39.85546875" customWidth="1"/>
    <col min="43" max="43" width="23.28515625" customWidth="1"/>
    <col min="44" max="44" width="1.85546875" customWidth="1"/>
    <col min="45" max="45" width="21" customWidth="1"/>
    <col min="46" max="46" width="36.42578125" customWidth="1"/>
    <col min="47" max="47" width="1.85546875" customWidth="1"/>
    <col min="48" max="49" width="27.5703125" customWidth="1"/>
    <col min="50" max="50" width="25.28515625" customWidth="1"/>
    <col min="51" max="51" width="1.85546875" customWidth="1"/>
    <col min="52" max="54" width="21.85546875" customWidth="1"/>
    <col min="55" max="55" width="2.85546875" customWidth="1"/>
    <col min="56" max="57" width="21.85546875" customWidth="1"/>
    <col min="58" max="58" width="21.5703125" customWidth="1"/>
    <col min="59" max="59" width="2.85546875" customWidth="1"/>
    <col min="60" max="61" width="21.85546875" customWidth="1"/>
    <col min="62" max="62" width="15.42578125" customWidth="1"/>
    <col min="63" max="63" width="2.85546875" customWidth="1"/>
    <col min="64" max="65" width="21.85546875" customWidth="1"/>
    <col min="66" max="66" width="2.85546875" customWidth="1"/>
    <col min="67" max="69" width="21.85546875" customWidth="1"/>
    <col min="70" max="70" width="15.42578125" bestFit="1" customWidth="1"/>
  </cols>
  <sheetData>
    <row r="1" spans="1:70" ht="81.75" customHeight="1">
      <c r="A1" s="43" t="s">
        <v>66</v>
      </c>
      <c r="B1" s="140" t="s">
        <v>58</v>
      </c>
      <c r="C1" s="130"/>
      <c r="D1" s="130"/>
      <c r="E1" s="130"/>
      <c r="F1" s="44"/>
      <c r="G1" s="141" t="s">
        <v>67</v>
      </c>
      <c r="H1" s="130"/>
      <c r="I1" s="130"/>
      <c r="J1" s="130"/>
      <c r="K1" s="45"/>
      <c r="L1" s="142" t="s">
        <v>60</v>
      </c>
      <c r="M1" s="130"/>
      <c r="N1" s="130"/>
      <c r="O1" s="130"/>
      <c r="P1" s="45"/>
      <c r="Q1" s="143" t="s">
        <v>15</v>
      </c>
      <c r="R1" s="130"/>
      <c r="S1" s="130"/>
      <c r="T1" s="130"/>
      <c r="U1" s="45"/>
      <c r="V1" s="144" t="s">
        <v>68</v>
      </c>
      <c r="W1" s="130"/>
      <c r="X1" s="130"/>
      <c r="Y1" s="130"/>
      <c r="Z1" s="45"/>
      <c r="AA1" s="129" t="s">
        <v>17</v>
      </c>
      <c r="AB1" s="130"/>
      <c r="AC1" s="130"/>
      <c r="AD1" s="130"/>
      <c r="AE1" s="46"/>
      <c r="AF1" s="131" t="s">
        <v>20</v>
      </c>
      <c r="AG1" s="130"/>
      <c r="AH1" s="130"/>
      <c r="AI1" s="130"/>
      <c r="AJ1" s="46"/>
      <c r="AK1" s="134" t="s">
        <v>48</v>
      </c>
      <c r="AL1" s="134"/>
      <c r="AM1" s="134"/>
      <c r="AN1" s="46"/>
      <c r="AO1" s="131" t="s">
        <v>69</v>
      </c>
      <c r="AP1" s="130"/>
      <c r="AQ1" s="135"/>
      <c r="AR1" s="46"/>
      <c r="AS1" s="136" t="s">
        <v>25</v>
      </c>
      <c r="AT1" s="135"/>
      <c r="AU1" s="46"/>
      <c r="AV1" s="137" t="s">
        <v>70</v>
      </c>
      <c r="AW1" s="130"/>
      <c r="AX1" s="130"/>
      <c r="AY1" s="46"/>
      <c r="AZ1" s="138" t="s">
        <v>27</v>
      </c>
      <c r="BA1" s="130"/>
      <c r="BB1" s="130"/>
      <c r="BC1" s="46"/>
      <c r="BD1" s="129" t="s">
        <v>28</v>
      </c>
      <c r="BE1" s="130"/>
      <c r="BF1" s="135"/>
      <c r="BG1" s="46"/>
      <c r="BH1" s="139" t="s">
        <v>29</v>
      </c>
      <c r="BI1" s="130"/>
      <c r="BJ1" s="130"/>
      <c r="BK1" s="46"/>
      <c r="BL1" s="132" t="s">
        <v>30</v>
      </c>
      <c r="BM1" s="130"/>
      <c r="BN1" s="46"/>
      <c r="BO1" s="133" t="s">
        <v>71</v>
      </c>
      <c r="BP1" s="130"/>
      <c r="BQ1" s="130"/>
      <c r="BR1" s="130"/>
    </row>
    <row r="2" spans="1:70" ht="51">
      <c r="A2" s="47" t="s">
        <v>61</v>
      </c>
      <c r="B2" s="48" t="s">
        <v>61</v>
      </c>
      <c r="C2" s="48" t="s">
        <v>73</v>
      </c>
      <c r="D2" s="48" t="s">
        <v>74</v>
      </c>
      <c r="E2" s="48" t="s">
        <v>75</v>
      </c>
      <c r="F2" s="49"/>
      <c r="G2" s="48" t="s">
        <v>76</v>
      </c>
      <c r="H2" s="48" t="s">
        <v>77</v>
      </c>
      <c r="I2" s="48" t="s">
        <v>78</v>
      </c>
      <c r="J2" s="48" t="s">
        <v>79</v>
      </c>
      <c r="K2" s="50"/>
      <c r="L2" s="51" t="s">
        <v>80</v>
      </c>
      <c r="M2" s="51" t="s">
        <v>62</v>
      </c>
      <c r="N2" s="51" t="s">
        <v>63</v>
      </c>
      <c r="O2" s="51" t="s">
        <v>64</v>
      </c>
      <c r="P2" s="50"/>
      <c r="Q2" s="53" t="s">
        <v>61</v>
      </c>
      <c r="R2" s="53" t="s">
        <v>62</v>
      </c>
      <c r="S2" s="53" t="s">
        <v>63</v>
      </c>
      <c r="T2" s="53" t="s">
        <v>64</v>
      </c>
      <c r="U2" s="50"/>
      <c r="V2" s="53" t="s">
        <v>61</v>
      </c>
      <c r="W2" s="53" t="s">
        <v>62</v>
      </c>
      <c r="X2" s="53" t="s">
        <v>63</v>
      </c>
      <c r="Y2" s="53" t="s">
        <v>64</v>
      </c>
      <c r="Z2" s="50"/>
      <c r="AA2" s="54" t="s">
        <v>61</v>
      </c>
      <c r="AB2" s="54" t="s">
        <v>62</v>
      </c>
      <c r="AC2" s="54" t="s">
        <v>63</v>
      </c>
      <c r="AD2" s="54" t="s">
        <v>64</v>
      </c>
      <c r="AE2" s="50"/>
      <c r="AF2" s="55" t="s">
        <v>61</v>
      </c>
      <c r="AG2" s="55" t="s">
        <v>62</v>
      </c>
      <c r="AH2" s="55" t="s">
        <v>63</v>
      </c>
      <c r="AI2" s="55" t="s">
        <v>64</v>
      </c>
      <c r="AJ2" s="50"/>
      <c r="AK2" s="56" t="s">
        <v>81</v>
      </c>
      <c r="AL2" s="56" t="s">
        <v>82</v>
      </c>
      <c r="AM2" s="56" t="s">
        <v>137</v>
      </c>
      <c r="AN2" s="50"/>
      <c r="AO2" s="52" t="s">
        <v>83</v>
      </c>
      <c r="AP2" s="57" t="s">
        <v>84</v>
      </c>
      <c r="AQ2" s="52" t="s">
        <v>65</v>
      </c>
      <c r="AR2" s="50"/>
      <c r="AS2" s="52" t="s">
        <v>83</v>
      </c>
      <c r="AT2" s="52" t="s">
        <v>85</v>
      </c>
      <c r="AU2" s="50"/>
      <c r="AV2" s="58" t="s">
        <v>61</v>
      </c>
      <c r="AW2" s="57" t="s">
        <v>86</v>
      </c>
      <c r="AX2" s="57" t="s">
        <v>65</v>
      </c>
      <c r="AY2" s="50"/>
      <c r="AZ2" s="52" t="s">
        <v>83</v>
      </c>
      <c r="BA2" s="56" t="s">
        <v>87</v>
      </c>
      <c r="BB2" s="56" t="s">
        <v>88</v>
      </c>
      <c r="BC2" s="50"/>
      <c r="BD2" s="56" t="s">
        <v>61</v>
      </c>
      <c r="BE2" s="56" t="s">
        <v>89</v>
      </c>
      <c r="BF2" s="56" t="s">
        <v>90</v>
      </c>
      <c r="BG2" s="50"/>
      <c r="BH2" s="59" t="s">
        <v>91</v>
      </c>
      <c r="BI2" s="59" t="s">
        <v>92</v>
      </c>
      <c r="BJ2" s="59" t="s">
        <v>93</v>
      </c>
      <c r="BK2" s="50"/>
      <c r="BL2" s="59" t="s">
        <v>91</v>
      </c>
      <c r="BM2" s="59" t="s">
        <v>72</v>
      </c>
      <c r="BN2" s="50"/>
      <c r="BO2" s="60" t="s">
        <v>61</v>
      </c>
      <c r="BP2" s="61" t="s">
        <v>62</v>
      </c>
      <c r="BQ2" s="61" t="s">
        <v>63</v>
      </c>
      <c r="BR2" s="60" t="s">
        <v>64</v>
      </c>
    </row>
    <row r="3" spans="1:70" ht="25.5">
      <c r="A3" s="47"/>
      <c r="B3" s="48"/>
      <c r="C3" s="48" t="s">
        <v>110</v>
      </c>
      <c r="D3" s="48" t="s">
        <v>111</v>
      </c>
      <c r="E3" s="48" t="s">
        <v>94</v>
      </c>
      <c r="F3" s="49"/>
      <c r="G3" s="48"/>
      <c r="H3" s="48" t="s">
        <v>112</v>
      </c>
      <c r="I3" s="48" t="s">
        <v>113</v>
      </c>
      <c r="J3" s="48" t="s">
        <v>95</v>
      </c>
      <c r="K3" s="50"/>
      <c r="L3" s="51"/>
      <c r="M3" s="51" t="s">
        <v>114</v>
      </c>
      <c r="N3" s="51" t="s">
        <v>115</v>
      </c>
      <c r="O3" s="51" t="s">
        <v>96</v>
      </c>
      <c r="P3" s="50"/>
      <c r="Q3" s="53"/>
      <c r="R3" s="53" t="s">
        <v>116</v>
      </c>
      <c r="S3" s="53" t="s">
        <v>117</v>
      </c>
      <c r="T3" s="48" t="s">
        <v>97</v>
      </c>
      <c r="U3" s="50"/>
      <c r="V3" s="53"/>
      <c r="W3" s="53" t="s">
        <v>118</v>
      </c>
      <c r="X3" s="53" t="s">
        <v>119</v>
      </c>
      <c r="Y3" s="48" t="s">
        <v>98</v>
      </c>
      <c r="Z3" s="50"/>
      <c r="AA3" s="54"/>
      <c r="AB3" s="54" t="s">
        <v>120</v>
      </c>
      <c r="AC3" s="54" t="s">
        <v>121</v>
      </c>
      <c r="AD3" s="54" t="s">
        <v>99</v>
      </c>
      <c r="AE3" s="50"/>
      <c r="AF3" s="55"/>
      <c r="AG3" s="55" t="s">
        <v>122</v>
      </c>
      <c r="AH3" s="55" t="s">
        <v>123</v>
      </c>
      <c r="AI3" s="55" t="s">
        <v>100</v>
      </c>
      <c r="AJ3" s="50"/>
      <c r="AK3" s="56"/>
      <c r="AL3" s="56" t="s">
        <v>101</v>
      </c>
      <c r="AM3" s="56" t="s">
        <v>136</v>
      </c>
      <c r="AN3" s="50"/>
      <c r="AO3" s="52"/>
      <c r="AP3" s="57" t="s">
        <v>125</v>
      </c>
      <c r="AQ3" s="52" t="s">
        <v>102</v>
      </c>
      <c r="AR3" s="50"/>
      <c r="AS3" s="52"/>
      <c r="AT3" s="52" t="s">
        <v>103</v>
      </c>
      <c r="AU3" s="50"/>
      <c r="AV3" s="58"/>
      <c r="AW3" s="57" t="s">
        <v>124</v>
      </c>
      <c r="AX3" s="57" t="s">
        <v>104</v>
      </c>
      <c r="AY3" s="50"/>
      <c r="AZ3" s="52"/>
      <c r="BA3" s="56" t="s">
        <v>126</v>
      </c>
      <c r="BB3" s="56" t="s">
        <v>127</v>
      </c>
      <c r="BC3" s="50"/>
      <c r="BD3" s="56"/>
      <c r="BE3" s="56" t="s">
        <v>128</v>
      </c>
      <c r="BF3" s="56" t="s">
        <v>129</v>
      </c>
      <c r="BG3" s="50"/>
      <c r="BH3" s="59"/>
      <c r="BI3" s="59" t="s">
        <v>130</v>
      </c>
      <c r="BJ3" s="59" t="s">
        <v>131</v>
      </c>
      <c r="BK3" s="50"/>
      <c r="BL3" s="59"/>
      <c r="BM3" s="59" t="s">
        <v>132</v>
      </c>
      <c r="BN3" s="50"/>
      <c r="BO3" s="60"/>
      <c r="BP3" s="61" t="s">
        <v>135</v>
      </c>
      <c r="BQ3" s="61" t="s">
        <v>134</v>
      </c>
      <c r="BR3" s="60" t="s">
        <v>133</v>
      </c>
    </row>
    <row r="4" spans="1:70">
      <c r="A4" s="62">
        <v>32874</v>
      </c>
      <c r="B4" s="63">
        <v>32874</v>
      </c>
      <c r="C4" s="39">
        <v>22.68</v>
      </c>
      <c r="D4" s="64">
        <v>21.81</v>
      </c>
      <c r="E4" s="40">
        <f t="shared" ref="E4:E67" si="0">C4/D4-1</f>
        <v>3.9889958734525388E-2</v>
      </c>
      <c r="F4" s="65"/>
      <c r="G4" s="66"/>
      <c r="H4" s="39"/>
      <c r="I4" s="39"/>
      <c r="J4" s="40"/>
      <c r="K4" s="67"/>
      <c r="L4" s="68">
        <v>32874</v>
      </c>
      <c r="M4" s="69">
        <v>329.1</v>
      </c>
      <c r="N4" s="69">
        <v>353.4</v>
      </c>
      <c r="O4" s="70">
        <f t="shared" ref="O4:O67" si="1">M4/N4-1</f>
        <v>-6.8760611205432864E-2</v>
      </c>
      <c r="P4" s="67"/>
      <c r="U4" s="67"/>
      <c r="V4" s="38">
        <v>32874</v>
      </c>
      <c r="W4" s="39">
        <v>0.5756</v>
      </c>
      <c r="X4" s="39">
        <v>0.63370000000000004</v>
      </c>
      <c r="Y4" s="40">
        <f t="shared" ref="Y4:Y67" si="2">W4/X4-1</f>
        <v>-9.1683762032507499E-2</v>
      </c>
      <c r="Z4" s="67"/>
      <c r="AA4" s="71">
        <v>32874</v>
      </c>
      <c r="AB4" s="72">
        <v>417.8</v>
      </c>
      <c r="AC4" s="72">
        <v>401</v>
      </c>
      <c r="AD4" s="73">
        <f t="shared" ref="AD4:AD67" si="3">AB4/AC4-1</f>
        <v>4.18952618453865E-2</v>
      </c>
      <c r="AE4" s="67"/>
      <c r="AF4" s="71">
        <v>32874</v>
      </c>
      <c r="AG4" s="72">
        <v>92.41</v>
      </c>
      <c r="AH4" s="72">
        <v>93.19</v>
      </c>
      <c r="AI4" s="73">
        <f t="shared" ref="AI4:AI67" si="4">AG4/AH4-1</f>
        <v>-8.369996780770439E-3</v>
      </c>
      <c r="AJ4" s="67"/>
      <c r="AK4" s="74">
        <v>32904</v>
      </c>
      <c r="AL4" s="41">
        <v>8.43E-2</v>
      </c>
      <c r="AM4" s="41"/>
      <c r="AN4" s="67"/>
      <c r="AO4" s="75">
        <v>32874</v>
      </c>
      <c r="AP4" s="76">
        <v>580134.5</v>
      </c>
      <c r="AQ4" s="77"/>
      <c r="AR4" s="67"/>
      <c r="AT4" s="78"/>
      <c r="AU4" s="67"/>
      <c r="AV4" s="79">
        <v>32874</v>
      </c>
      <c r="AW4" s="76">
        <v>325584.25</v>
      </c>
      <c r="AX4" s="80"/>
      <c r="AY4" s="67"/>
      <c r="AZ4" s="81">
        <v>32874</v>
      </c>
      <c r="BA4" s="82">
        <v>81.544044494628906</v>
      </c>
      <c r="BB4" s="82">
        <v>76.011421203613281</v>
      </c>
      <c r="BC4" s="67"/>
      <c r="BD4" s="83">
        <v>32888</v>
      </c>
      <c r="BE4" s="42">
        <v>7546</v>
      </c>
      <c r="BF4" s="41"/>
      <c r="BG4" s="67"/>
      <c r="BH4" s="84">
        <v>32874</v>
      </c>
      <c r="BI4" s="85">
        <v>61.728999999999999</v>
      </c>
      <c r="BJ4" s="78"/>
      <c r="BK4" s="67"/>
      <c r="BL4" s="84">
        <v>32874</v>
      </c>
      <c r="BM4" s="86">
        <v>16.529340999999999</v>
      </c>
      <c r="BN4" s="67"/>
      <c r="BO4" s="88">
        <v>32874</v>
      </c>
      <c r="BP4" s="89">
        <v>0.97799999999999998</v>
      </c>
      <c r="BQ4" s="89">
        <v>1.0449999999999999</v>
      </c>
      <c r="BR4" s="90">
        <f t="shared" ref="BR4:BR258" si="5">BP4/BQ4-1</f>
        <v>-6.4114832535885125E-2</v>
      </c>
    </row>
    <row r="5" spans="1:70">
      <c r="A5" s="62">
        <v>32905</v>
      </c>
      <c r="B5" s="63">
        <v>32905</v>
      </c>
      <c r="C5" s="39">
        <v>21.54</v>
      </c>
      <c r="D5" s="64">
        <v>22.61</v>
      </c>
      <c r="E5" s="40">
        <f t="shared" si="0"/>
        <v>-4.7324192835028756E-2</v>
      </c>
      <c r="F5" s="65"/>
      <c r="G5" s="63">
        <v>32905</v>
      </c>
      <c r="H5" s="91">
        <v>21.99</v>
      </c>
      <c r="I5" s="39">
        <v>24.87</v>
      </c>
      <c r="J5" s="40">
        <f t="shared" ref="J5:J68" si="6">H5/I5-1</f>
        <v>-0.1158021712907118</v>
      </c>
      <c r="K5" s="67"/>
      <c r="L5" s="68">
        <v>32905</v>
      </c>
      <c r="M5" s="69">
        <v>331.9</v>
      </c>
      <c r="N5" s="69">
        <v>329.1</v>
      </c>
      <c r="O5" s="70">
        <f t="shared" si="1"/>
        <v>8.5080522637495104E-3</v>
      </c>
      <c r="P5" s="67"/>
      <c r="U5" s="67"/>
      <c r="V5" s="38">
        <v>32905</v>
      </c>
      <c r="W5" s="39">
        <v>0.56559999999999999</v>
      </c>
      <c r="X5" s="39">
        <v>0.5635</v>
      </c>
      <c r="Y5" s="40">
        <f t="shared" si="2"/>
        <v>3.7267080745342351E-3</v>
      </c>
      <c r="Z5" s="67"/>
      <c r="AA5" s="71">
        <v>32905</v>
      </c>
      <c r="AB5" s="72">
        <v>408.9</v>
      </c>
      <c r="AC5" s="72">
        <v>418.8</v>
      </c>
      <c r="AD5" s="73">
        <f t="shared" si="3"/>
        <v>-2.3638968481375477E-2</v>
      </c>
      <c r="AE5" s="67"/>
      <c r="AF5" s="71">
        <v>32905</v>
      </c>
      <c r="AG5" s="72">
        <v>93.29</v>
      </c>
      <c r="AH5" s="72">
        <v>92.32</v>
      </c>
      <c r="AI5" s="73">
        <f t="shared" si="4"/>
        <v>1.0506932409012348E-2</v>
      </c>
      <c r="AJ5" s="67"/>
      <c r="AK5" s="74">
        <v>32932</v>
      </c>
      <c r="AL5" s="41">
        <v>8.5099999999999995E-2</v>
      </c>
      <c r="AM5" s="41">
        <f>AL5-AL4</f>
        <v>7.9999999999999516E-4</v>
      </c>
      <c r="AN5" s="67"/>
      <c r="AO5" s="75">
        <v>32905</v>
      </c>
      <c r="AP5" s="76">
        <v>580843.5</v>
      </c>
      <c r="AQ5" s="80">
        <f t="shared" ref="AQ5:AQ259" si="7">AP5/AP4-1</f>
        <v>1.2221303852812948E-3</v>
      </c>
      <c r="AR5" s="67"/>
      <c r="AT5" s="78"/>
      <c r="AU5" s="67"/>
      <c r="AV5" s="79">
        <v>32905</v>
      </c>
      <c r="AW5" s="76">
        <v>328151.5</v>
      </c>
      <c r="AX5" s="80">
        <f t="shared" ref="AX5:AX259" si="8">AW5/AW4-1</f>
        <v>7.8850558649565805E-3</v>
      </c>
      <c r="AY5" s="67"/>
      <c r="AZ5" s="81">
        <v>32905</v>
      </c>
      <c r="BA5" s="82">
        <v>77.407211303710938</v>
      </c>
      <c r="BB5" s="82">
        <v>81.108810424804688</v>
      </c>
      <c r="BC5" s="67"/>
      <c r="BD5" s="83">
        <v>32919</v>
      </c>
      <c r="BE5" s="42">
        <v>7497</v>
      </c>
      <c r="BF5" s="41">
        <f t="shared" ref="BF5:BF259" si="9">BE5/BE4-1</f>
        <v>-6.4935064935064402E-3</v>
      </c>
      <c r="BG5" s="67"/>
      <c r="BH5" s="84">
        <v>32905</v>
      </c>
      <c r="BI5" s="85">
        <v>62.2896</v>
      </c>
      <c r="BJ5" s="87">
        <f t="shared" ref="BJ5:BJ259" si="10">BI5/BI4-1</f>
        <v>9.0816310000161327E-3</v>
      </c>
      <c r="BK5" s="67"/>
      <c r="BL5" s="84">
        <v>32905</v>
      </c>
      <c r="BM5" s="86">
        <v>13.095167</v>
      </c>
      <c r="BN5" s="67"/>
      <c r="BO5" s="88">
        <v>32905</v>
      </c>
      <c r="BP5" s="89">
        <v>1.0825</v>
      </c>
      <c r="BQ5" s="89">
        <v>0.98</v>
      </c>
      <c r="BR5" s="90">
        <f t="shared" si="5"/>
        <v>0.10459183673469385</v>
      </c>
    </row>
    <row r="6" spans="1:70">
      <c r="A6" s="62">
        <v>32933</v>
      </c>
      <c r="B6" s="63">
        <v>32933</v>
      </c>
      <c r="C6" s="39">
        <v>20.28</v>
      </c>
      <c r="D6" s="64">
        <v>21.73</v>
      </c>
      <c r="E6" s="40">
        <f t="shared" si="0"/>
        <v>-6.6728025770823707E-2</v>
      </c>
      <c r="F6" s="65"/>
      <c r="G6" s="63">
        <v>32933</v>
      </c>
      <c r="H6" s="39">
        <v>19.73</v>
      </c>
      <c r="I6" s="39">
        <v>21.9</v>
      </c>
      <c r="J6" s="40">
        <f t="shared" si="6"/>
        <v>-9.9086757990867524E-2</v>
      </c>
      <c r="K6" s="67"/>
      <c r="L6" s="68">
        <v>32933</v>
      </c>
      <c r="M6" s="69">
        <v>339.9</v>
      </c>
      <c r="N6" s="69">
        <v>331.9</v>
      </c>
      <c r="O6" s="70">
        <f t="shared" si="1"/>
        <v>2.4103645676408547E-2</v>
      </c>
      <c r="P6" s="67"/>
      <c r="U6" s="67"/>
      <c r="V6" s="38">
        <v>32933</v>
      </c>
      <c r="W6" s="39">
        <v>0.54339999999999999</v>
      </c>
      <c r="X6" s="39">
        <v>0.55920000000000003</v>
      </c>
      <c r="Y6" s="40">
        <f t="shared" si="2"/>
        <v>-2.8254649499284801E-2</v>
      </c>
      <c r="Z6" s="67"/>
      <c r="AA6" s="71">
        <v>32933</v>
      </c>
      <c r="AB6" s="72">
        <v>375</v>
      </c>
      <c r="AC6" s="72">
        <v>409.3</v>
      </c>
      <c r="AD6" s="73">
        <f t="shared" si="3"/>
        <v>-8.380161250916196E-2</v>
      </c>
      <c r="AE6" s="67"/>
      <c r="AF6" s="71">
        <v>32933</v>
      </c>
      <c r="AG6" s="72">
        <v>93.69</v>
      </c>
      <c r="AH6" s="72">
        <v>93.67</v>
      </c>
      <c r="AI6" s="73">
        <f t="shared" si="4"/>
        <v>2.1351553325499317E-4</v>
      </c>
      <c r="AJ6" s="67"/>
      <c r="AK6" s="74">
        <v>32963</v>
      </c>
      <c r="AL6" s="41">
        <v>8.6500000000000007E-2</v>
      </c>
      <c r="AM6" s="41">
        <f t="shared" ref="AM6:AM69" si="11">AL6-AL5</f>
        <v>1.4000000000000123E-3</v>
      </c>
      <c r="AN6" s="67"/>
      <c r="AO6" s="75">
        <v>32933</v>
      </c>
      <c r="AP6" s="76">
        <v>581318.6</v>
      </c>
      <c r="AQ6" s="80">
        <f t="shared" si="7"/>
        <v>8.1794838024351613E-4</v>
      </c>
      <c r="AR6" s="67"/>
      <c r="AT6" s="78"/>
      <c r="AU6" s="67"/>
      <c r="AV6" s="79">
        <v>32933</v>
      </c>
      <c r="AW6" s="76">
        <v>334290</v>
      </c>
      <c r="AX6" s="80">
        <f t="shared" si="8"/>
        <v>1.8706298767489971E-2</v>
      </c>
      <c r="AY6" s="67"/>
      <c r="AZ6" s="81">
        <v>32933</v>
      </c>
      <c r="BA6" s="82">
        <v>67.591941833496094</v>
      </c>
      <c r="BB6" s="82">
        <v>68.186721801757813</v>
      </c>
      <c r="BC6" s="67"/>
      <c r="BD6" s="83">
        <v>32947</v>
      </c>
      <c r="BE6" s="42">
        <v>7433</v>
      </c>
      <c r="BF6" s="41">
        <f t="shared" si="9"/>
        <v>-8.5367480325463374E-3</v>
      </c>
      <c r="BG6" s="67"/>
      <c r="BH6" s="84">
        <v>32933</v>
      </c>
      <c r="BI6" s="85">
        <v>62.599899999999998</v>
      </c>
      <c r="BJ6" s="87">
        <f t="shared" si="10"/>
        <v>4.9815699571036376E-3</v>
      </c>
      <c r="BK6" s="67"/>
      <c r="BL6" s="84">
        <v>32933</v>
      </c>
      <c r="BM6" s="86">
        <v>12.543623999999999</v>
      </c>
      <c r="BN6" s="67"/>
      <c r="BO6" s="88">
        <v>32933</v>
      </c>
      <c r="BP6" s="89">
        <v>1.181</v>
      </c>
      <c r="BQ6" s="89">
        <v>1.091</v>
      </c>
      <c r="BR6" s="90">
        <f t="shared" si="5"/>
        <v>8.2493125572868919E-2</v>
      </c>
    </row>
    <row r="7" spans="1:70">
      <c r="A7" s="62">
        <v>32964</v>
      </c>
      <c r="B7" s="63">
        <v>32964</v>
      </c>
      <c r="C7" s="39">
        <v>18.54</v>
      </c>
      <c r="D7" s="64">
        <v>20.2</v>
      </c>
      <c r="E7" s="40">
        <f t="shared" si="0"/>
        <v>-8.217821782178214E-2</v>
      </c>
      <c r="F7" s="65"/>
      <c r="G7" s="63">
        <v>32964</v>
      </c>
      <c r="H7" s="39">
        <v>19.52</v>
      </c>
      <c r="I7" s="39">
        <v>22.84</v>
      </c>
      <c r="J7" s="40">
        <f t="shared" si="6"/>
        <v>-0.14535901926444839</v>
      </c>
      <c r="K7" s="67"/>
      <c r="L7" s="68">
        <v>32964</v>
      </c>
      <c r="M7" s="69">
        <v>330.8</v>
      </c>
      <c r="N7" s="69">
        <v>339.9</v>
      </c>
      <c r="O7" s="70">
        <f t="shared" si="1"/>
        <v>-2.6772580170638327E-2</v>
      </c>
      <c r="P7" s="67"/>
      <c r="U7" s="67"/>
      <c r="V7" s="38">
        <v>32964</v>
      </c>
      <c r="W7" s="39">
        <v>0.51449999999999996</v>
      </c>
      <c r="X7" s="39">
        <v>0.53200000000000003</v>
      </c>
      <c r="Y7" s="40">
        <f t="shared" si="2"/>
        <v>-3.2894736842105421E-2</v>
      </c>
      <c r="Z7" s="67"/>
      <c r="AA7" s="71">
        <v>32964</v>
      </c>
      <c r="AB7" s="72">
        <v>371.4</v>
      </c>
      <c r="AC7" s="72">
        <v>372.3</v>
      </c>
      <c r="AD7" s="73">
        <f t="shared" si="3"/>
        <v>-2.4174053182918209E-3</v>
      </c>
      <c r="AE7" s="67"/>
      <c r="AF7" s="71">
        <v>32964</v>
      </c>
      <c r="AG7" s="72">
        <v>93.07</v>
      </c>
      <c r="AH7" s="72">
        <v>94.28</v>
      </c>
      <c r="AI7" s="73">
        <f t="shared" si="4"/>
        <v>-1.283411115825206E-2</v>
      </c>
      <c r="AJ7" s="67"/>
      <c r="AK7" s="74">
        <v>32993</v>
      </c>
      <c r="AL7" s="41">
        <v>9.0399999999999994E-2</v>
      </c>
      <c r="AM7" s="41">
        <f t="shared" si="11"/>
        <v>3.8999999999999868E-3</v>
      </c>
      <c r="AN7" s="67"/>
      <c r="AO7" s="75">
        <v>32964</v>
      </c>
      <c r="AP7" s="76">
        <v>582373.25</v>
      </c>
      <c r="AQ7" s="80">
        <f t="shared" si="7"/>
        <v>1.8142374938632244E-3</v>
      </c>
      <c r="AR7" s="67"/>
      <c r="AT7" s="78"/>
      <c r="AU7" s="67"/>
      <c r="AV7" s="79">
        <v>32964</v>
      </c>
      <c r="AW7" s="76">
        <v>350901.75</v>
      </c>
      <c r="AX7" s="80">
        <f t="shared" si="8"/>
        <v>4.9692632145741822E-2</v>
      </c>
      <c r="AY7" s="67"/>
      <c r="AZ7" s="81">
        <v>32964</v>
      </c>
      <c r="BA7" s="82">
        <v>81.643844604492188</v>
      </c>
      <c r="BB7" s="82">
        <v>97.976547241210938</v>
      </c>
      <c r="BC7" s="67"/>
      <c r="BD7" s="83">
        <v>32978</v>
      </c>
      <c r="BE7" s="42">
        <v>7407</v>
      </c>
      <c r="BF7" s="41">
        <f t="shared" si="9"/>
        <v>-3.497914704695293E-3</v>
      </c>
      <c r="BG7" s="67"/>
      <c r="BH7" s="84">
        <v>32964</v>
      </c>
      <c r="BI7" s="85">
        <v>62.435899999999997</v>
      </c>
      <c r="BJ7" s="87">
        <f t="shared" si="10"/>
        <v>-2.6198124917132803E-3</v>
      </c>
      <c r="BK7" s="67"/>
      <c r="BL7" s="84">
        <v>32964</v>
      </c>
      <c r="BM7" s="86">
        <v>2.7076855000000002</v>
      </c>
      <c r="BN7" s="67"/>
      <c r="BO7" s="88">
        <v>32964</v>
      </c>
      <c r="BP7" s="89">
        <v>1.089</v>
      </c>
      <c r="BQ7" s="89">
        <v>1.19</v>
      </c>
      <c r="BR7" s="90">
        <f t="shared" si="5"/>
        <v>-8.4873949579831964E-2</v>
      </c>
    </row>
    <row r="8" spans="1:70">
      <c r="A8" s="62">
        <v>32994</v>
      </c>
      <c r="B8" s="63">
        <v>32994</v>
      </c>
      <c r="C8" s="39">
        <v>17.399999999999999</v>
      </c>
      <c r="D8" s="64">
        <v>18.46</v>
      </c>
      <c r="E8" s="40">
        <f t="shared" si="0"/>
        <v>-5.7421451787649125E-2</v>
      </c>
      <c r="F8" s="65"/>
      <c r="G8" s="63">
        <v>32994</v>
      </c>
      <c r="H8" s="39">
        <v>17.37</v>
      </c>
      <c r="I8" s="39">
        <v>18.43</v>
      </c>
      <c r="J8" s="40">
        <f t="shared" si="6"/>
        <v>-5.7514921323928325E-2</v>
      </c>
      <c r="K8" s="67"/>
      <c r="L8" s="68">
        <v>32994</v>
      </c>
      <c r="M8" s="69">
        <v>361.2</v>
      </c>
      <c r="N8" s="69">
        <v>330.8</v>
      </c>
      <c r="O8" s="70">
        <f t="shared" si="1"/>
        <v>9.1898428053204251E-2</v>
      </c>
      <c r="P8" s="67"/>
      <c r="Q8" s="38">
        <v>32994</v>
      </c>
      <c r="R8" s="39">
        <v>1.59</v>
      </c>
      <c r="S8" s="39">
        <v>1.575</v>
      </c>
      <c r="T8" s="40">
        <f t="shared" ref="T8:T71" si="12">R8/S8-1</f>
        <v>9.523809523809712E-3</v>
      </c>
      <c r="U8" s="67"/>
      <c r="V8" s="38">
        <v>32994</v>
      </c>
      <c r="W8" s="39">
        <v>0.49349999999999999</v>
      </c>
      <c r="X8" s="39">
        <v>0.51249999999999996</v>
      </c>
      <c r="Y8" s="40">
        <f t="shared" si="2"/>
        <v>-3.7073170731707239E-2</v>
      </c>
      <c r="Z8" s="67"/>
      <c r="AA8" s="71">
        <v>32994</v>
      </c>
      <c r="AB8" s="72">
        <v>368.6</v>
      </c>
      <c r="AC8" s="72">
        <v>372.4</v>
      </c>
      <c r="AD8" s="73">
        <f t="shared" si="3"/>
        <v>-1.0204081632652962E-2</v>
      </c>
      <c r="AE8" s="67"/>
      <c r="AF8" s="71">
        <v>32994</v>
      </c>
      <c r="AG8" s="72">
        <v>92.98</v>
      </c>
      <c r="AH8" s="72">
        <v>93.23</v>
      </c>
      <c r="AI8" s="73">
        <f t="shared" si="4"/>
        <v>-2.6815402767349505E-3</v>
      </c>
      <c r="AJ8" s="67"/>
      <c r="AK8" s="74">
        <v>33024</v>
      </c>
      <c r="AL8" s="41">
        <v>8.5999999999999993E-2</v>
      </c>
      <c r="AM8" s="41">
        <f t="shared" si="11"/>
        <v>-4.4000000000000011E-3</v>
      </c>
      <c r="AN8" s="67"/>
      <c r="AO8" s="92">
        <v>32994</v>
      </c>
      <c r="AP8" s="76">
        <v>584772</v>
      </c>
      <c r="AQ8" s="80">
        <f t="shared" si="7"/>
        <v>4.1189220143611482E-3</v>
      </c>
      <c r="AR8" s="67"/>
      <c r="AT8" s="78"/>
      <c r="AU8" s="67"/>
      <c r="AV8" s="93">
        <v>32994</v>
      </c>
      <c r="AW8" s="76">
        <v>359099</v>
      </c>
      <c r="AX8" s="80">
        <f t="shared" si="8"/>
        <v>2.336052755507767E-2</v>
      </c>
      <c r="AY8" s="67"/>
      <c r="AZ8" s="81">
        <v>32994</v>
      </c>
      <c r="BA8" s="82">
        <v>86.407119750976563</v>
      </c>
      <c r="BB8" s="82">
        <v>97.816574096679688</v>
      </c>
      <c r="BC8" s="67"/>
      <c r="BD8" s="83">
        <v>33008</v>
      </c>
      <c r="BE8" s="42">
        <v>7328</v>
      </c>
      <c r="BF8" s="41">
        <f t="shared" si="9"/>
        <v>-1.0665586607263355E-2</v>
      </c>
      <c r="BG8" s="67"/>
      <c r="BH8" s="84">
        <v>32994</v>
      </c>
      <c r="BI8" s="85">
        <v>62.625799999999998</v>
      </c>
      <c r="BJ8" s="87">
        <f t="shared" si="10"/>
        <v>3.0415193822785902E-3</v>
      </c>
      <c r="BK8" s="67"/>
      <c r="BL8" s="84">
        <v>32994</v>
      </c>
      <c r="BM8" s="86">
        <v>-6.1957012999999996</v>
      </c>
      <c r="BN8" s="67"/>
      <c r="BO8" s="88">
        <v>32994</v>
      </c>
      <c r="BP8" s="89">
        <v>1.0820000000000001</v>
      </c>
      <c r="BQ8" s="89">
        <v>1.1065</v>
      </c>
      <c r="BR8" s="90">
        <f t="shared" si="5"/>
        <v>-2.2141888838680512E-2</v>
      </c>
    </row>
    <row r="9" spans="1:70">
      <c r="A9" s="62">
        <v>33025</v>
      </c>
      <c r="B9" s="63">
        <v>33025</v>
      </c>
      <c r="C9" s="39">
        <v>17.07</v>
      </c>
      <c r="D9" s="64">
        <v>17.52</v>
      </c>
      <c r="E9" s="40">
        <f t="shared" si="0"/>
        <v>-2.5684931506849251E-2</v>
      </c>
      <c r="F9" s="65"/>
      <c r="G9" s="63">
        <v>33025</v>
      </c>
      <c r="H9" s="39">
        <v>15.5</v>
      </c>
      <c r="I9" s="39">
        <v>17.09</v>
      </c>
      <c r="J9" s="40">
        <f t="shared" si="6"/>
        <v>-9.3036863662960823E-2</v>
      </c>
      <c r="K9" s="67"/>
      <c r="L9" s="68">
        <v>33025</v>
      </c>
      <c r="M9" s="69">
        <v>358</v>
      </c>
      <c r="N9" s="69">
        <v>361.2</v>
      </c>
      <c r="O9" s="70">
        <f t="shared" si="1"/>
        <v>-8.8593576965669829E-3</v>
      </c>
      <c r="P9" s="67"/>
      <c r="Q9" s="38">
        <v>33025</v>
      </c>
      <c r="R9" s="39">
        <v>1.5189999999999999</v>
      </c>
      <c r="S9" s="39">
        <v>1.587</v>
      </c>
      <c r="T9" s="40">
        <f t="shared" si="12"/>
        <v>-4.2848141146817897E-2</v>
      </c>
      <c r="U9" s="67"/>
      <c r="V9" s="38">
        <v>33025</v>
      </c>
      <c r="W9" s="39">
        <v>0.48620000000000002</v>
      </c>
      <c r="X9" s="39">
        <v>0.50270000000000004</v>
      </c>
      <c r="Y9" s="40">
        <f t="shared" si="2"/>
        <v>-3.2822757111597434E-2</v>
      </c>
      <c r="Z9" s="67"/>
      <c r="AA9" s="71">
        <v>33025</v>
      </c>
      <c r="AB9" s="72">
        <v>359.9</v>
      </c>
      <c r="AC9" s="72">
        <v>367.5</v>
      </c>
      <c r="AD9" s="73">
        <f t="shared" si="3"/>
        <v>-2.06802721088436E-2</v>
      </c>
      <c r="AE9" s="67"/>
      <c r="AF9" s="71">
        <v>33025</v>
      </c>
      <c r="AG9" s="72">
        <v>91.15</v>
      </c>
      <c r="AH9" s="72">
        <v>92.86</v>
      </c>
      <c r="AI9" s="73">
        <f t="shared" si="4"/>
        <v>-1.8414818005599742E-2</v>
      </c>
      <c r="AJ9" s="67"/>
      <c r="AK9" s="74">
        <v>33054</v>
      </c>
      <c r="AL9" s="41">
        <v>8.43E-2</v>
      </c>
      <c r="AM9" s="41">
        <f t="shared" si="11"/>
        <v>-1.6999999999999932E-3</v>
      </c>
      <c r="AN9" s="67"/>
      <c r="AO9" s="75">
        <v>33025</v>
      </c>
      <c r="AP9" s="76">
        <v>586282</v>
      </c>
      <c r="AQ9" s="80">
        <f t="shared" si="7"/>
        <v>2.5822029782547329E-3</v>
      </c>
      <c r="AR9" s="67"/>
      <c r="AT9" s="78"/>
      <c r="AU9" s="67"/>
      <c r="AV9" s="79">
        <v>33025</v>
      </c>
      <c r="AW9" s="76">
        <v>367303.4</v>
      </c>
      <c r="AX9" s="80">
        <f t="shared" si="8"/>
        <v>2.2847181417937845E-2</v>
      </c>
      <c r="AY9" s="67"/>
      <c r="AZ9" s="81">
        <v>33025</v>
      </c>
      <c r="BA9" s="82">
        <v>79.681106567382813</v>
      </c>
      <c r="BB9" s="82">
        <v>72.846420288085938</v>
      </c>
      <c r="BC9" s="67"/>
      <c r="BD9" s="83">
        <v>33039</v>
      </c>
      <c r="BE9" s="42">
        <v>7106</v>
      </c>
      <c r="BF9" s="41">
        <f t="shared" si="9"/>
        <v>-3.0294759825327477E-2</v>
      </c>
      <c r="BG9" s="67"/>
      <c r="BH9" s="84">
        <v>33025</v>
      </c>
      <c r="BI9" s="85">
        <v>62.838200000000001</v>
      </c>
      <c r="BJ9" s="87">
        <f t="shared" si="10"/>
        <v>3.3915734409779574E-3</v>
      </c>
      <c r="BK9" s="67"/>
      <c r="BL9" s="84">
        <v>33025</v>
      </c>
      <c r="BM9" s="86">
        <v>-15.023820000000001</v>
      </c>
      <c r="BN9" s="67"/>
      <c r="BO9" s="88">
        <v>33025</v>
      </c>
      <c r="BP9" s="89">
        <v>1.1399999999999999</v>
      </c>
      <c r="BQ9" s="89">
        <v>1.0940000000000001</v>
      </c>
      <c r="BR9" s="90">
        <f t="shared" si="5"/>
        <v>4.2047531992687182E-2</v>
      </c>
    </row>
    <row r="10" spans="1:70">
      <c r="A10" s="62">
        <v>33055</v>
      </c>
      <c r="B10" s="63">
        <v>33055</v>
      </c>
      <c r="C10" s="39">
        <v>20.69</v>
      </c>
      <c r="D10" s="64">
        <v>17</v>
      </c>
      <c r="E10" s="40">
        <f t="shared" si="0"/>
        <v>0.21705882352941175</v>
      </c>
      <c r="F10" s="65"/>
      <c r="G10" s="63">
        <v>33055</v>
      </c>
      <c r="H10" s="39">
        <v>21.11</v>
      </c>
      <c r="I10" s="39">
        <v>16.260000000000002</v>
      </c>
      <c r="J10" s="40">
        <f t="shared" si="6"/>
        <v>0.29827798277982764</v>
      </c>
      <c r="K10" s="67"/>
      <c r="L10" s="68">
        <v>33055</v>
      </c>
      <c r="M10" s="69">
        <v>356.1</v>
      </c>
      <c r="N10" s="69">
        <v>358</v>
      </c>
      <c r="O10" s="70">
        <f t="shared" si="1"/>
        <v>-5.3072625698323828E-3</v>
      </c>
      <c r="P10" s="67"/>
      <c r="Q10" s="38">
        <v>33055</v>
      </c>
      <c r="R10" s="39">
        <v>1.411</v>
      </c>
      <c r="S10" s="39">
        <v>1.5249999999999999</v>
      </c>
      <c r="T10" s="40">
        <f t="shared" si="12"/>
        <v>-7.4754098360655608E-2</v>
      </c>
      <c r="U10" s="67"/>
      <c r="V10" s="38">
        <v>33055</v>
      </c>
      <c r="W10" s="39">
        <v>0.58350000000000002</v>
      </c>
      <c r="X10" s="39">
        <v>0.49819999999999998</v>
      </c>
      <c r="Y10" s="40">
        <f t="shared" si="2"/>
        <v>0.17121637896427155</v>
      </c>
      <c r="Z10" s="67"/>
      <c r="AA10" s="71">
        <v>33055</v>
      </c>
      <c r="AB10" s="72">
        <v>379.2</v>
      </c>
      <c r="AC10" s="72">
        <v>359.5</v>
      </c>
      <c r="AD10" s="73">
        <f t="shared" si="3"/>
        <v>5.4798331015299073E-2</v>
      </c>
      <c r="AE10" s="67"/>
      <c r="AF10" s="71">
        <v>33055</v>
      </c>
      <c r="AG10" s="72">
        <v>87.17</v>
      </c>
      <c r="AH10" s="72">
        <v>90.75</v>
      </c>
      <c r="AI10" s="73">
        <f t="shared" si="4"/>
        <v>-3.9449035812672117E-2</v>
      </c>
      <c r="AJ10" s="67"/>
      <c r="AK10" s="74">
        <v>33085</v>
      </c>
      <c r="AL10" s="41">
        <v>8.3599999999999994E-2</v>
      </c>
      <c r="AM10" s="41">
        <f t="shared" si="11"/>
        <v>-7.0000000000000617E-4</v>
      </c>
      <c r="AN10" s="67"/>
      <c r="AO10" s="75">
        <v>33055</v>
      </c>
      <c r="AP10" s="76">
        <v>586680</v>
      </c>
      <c r="AQ10" s="80">
        <f t="shared" si="7"/>
        <v>6.7885420326740942E-4</v>
      </c>
      <c r="AR10" s="67"/>
      <c r="AT10" s="78"/>
      <c r="AU10" s="67"/>
      <c r="AV10" s="79">
        <v>33055</v>
      </c>
      <c r="AW10" s="76">
        <v>369119</v>
      </c>
      <c r="AX10" s="80">
        <f t="shared" si="8"/>
        <v>4.943052528236791E-3</v>
      </c>
      <c r="AY10" s="67"/>
      <c r="AZ10" s="81">
        <v>33055</v>
      </c>
      <c r="BA10" s="82">
        <v>85.787429809570313</v>
      </c>
      <c r="BB10" s="82">
        <v>82.369255065917969</v>
      </c>
      <c r="BC10" s="67"/>
      <c r="BD10" s="83">
        <v>33069</v>
      </c>
      <c r="BE10" s="42">
        <v>7173</v>
      </c>
      <c r="BF10" s="41">
        <f t="shared" si="9"/>
        <v>9.4286518435124922E-3</v>
      </c>
      <c r="BG10" s="67"/>
      <c r="BH10" s="84">
        <v>33055</v>
      </c>
      <c r="BI10" s="85">
        <v>62.728400000000001</v>
      </c>
      <c r="BJ10" s="87">
        <f t="shared" si="10"/>
        <v>-1.7473447679914322E-3</v>
      </c>
      <c r="BK10" s="67"/>
      <c r="BL10" s="84">
        <v>33055</v>
      </c>
      <c r="BM10" s="86">
        <v>-25.005058999999999</v>
      </c>
      <c r="BN10" s="67"/>
      <c r="BO10" s="88">
        <v>33055</v>
      </c>
      <c r="BP10" s="89">
        <v>1.226</v>
      </c>
      <c r="BQ10" s="89">
        <v>1.1385000000000001</v>
      </c>
      <c r="BR10" s="90">
        <f t="shared" si="5"/>
        <v>7.6855511638120211E-2</v>
      </c>
    </row>
    <row r="11" spans="1:70">
      <c r="A11" s="62">
        <v>33086</v>
      </c>
      <c r="B11" s="63">
        <v>33086</v>
      </c>
      <c r="C11" s="39">
        <v>27.32</v>
      </c>
      <c r="D11" s="64">
        <v>20.87</v>
      </c>
      <c r="E11" s="40">
        <f t="shared" si="0"/>
        <v>0.30905606133205543</v>
      </c>
      <c r="F11" s="65"/>
      <c r="G11" s="63">
        <v>33086</v>
      </c>
      <c r="H11" s="39">
        <v>29.9</v>
      </c>
      <c r="I11" s="39">
        <v>21.64</v>
      </c>
      <c r="J11" s="40">
        <f t="shared" si="6"/>
        <v>0.38170055452865048</v>
      </c>
      <c r="K11" s="67"/>
      <c r="L11" s="68">
        <v>33086</v>
      </c>
      <c r="M11" s="69">
        <v>322.60000000000002</v>
      </c>
      <c r="N11" s="69">
        <v>356.1</v>
      </c>
      <c r="O11" s="70">
        <f t="shared" si="1"/>
        <v>-9.4074698118505995E-2</v>
      </c>
      <c r="P11" s="67"/>
      <c r="Q11" s="38">
        <v>33086</v>
      </c>
      <c r="R11" s="39">
        <v>1.5</v>
      </c>
      <c r="S11" s="39">
        <v>1.405</v>
      </c>
      <c r="T11" s="40">
        <f t="shared" si="12"/>
        <v>6.7615658362989217E-2</v>
      </c>
      <c r="U11" s="67"/>
      <c r="V11" s="38">
        <v>33086</v>
      </c>
      <c r="W11" s="39">
        <v>0.76559999999999995</v>
      </c>
      <c r="X11" s="39">
        <v>0.6</v>
      </c>
      <c r="Y11" s="40">
        <f t="shared" si="2"/>
        <v>0.27600000000000002</v>
      </c>
      <c r="Z11" s="67"/>
      <c r="AA11" s="71">
        <v>33086</v>
      </c>
      <c r="AB11" s="72">
        <v>389.2</v>
      </c>
      <c r="AC11" s="72">
        <v>379.3</v>
      </c>
      <c r="AD11" s="73">
        <f t="shared" si="3"/>
        <v>2.6100711837595547E-2</v>
      </c>
      <c r="AE11" s="67"/>
      <c r="AF11" s="71">
        <v>33086</v>
      </c>
      <c r="AG11" s="72">
        <v>86.56</v>
      </c>
      <c r="AH11" s="72">
        <v>87.4</v>
      </c>
      <c r="AI11" s="73">
        <f t="shared" si="4"/>
        <v>-9.6109839816933551E-3</v>
      </c>
      <c r="AJ11" s="67"/>
      <c r="AK11" s="74">
        <v>33116</v>
      </c>
      <c r="AL11" s="41">
        <v>8.8599999999999998E-2</v>
      </c>
      <c r="AM11" s="41">
        <f t="shared" si="11"/>
        <v>5.0000000000000044E-3</v>
      </c>
      <c r="AN11" s="67"/>
      <c r="AO11" s="75">
        <v>33086</v>
      </c>
      <c r="AP11" s="76">
        <v>587774.4</v>
      </c>
      <c r="AQ11" s="80">
        <f t="shared" si="7"/>
        <v>1.8654121497239107E-3</v>
      </c>
      <c r="AR11" s="67"/>
      <c r="AT11" s="78"/>
      <c r="AU11" s="67"/>
      <c r="AV11" s="79">
        <v>33086</v>
      </c>
      <c r="AW11" s="76">
        <v>360770.2</v>
      </c>
      <c r="AX11" s="80">
        <f t="shared" si="8"/>
        <v>-2.2618180044917779E-2</v>
      </c>
      <c r="AY11" s="67"/>
      <c r="AZ11" s="81">
        <v>33086</v>
      </c>
      <c r="BA11" s="82">
        <v>250.45108032226563</v>
      </c>
      <c r="BB11" s="82">
        <v>353.76312255859375</v>
      </c>
      <c r="BC11" s="67"/>
      <c r="BD11" s="83">
        <v>33100</v>
      </c>
      <c r="BE11" s="42">
        <v>7287</v>
      </c>
      <c r="BF11" s="41">
        <f t="shared" si="9"/>
        <v>1.5892931827687251E-2</v>
      </c>
      <c r="BG11" s="67"/>
      <c r="BH11" s="84">
        <v>33086</v>
      </c>
      <c r="BI11" s="85">
        <v>62.947499999999998</v>
      </c>
      <c r="BJ11" s="87">
        <f t="shared" si="10"/>
        <v>3.4928357809220767E-3</v>
      </c>
      <c r="BK11" s="67"/>
      <c r="BL11" s="84">
        <v>33086</v>
      </c>
      <c r="BM11" s="86">
        <v>-15.989292000000001</v>
      </c>
      <c r="BN11" s="67"/>
      <c r="BO11" s="88">
        <v>33086</v>
      </c>
      <c r="BP11" s="89">
        <v>1.2649999999999999</v>
      </c>
      <c r="BQ11" s="89">
        <v>1.2324999999999999</v>
      </c>
      <c r="BR11" s="90">
        <f t="shared" si="5"/>
        <v>2.6369168356997985E-2</v>
      </c>
    </row>
    <row r="12" spans="1:70">
      <c r="A12" s="62">
        <v>33117</v>
      </c>
      <c r="B12" s="63">
        <v>33117</v>
      </c>
      <c r="C12" s="39">
        <v>39.51</v>
      </c>
      <c r="D12" s="64">
        <v>28.27</v>
      </c>
      <c r="E12" s="40">
        <f t="shared" si="0"/>
        <v>0.39759462327555717</v>
      </c>
      <c r="F12" s="65"/>
      <c r="G12" s="63">
        <v>33117</v>
      </c>
      <c r="H12" s="39">
        <v>29.11</v>
      </c>
      <c r="I12" s="39">
        <v>29.58</v>
      </c>
      <c r="J12" s="40">
        <f t="shared" si="6"/>
        <v>-1.5889114266396165E-2</v>
      </c>
      <c r="K12" s="67"/>
      <c r="L12" s="68">
        <v>33117</v>
      </c>
      <c r="M12" s="69">
        <v>306.10000000000002</v>
      </c>
      <c r="N12" s="69">
        <v>322.60000000000002</v>
      </c>
      <c r="O12" s="70">
        <f t="shared" si="1"/>
        <v>-5.1146931184128941E-2</v>
      </c>
      <c r="P12" s="67"/>
      <c r="Q12" s="38">
        <v>33117</v>
      </c>
      <c r="R12" s="39">
        <v>1.9350000000000001</v>
      </c>
      <c r="S12" s="39">
        <v>1.5149999999999999</v>
      </c>
      <c r="T12" s="40">
        <f t="shared" si="12"/>
        <v>0.27722772277227725</v>
      </c>
      <c r="U12" s="67"/>
      <c r="V12" s="38">
        <v>33117</v>
      </c>
      <c r="W12" s="39">
        <v>1.0591999999999999</v>
      </c>
      <c r="X12" s="39">
        <v>0.81340000000000001</v>
      </c>
      <c r="Y12" s="40">
        <f t="shared" si="2"/>
        <v>0.30218834521760507</v>
      </c>
      <c r="Z12" s="67"/>
      <c r="AA12" s="71">
        <v>33117</v>
      </c>
      <c r="AB12" s="72">
        <v>408.1</v>
      </c>
      <c r="AC12" s="72">
        <v>390.1</v>
      </c>
      <c r="AD12" s="73">
        <f t="shared" si="3"/>
        <v>4.6142014867982528E-2</v>
      </c>
      <c r="AE12" s="67"/>
      <c r="AF12" s="71">
        <v>33117</v>
      </c>
      <c r="AG12" s="72">
        <v>86</v>
      </c>
      <c r="AH12" s="72">
        <v>86.23</v>
      </c>
      <c r="AI12" s="73">
        <f t="shared" si="4"/>
        <v>-2.6672851675750842E-3</v>
      </c>
      <c r="AJ12" s="67"/>
      <c r="AK12" s="74">
        <v>33146</v>
      </c>
      <c r="AL12" s="41">
        <v>8.8200000000000001E-2</v>
      </c>
      <c r="AM12" s="41">
        <f t="shared" si="11"/>
        <v>-3.9999999999999758E-4</v>
      </c>
      <c r="AN12" s="67"/>
      <c r="AO12" s="75">
        <v>33117</v>
      </c>
      <c r="AP12" s="76">
        <v>589623</v>
      </c>
      <c r="AQ12" s="80">
        <f t="shared" si="7"/>
        <v>3.1450842364009191E-3</v>
      </c>
      <c r="AR12" s="67"/>
      <c r="AT12" s="78"/>
      <c r="AU12" s="67"/>
      <c r="AV12" s="79">
        <v>33117</v>
      </c>
      <c r="AW12" s="76">
        <v>350028.5</v>
      </c>
      <c r="AX12" s="80">
        <f t="shared" si="8"/>
        <v>-2.9774354977212703E-2</v>
      </c>
      <c r="AY12" s="67"/>
      <c r="AZ12" s="81">
        <v>33117</v>
      </c>
      <c r="BA12" s="82">
        <v>188.66053771972656</v>
      </c>
      <c r="BB12" s="82">
        <v>262.12362670898438</v>
      </c>
      <c r="BC12" s="67"/>
      <c r="BD12" s="83">
        <v>33131</v>
      </c>
      <c r="BE12" s="42">
        <v>7224</v>
      </c>
      <c r="BF12" s="41">
        <f t="shared" si="9"/>
        <v>-8.6455331412104153E-3</v>
      </c>
      <c r="BG12" s="67"/>
      <c r="BH12" s="84">
        <v>33117</v>
      </c>
      <c r="BI12" s="85">
        <v>62.952300000000001</v>
      </c>
      <c r="BJ12" s="87">
        <f t="shared" si="10"/>
        <v>7.6254021208255196E-5</v>
      </c>
      <c r="BK12" s="67"/>
      <c r="BL12" s="84">
        <v>33117</v>
      </c>
      <c r="BM12" s="86">
        <v>-18.586027000000001</v>
      </c>
      <c r="BN12" s="67"/>
      <c r="BO12" s="88">
        <v>33117</v>
      </c>
      <c r="BP12" s="89">
        <v>1.1879999999999999</v>
      </c>
      <c r="BQ12" s="89">
        <v>1.254</v>
      </c>
      <c r="BR12" s="90">
        <f t="shared" si="5"/>
        <v>-5.2631578947368474E-2</v>
      </c>
    </row>
    <row r="13" spans="1:70">
      <c r="A13" s="62">
        <v>33147</v>
      </c>
      <c r="B13" s="63">
        <v>33147</v>
      </c>
      <c r="C13" s="39">
        <v>35.229999999999997</v>
      </c>
      <c r="D13" s="64">
        <v>38.450000000000003</v>
      </c>
      <c r="E13" s="40">
        <f t="shared" si="0"/>
        <v>-8.3745123537061317E-2</v>
      </c>
      <c r="F13" s="65"/>
      <c r="G13" s="63">
        <v>33147</v>
      </c>
      <c r="H13" s="39">
        <v>30.04</v>
      </c>
      <c r="I13" s="39">
        <v>28.06</v>
      </c>
      <c r="J13" s="40">
        <f t="shared" si="6"/>
        <v>7.0563079116179539E-2</v>
      </c>
      <c r="K13" s="67"/>
      <c r="L13" s="68">
        <v>33147</v>
      </c>
      <c r="M13" s="69">
        <v>304</v>
      </c>
      <c r="N13" s="69">
        <v>306.10000000000002</v>
      </c>
      <c r="O13" s="70">
        <f t="shared" si="1"/>
        <v>-6.8605031035610109E-3</v>
      </c>
      <c r="P13" s="67"/>
      <c r="Q13" s="38">
        <v>33147</v>
      </c>
      <c r="R13" s="39">
        <v>2.36</v>
      </c>
      <c r="S13" s="39">
        <v>1.925</v>
      </c>
      <c r="T13" s="40">
        <f t="shared" si="12"/>
        <v>0.22597402597402594</v>
      </c>
      <c r="U13" s="67"/>
      <c r="V13" s="38">
        <v>33147</v>
      </c>
      <c r="W13" s="39">
        <v>0.9113</v>
      </c>
      <c r="X13" s="39">
        <v>1.0285</v>
      </c>
      <c r="Y13" s="40">
        <f t="shared" si="2"/>
        <v>-0.11395235780262514</v>
      </c>
      <c r="Z13" s="67"/>
      <c r="AA13" s="71">
        <v>33147</v>
      </c>
      <c r="AB13" s="72">
        <v>381.3</v>
      </c>
      <c r="AC13" s="72">
        <v>402.9</v>
      </c>
      <c r="AD13" s="73">
        <f t="shared" si="3"/>
        <v>-5.3611317944899373E-2</v>
      </c>
      <c r="AE13" s="67"/>
      <c r="AF13" s="71">
        <v>33147</v>
      </c>
      <c r="AG13" s="72">
        <v>83.28</v>
      </c>
      <c r="AH13" s="72">
        <v>85.16</v>
      </c>
      <c r="AI13" s="73">
        <f t="shared" si="4"/>
        <v>-2.2076092062000896E-2</v>
      </c>
      <c r="AJ13" s="67"/>
      <c r="AK13" s="74">
        <v>33177</v>
      </c>
      <c r="AL13" s="41">
        <v>8.6500000000000007E-2</v>
      </c>
      <c r="AM13" s="41">
        <f t="shared" si="11"/>
        <v>-1.6999999999999932E-3</v>
      </c>
      <c r="AN13" s="67"/>
      <c r="AO13" s="75">
        <v>33147</v>
      </c>
      <c r="AP13" s="76">
        <v>589623</v>
      </c>
      <c r="AQ13" s="80">
        <f t="shared" si="7"/>
        <v>0</v>
      </c>
      <c r="AR13" s="67"/>
      <c r="AT13" s="78"/>
      <c r="AU13" s="67"/>
      <c r="AV13" s="79">
        <v>33147</v>
      </c>
      <c r="AW13" s="76">
        <v>329562.25</v>
      </c>
      <c r="AX13" s="80">
        <f t="shared" si="8"/>
        <v>-5.8470238851979217E-2</v>
      </c>
      <c r="AY13" s="67"/>
      <c r="AZ13" s="81">
        <v>33147</v>
      </c>
      <c r="BA13" s="82">
        <v>143.85256958007813</v>
      </c>
      <c r="BB13" s="82">
        <v>172.94636535644531</v>
      </c>
      <c r="BC13" s="67"/>
      <c r="BD13" s="83">
        <v>33161</v>
      </c>
      <c r="BE13" s="42">
        <v>7542</v>
      </c>
      <c r="BF13" s="41">
        <f t="shared" si="9"/>
        <v>4.4019933554817259E-2</v>
      </c>
      <c r="BG13" s="67"/>
      <c r="BH13" s="84">
        <v>33147</v>
      </c>
      <c r="BI13" s="85">
        <v>62.584499999999998</v>
      </c>
      <c r="BJ13" s="87">
        <f t="shared" si="10"/>
        <v>-5.842518859517476E-3</v>
      </c>
      <c r="BK13" s="67"/>
      <c r="BL13" s="84">
        <v>33147</v>
      </c>
      <c r="BM13" s="86">
        <v>-14.569948</v>
      </c>
      <c r="BN13" s="67"/>
      <c r="BO13" s="88">
        <v>33147</v>
      </c>
      <c r="BP13" s="89">
        <v>1.1355</v>
      </c>
      <c r="BQ13" s="89">
        <v>1.1719999999999999</v>
      </c>
      <c r="BR13" s="90">
        <f t="shared" si="5"/>
        <v>-3.1143344709897547E-2</v>
      </c>
    </row>
    <row r="14" spans="1:70">
      <c r="A14" s="62">
        <v>33178</v>
      </c>
      <c r="B14" s="63">
        <v>33178</v>
      </c>
      <c r="C14" s="39">
        <v>28.85</v>
      </c>
      <c r="D14" s="64">
        <v>35.299999999999997</v>
      </c>
      <c r="E14" s="40">
        <f t="shared" si="0"/>
        <v>-0.18271954674220947</v>
      </c>
      <c r="F14" s="65"/>
      <c r="G14" s="63">
        <v>33178</v>
      </c>
      <c r="H14" s="39">
        <v>22.16</v>
      </c>
      <c r="I14" s="39">
        <v>30.25</v>
      </c>
      <c r="J14" s="40">
        <f t="shared" si="6"/>
        <v>-0.26743801652892563</v>
      </c>
      <c r="K14" s="67"/>
      <c r="L14" s="68">
        <v>33178</v>
      </c>
      <c r="M14" s="69">
        <v>322.2</v>
      </c>
      <c r="N14" s="69">
        <v>304</v>
      </c>
      <c r="O14" s="70">
        <f t="shared" si="1"/>
        <v>5.986842105263146E-2</v>
      </c>
      <c r="P14" s="67"/>
      <c r="Q14" s="38">
        <v>33178</v>
      </c>
      <c r="R14" s="39">
        <v>2.4449999999999998</v>
      </c>
      <c r="S14" s="39">
        <v>2.36</v>
      </c>
      <c r="T14" s="40">
        <f t="shared" si="12"/>
        <v>3.6016949152542388E-2</v>
      </c>
      <c r="U14" s="67"/>
      <c r="V14" s="38">
        <v>33178</v>
      </c>
      <c r="W14" s="39">
        <v>0.88419999999999999</v>
      </c>
      <c r="X14" s="39">
        <v>0.92900000000000005</v>
      </c>
      <c r="Y14" s="40">
        <f t="shared" si="2"/>
        <v>-4.8223896663078691E-2</v>
      </c>
      <c r="Z14" s="67"/>
      <c r="AA14" s="71">
        <v>33178</v>
      </c>
      <c r="AB14" s="72">
        <v>385.7</v>
      </c>
      <c r="AC14" s="72">
        <v>383</v>
      </c>
      <c r="AD14" s="73">
        <f t="shared" si="3"/>
        <v>7.0496083550912747E-3</v>
      </c>
      <c r="AE14" s="67"/>
      <c r="AF14" s="71">
        <v>33178</v>
      </c>
      <c r="AG14" s="72">
        <v>82.93</v>
      </c>
      <c r="AH14" s="72">
        <v>83.51</v>
      </c>
      <c r="AI14" s="73">
        <f t="shared" si="4"/>
        <v>-6.9452760148485115E-3</v>
      </c>
      <c r="AJ14" s="67"/>
      <c r="AK14" s="74">
        <v>33207</v>
      </c>
      <c r="AL14" s="41">
        <v>8.2599999999999993E-2</v>
      </c>
      <c r="AM14" s="41">
        <f t="shared" si="11"/>
        <v>-3.9000000000000146E-3</v>
      </c>
      <c r="AN14" s="67"/>
      <c r="AO14" s="75">
        <v>33178</v>
      </c>
      <c r="AP14" s="76">
        <v>587948</v>
      </c>
      <c r="AQ14" s="80">
        <f t="shared" si="7"/>
        <v>-2.840798272794598E-3</v>
      </c>
      <c r="AR14" s="67"/>
      <c r="AS14" s="94">
        <v>33178</v>
      </c>
      <c r="AT14" s="78">
        <v>0.84799999999999998</v>
      </c>
      <c r="AU14" s="67"/>
      <c r="AV14" s="79">
        <v>33178</v>
      </c>
      <c r="AW14" s="76">
        <v>328568.8</v>
      </c>
      <c r="AX14" s="80">
        <f t="shared" si="8"/>
        <v>-3.0144532633820109E-3</v>
      </c>
      <c r="AY14" s="67"/>
      <c r="AZ14" s="81">
        <v>33178</v>
      </c>
      <c r="BA14" s="82">
        <v>158.74354553222656</v>
      </c>
      <c r="BB14" s="82">
        <v>201.18106079101563</v>
      </c>
      <c r="BC14" s="67"/>
      <c r="BD14" s="83">
        <v>33192</v>
      </c>
      <c r="BE14" s="42">
        <v>7387</v>
      </c>
      <c r="BF14" s="41">
        <f t="shared" si="9"/>
        <v>-2.0551577830814072E-2</v>
      </c>
      <c r="BG14" s="67"/>
      <c r="BH14" s="84">
        <v>33178</v>
      </c>
      <c r="BI14" s="85">
        <v>61.788699999999999</v>
      </c>
      <c r="BJ14" s="87">
        <f t="shared" si="10"/>
        <v>-1.2715608497311681E-2</v>
      </c>
      <c r="BK14" s="67"/>
      <c r="BL14" s="84">
        <v>33178</v>
      </c>
      <c r="BM14" s="86">
        <v>-9.6065524999999994</v>
      </c>
      <c r="BN14" s="67"/>
      <c r="BO14" s="88">
        <v>33178</v>
      </c>
      <c r="BP14" s="89">
        <v>1.085</v>
      </c>
      <c r="BQ14" s="89">
        <v>1.1220000000000001</v>
      </c>
      <c r="BR14" s="90">
        <f t="shared" si="5"/>
        <v>-3.2976827094474248E-2</v>
      </c>
    </row>
    <row r="15" spans="1:70">
      <c r="A15" s="62">
        <v>33208</v>
      </c>
      <c r="B15" s="63">
        <v>33208</v>
      </c>
      <c r="C15" s="39">
        <v>28.44</v>
      </c>
      <c r="D15" s="64">
        <v>29.27</v>
      </c>
      <c r="E15" s="40">
        <f t="shared" si="0"/>
        <v>-2.8356679193713652E-2</v>
      </c>
      <c r="F15" s="65"/>
      <c r="G15" s="63">
        <v>33208</v>
      </c>
      <c r="H15" s="39">
        <v>26.38</v>
      </c>
      <c r="I15" s="39">
        <v>22.29</v>
      </c>
      <c r="J15" s="40">
        <f t="shared" si="6"/>
        <v>0.18349035441902206</v>
      </c>
      <c r="K15" s="67"/>
      <c r="L15" s="68">
        <v>33208</v>
      </c>
      <c r="M15" s="69">
        <v>330.2</v>
      </c>
      <c r="N15" s="69">
        <v>322.2</v>
      </c>
      <c r="O15" s="70">
        <f t="shared" si="1"/>
        <v>2.4829298572315306E-2</v>
      </c>
      <c r="P15" s="67"/>
      <c r="Q15" s="38">
        <v>33208</v>
      </c>
      <c r="R15" s="39">
        <v>1.95</v>
      </c>
      <c r="S15" s="39">
        <v>2.46</v>
      </c>
      <c r="T15" s="40">
        <f t="shared" si="12"/>
        <v>-0.20731707317073167</v>
      </c>
      <c r="U15" s="67"/>
      <c r="V15" s="38">
        <v>33208</v>
      </c>
      <c r="W15" s="39">
        <v>0.79200000000000004</v>
      </c>
      <c r="X15" s="39">
        <v>0.82569999999999999</v>
      </c>
      <c r="Y15" s="40">
        <f t="shared" si="2"/>
        <v>-4.0813854910984548E-2</v>
      </c>
      <c r="Z15" s="67"/>
      <c r="AA15" s="71">
        <v>33208</v>
      </c>
      <c r="AB15" s="72">
        <v>396.2</v>
      </c>
      <c r="AC15" s="72">
        <v>384.9</v>
      </c>
      <c r="AD15" s="73">
        <f t="shared" si="3"/>
        <v>2.9358274876591262E-2</v>
      </c>
      <c r="AE15" s="67"/>
      <c r="AF15" s="71">
        <v>33208</v>
      </c>
      <c r="AG15" s="72">
        <v>83.07</v>
      </c>
      <c r="AH15" s="72">
        <v>83.52</v>
      </c>
      <c r="AI15" s="73">
        <f t="shared" si="4"/>
        <v>-5.3879310344827624E-3</v>
      </c>
      <c r="AJ15" s="67"/>
      <c r="AK15" s="74">
        <v>33238</v>
      </c>
      <c r="AL15" s="41">
        <v>8.0799999999999997E-2</v>
      </c>
      <c r="AM15" s="41">
        <f t="shared" si="11"/>
        <v>-1.799999999999996E-3</v>
      </c>
      <c r="AN15" s="67"/>
      <c r="AO15" s="75">
        <v>33208</v>
      </c>
      <c r="AP15" s="76">
        <v>585773</v>
      </c>
      <c r="AQ15" s="80">
        <f t="shared" si="7"/>
        <v>-3.6993067414125003E-3</v>
      </c>
      <c r="AR15" s="67"/>
      <c r="AS15" s="94">
        <v>33208</v>
      </c>
      <c r="AT15" s="78">
        <v>0.83250000000000002</v>
      </c>
      <c r="AU15" s="67"/>
      <c r="AV15" s="79">
        <v>33208</v>
      </c>
      <c r="AW15" s="76">
        <v>319869.5</v>
      </c>
      <c r="AX15" s="80">
        <f t="shared" si="8"/>
        <v>-2.6476342245520534E-2</v>
      </c>
      <c r="AY15" s="67"/>
      <c r="AZ15" s="81">
        <v>33208</v>
      </c>
      <c r="BA15" s="82">
        <v>153.16242980957031</v>
      </c>
      <c r="BB15" s="82">
        <v>194.64852905273438</v>
      </c>
      <c r="BC15" s="67"/>
      <c r="BD15" s="83">
        <v>33222</v>
      </c>
      <c r="BE15" s="42">
        <v>7338</v>
      </c>
      <c r="BF15" s="41">
        <f t="shared" si="9"/>
        <v>-6.6332746717205904E-3</v>
      </c>
      <c r="BG15" s="67"/>
      <c r="BH15" s="84">
        <v>33208</v>
      </c>
      <c r="BI15" s="85">
        <v>61.3352</v>
      </c>
      <c r="BJ15" s="87">
        <f t="shared" si="10"/>
        <v>-7.3395297198354248E-3</v>
      </c>
      <c r="BK15" s="67"/>
      <c r="BL15" s="84">
        <v>33208</v>
      </c>
      <c r="BM15" s="86">
        <v>-0.33014079000000002</v>
      </c>
      <c r="BN15" s="67"/>
      <c r="BO15" s="88">
        <v>33208</v>
      </c>
      <c r="BP15" s="89">
        <v>1.1685000000000001</v>
      </c>
      <c r="BQ15" s="89">
        <v>1.0900000000000001</v>
      </c>
      <c r="BR15" s="90">
        <f t="shared" si="5"/>
        <v>7.2018348623853257E-2</v>
      </c>
    </row>
    <row r="16" spans="1:70">
      <c r="A16" s="62">
        <v>33239</v>
      </c>
      <c r="B16" s="63">
        <v>33239</v>
      </c>
      <c r="C16" s="39">
        <v>21.54</v>
      </c>
      <c r="D16" s="64">
        <v>28.07</v>
      </c>
      <c r="E16" s="40">
        <f t="shared" si="0"/>
        <v>-0.23263270395439972</v>
      </c>
      <c r="F16" s="65"/>
      <c r="G16" s="63">
        <v>33239</v>
      </c>
      <c r="H16" s="39">
        <v>20.91</v>
      </c>
      <c r="I16" s="39">
        <v>26.62</v>
      </c>
      <c r="J16" s="40">
        <f t="shared" si="6"/>
        <v>-0.21450037565740043</v>
      </c>
      <c r="K16" s="67"/>
      <c r="L16" s="68">
        <v>33239</v>
      </c>
      <c r="M16" s="69">
        <v>343.9</v>
      </c>
      <c r="N16" s="69">
        <v>330.2</v>
      </c>
      <c r="O16" s="70">
        <f t="shared" si="1"/>
        <v>4.1490006056935202E-2</v>
      </c>
      <c r="P16" s="67"/>
      <c r="Q16" s="38">
        <v>33239</v>
      </c>
      <c r="R16" s="39">
        <v>1.38</v>
      </c>
      <c r="S16" s="39">
        <v>1.92</v>
      </c>
      <c r="T16" s="40">
        <f t="shared" si="12"/>
        <v>-0.28125</v>
      </c>
      <c r="U16" s="67"/>
      <c r="V16" s="38">
        <v>33239</v>
      </c>
      <c r="W16" s="39">
        <v>0.63039999999999996</v>
      </c>
      <c r="X16" s="39">
        <v>0.74750000000000005</v>
      </c>
      <c r="Y16" s="40">
        <f t="shared" si="2"/>
        <v>-0.15665551839464897</v>
      </c>
      <c r="Z16" s="67"/>
      <c r="AA16" s="71">
        <v>33239</v>
      </c>
      <c r="AB16" s="72">
        <v>368.5</v>
      </c>
      <c r="AC16" s="72">
        <v>395.1</v>
      </c>
      <c r="AD16" s="73">
        <f t="shared" si="3"/>
        <v>-6.7324727916983074E-2</v>
      </c>
      <c r="AE16" s="67"/>
      <c r="AF16" s="71">
        <v>33239</v>
      </c>
      <c r="AG16" s="72">
        <v>82</v>
      </c>
      <c r="AH16" s="72">
        <v>83.37</v>
      </c>
      <c r="AI16" s="73">
        <f t="shared" si="4"/>
        <v>-1.6432769581384288E-2</v>
      </c>
      <c r="AJ16" s="67"/>
      <c r="AK16" s="74">
        <v>33269</v>
      </c>
      <c r="AL16" s="41">
        <v>8.0299999999999996E-2</v>
      </c>
      <c r="AM16" s="41">
        <f t="shared" si="11"/>
        <v>-5.0000000000000044E-4</v>
      </c>
      <c r="AN16" s="67"/>
      <c r="AO16" s="75">
        <v>33239</v>
      </c>
      <c r="AP16" s="76">
        <v>585691.5</v>
      </c>
      <c r="AQ16" s="80">
        <f t="shared" si="7"/>
        <v>-1.3913239428930968E-4</v>
      </c>
      <c r="AR16" s="67"/>
      <c r="AS16" s="94">
        <v>33239</v>
      </c>
      <c r="AT16" s="78">
        <v>0.8125</v>
      </c>
      <c r="AU16" s="67"/>
      <c r="AV16" s="79">
        <v>33239</v>
      </c>
      <c r="AW16" s="76">
        <v>307519</v>
      </c>
      <c r="AX16" s="80">
        <f t="shared" si="8"/>
        <v>-3.8611058572324053E-2</v>
      </c>
      <c r="AY16" s="67"/>
      <c r="AZ16" s="81">
        <v>33239</v>
      </c>
      <c r="BA16" s="82">
        <v>379.24978637695313</v>
      </c>
      <c r="BB16" s="82">
        <v>360.03280639648438</v>
      </c>
      <c r="BC16" s="67"/>
      <c r="BD16" s="83">
        <v>33253</v>
      </c>
      <c r="BE16" s="42">
        <v>7500</v>
      </c>
      <c r="BF16" s="41">
        <f t="shared" si="9"/>
        <v>2.2076860179885527E-2</v>
      </c>
      <c r="BG16" s="67"/>
      <c r="BH16" s="84">
        <v>33239</v>
      </c>
      <c r="BI16" s="85">
        <v>61.1355</v>
      </c>
      <c r="BJ16" s="87">
        <f t="shared" si="10"/>
        <v>-3.2558791688948041E-3</v>
      </c>
      <c r="BK16" s="67"/>
      <c r="BL16" s="84">
        <v>33239</v>
      </c>
      <c r="BM16" s="86">
        <v>0.29694748999999998</v>
      </c>
      <c r="BN16" s="67"/>
      <c r="BO16" s="88">
        <v>33239</v>
      </c>
      <c r="BP16" s="89">
        <v>1.0549999999999999</v>
      </c>
      <c r="BQ16" s="89">
        <v>1.1625000000000001</v>
      </c>
      <c r="BR16" s="90">
        <f t="shared" si="5"/>
        <v>-9.2473118279570055E-2</v>
      </c>
    </row>
    <row r="17" spans="1:70">
      <c r="A17" s="62">
        <v>33270</v>
      </c>
      <c r="B17" s="63">
        <v>33270</v>
      </c>
      <c r="C17" s="39">
        <v>19.16</v>
      </c>
      <c r="D17" s="64">
        <v>21.87</v>
      </c>
      <c r="E17" s="40">
        <f t="shared" si="0"/>
        <v>-0.12391403749428442</v>
      </c>
      <c r="F17" s="65"/>
      <c r="G17" s="63">
        <v>33270</v>
      </c>
      <c r="H17" s="39">
        <v>21.23</v>
      </c>
      <c r="I17" s="39">
        <v>21.04</v>
      </c>
      <c r="J17" s="40">
        <f t="shared" si="6"/>
        <v>9.0304182509506337E-3</v>
      </c>
      <c r="K17" s="67"/>
      <c r="L17" s="68">
        <v>33270</v>
      </c>
      <c r="M17" s="69">
        <v>367.1</v>
      </c>
      <c r="N17" s="69">
        <v>343.9</v>
      </c>
      <c r="O17" s="70">
        <f t="shared" si="1"/>
        <v>6.7461471357953107E-2</v>
      </c>
      <c r="P17" s="67"/>
      <c r="Q17" s="38">
        <v>33270</v>
      </c>
      <c r="R17" s="39">
        <v>1.373</v>
      </c>
      <c r="S17" s="39">
        <v>1.38</v>
      </c>
      <c r="T17" s="40">
        <f t="shared" si="12"/>
        <v>-5.0724637681158757E-3</v>
      </c>
      <c r="U17" s="67"/>
      <c r="V17" s="38">
        <v>33270</v>
      </c>
      <c r="W17" s="39">
        <v>0.55220000000000002</v>
      </c>
      <c r="X17" s="39">
        <v>0.58599999999999997</v>
      </c>
      <c r="Y17" s="40">
        <f t="shared" si="2"/>
        <v>-5.7679180887371895E-2</v>
      </c>
      <c r="Z17" s="67"/>
      <c r="AA17" s="71">
        <v>33270</v>
      </c>
      <c r="AB17" s="72">
        <v>369</v>
      </c>
      <c r="AC17" s="72">
        <v>371.5</v>
      </c>
      <c r="AD17" s="73">
        <f t="shared" si="3"/>
        <v>-6.7294751009421283E-3</v>
      </c>
      <c r="AE17" s="67"/>
      <c r="AF17" s="71">
        <v>33270</v>
      </c>
      <c r="AG17" s="72">
        <v>84.08</v>
      </c>
      <c r="AH17" s="72">
        <v>82.18</v>
      </c>
      <c r="AI17" s="73">
        <f t="shared" si="4"/>
        <v>2.311998053054265E-2</v>
      </c>
      <c r="AJ17" s="67"/>
      <c r="AK17" s="74">
        <v>33297</v>
      </c>
      <c r="AL17" s="41">
        <v>8.0199999999999994E-2</v>
      </c>
      <c r="AM17" s="41">
        <f t="shared" si="11"/>
        <v>-1.0000000000000286E-4</v>
      </c>
      <c r="AN17" s="67"/>
      <c r="AO17" s="75">
        <v>33270</v>
      </c>
      <c r="AP17" s="76">
        <v>584302</v>
      </c>
      <c r="AQ17" s="80">
        <f t="shared" si="7"/>
        <v>-2.3724093656813938E-3</v>
      </c>
      <c r="AR17" s="67"/>
      <c r="AS17" s="94">
        <v>33270</v>
      </c>
      <c r="AT17" s="78">
        <v>0.84</v>
      </c>
      <c r="AU17" s="67"/>
      <c r="AV17" s="79">
        <v>33270</v>
      </c>
      <c r="AW17" s="76">
        <v>313742.25</v>
      </c>
      <c r="AX17" s="80">
        <f t="shared" si="8"/>
        <v>2.0236960968265327E-2</v>
      </c>
      <c r="AY17" s="67"/>
      <c r="AZ17" s="81">
        <v>33270</v>
      </c>
      <c r="BA17" s="82">
        <v>339.3580322265625</v>
      </c>
      <c r="BB17" s="82">
        <v>253.7916259765625</v>
      </c>
      <c r="BC17" s="67"/>
      <c r="BD17" s="83">
        <v>33284</v>
      </c>
      <c r="BE17" s="42">
        <v>7637</v>
      </c>
      <c r="BF17" s="41">
        <f t="shared" si="9"/>
        <v>1.8266666666666653E-2</v>
      </c>
      <c r="BG17" s="67"/>
      <c r="BH17" s="84">
        <v>33270</v>
      </c>
      <c r="BI17" s="85">
        <v>60.683799999999998</v>
      </c>
      <c r="BJ17" s="87">
        <f t="shared" si="10"/>
        <v>-7.3885058599341136E-3</v>
      </c>
      <c r="BK17" s="67"/>
      <c r="BL17" s="84">
        <v>33270</v>
      </c>
      <c r="BM17" s="86">
        <v>10.052788</v>
      </c>
      <c r="BN17" s="67"/>
      <c r="BO17" s="88">
        <v>33270</v>
      </c>
      <c r="BP17" s="89">
        <v>1.115</v>
      </c>
      <c r="BQ17" s="89">
        <v>1.0575000000000001</v>
      </c>
      <c r="BR17" s="90">
        <f t="shared" si="5"/>
        <v>5.4373522458628809E-2</v>
      </c>
    </row>
    <row r="18" spans="1:70">
      <c r="A18" s="62">
        <v>33298</v>
      </c>
      <c r="B18" s="63">
        <v>33298</v>
      </c>
      <c r="C18" s="39">
        <v>19.63</v>
      </c>
      <c r="D18" s="64">
        <v>19.05</v>
      </c>
      <c r="E18" s="40">
        <f t="shared" si="0"/>
        <v>3.0446194225721701E-2</v>
      </c>
      <c r="F18" s="65"/>
      <c r="G18" s="63">
        <v>33298</v>
      </c>
      <c r="H18" s="39">
        <v>16.88</v>
      </c>
      <c r="I18" s="39">
        <v>21.23</v>
      </c>
      <c r="J18" s="40">
        <f t="shared" si="6"/>
        <v>-0.20489872821479049</v>
      </c>
      <c r="K18" s="67"/>
      <c r="L18" s="68">
        <v>33298</v>
      </c>
      <c r="M18" s="69">
        <v>375.2</v>
      </c>
      <c r="N18" s="69">
        <v>367.1</v>
      </c>
      <c r="O18" s="70">
        <f t="shared" si="1"/>
        <v>2.2064832470716222E-2</v>
      </c>
      <c r="P18" s="67"/>
      <c r="Q18" s="38">
        <v>33298</v>
      </c>
      <c r="R18" s="39">
        <v>1.405</v>
      </c>
      <c r="S18" s="39">
        <v>1.37</v>
      </c>
      <c r="T18" s="40">
        <f t="shared" si="12"/>
        <v>2.5547445255474477E-2</v>
      </c>
      <c r="U18" s="67"/>
      <c r="V18" s="38">
        <v>33298</v>
      </c>
      <c r="W18" s="39">
        <v>0.54810000000000003</v>
      </c>
      <c r="X18" s="39">
        <v>0.51319999999999999</v>
      </c>
      <c r="Y18" s="40">
        <f t="shared" si="2"/>
        <v>6.8004676539360931E-2</v>
      </c>
      <c r="Z18" s="67"/>
      <c r="AA18" s="71">
        <v>33298</v>
      </c>
      <c r="AB18" s="72">
        <v>359.4</v>
      </c>
      <c r="AC18" s="72">
        <v>368.5</v>
      </c>
      <c r="AD18" s="73">
        <f t="shared" si="3"/>
        <v>-2.4694708276797872E-2</v>
      </c>
      <c r="AE18" s="67"/>
      <c r="AF18" s="71">
        <v>33298</v>
      </c>
      <c r="AG18" s="72">
        <v>92.02</v>
      </c>
      <c r="AH18" s="72">
        <v>84.71</v>
      </c>
      <c r="AI18" s="73">
        <f t="shared" si="4"/>
        <v>8.6294416243654748E-2</v>
      </c>
      <c r="AJ18" s="67"/>
      <c r="AK18" s="74">
        <v>33328</v>
      </c>
      <c r="AL18" s="41">
        <v>8.0500000000000002E-2</v>
      </c>
      <c r="AM18" s="41">
        <f t="shared" si="11"/>
        <v>3.0000000000000859E-4</v>
      </c>
      <c r="AN18" s="67"/>
      <c r="AO18" s="75">
        <v>33298</v>
      </c>
      <c r="AP18" s="76">
        <v>575631.4</v>
      </c>
      <c r="AQ18" s="80">
        <f t="shared" si="7"/>
        <v>-1.4839244089528969E-2</v>
      </c>
      <c r="AR18" s="67"/>
      <c r="AS18" s="94">
        <v>33298</v>
      </c>
      <c r="AT18" s="78">
        <v>0.83</v>
      </c>
      <c r="AU18" s="67"/>
      <c r="AV18" s="79">
        <v>33298</v>
      </c>
      <c r="AW18" s="76">
        <v>319746</v>
      </c>
      <c r="AX18" s="80">
        <f t="shared" si="8"/>
        <v>1.913593084769416E-2</v>
      </c>
      <c r="AY18" s="67"/>
      <c r="AZ18" s="81">
        <v>33298</v>
      </c>
      <c r="BA18" s="82">
        <v>148.61831665039063</v>
      </c>
      <c r="BB18" s="82">
        <v>133.98248291015625</v>
      </c>
      <c r="BC18" s="67"/>
      <c r="BD18" s="83">
        <v>33312</v>
      </c>
      <c r="BE18" s="42">
        <v>7546</v>
      </c>
      <c r="BF18" s="41">
        <f t="shared" si="9"/>
        <v>-1.1915673693858819E-2</v>
      </c>
      <c r="BG18" s="67"/>
      <c r="BH18" s="84">
        <v>33298</v>
      </c>
      <c r="BI18" s="85">
        <v>60.334600000000002</v>
      </c>
      <c r="BJ18" s="87">
        <f t="shared" si="10"/>
        <v>-5.754418806996231E-3</v>
      </c>
      <c r="BK18" s="67"/>
      <c r="BL18" s="84">
        <v>33298</v>
      </c>
      <c r="BM18" s="86">
        <v>17.992812000000001</v>
      </c>
      <c r="BN18" s="67"/>
      <c r="BO18" s="88">
        <v>33298</v>
      </c>
      <c r="BP18" s="89">
        <v>1.0549999999999999</v>
      </c>
      <c r="BQ18" s="89">
        <v>1.103</v>
      </c>
      <c r="BR18" s="90">
        <f t="shared" si="5"/>
        <v>-4.3517679057117009E-2</v>
      </c>
    </row>
    <row r="19" spans="1:70">
      <c r="A19" s="62">
        <v>33329</v>
      </c>
      <c r="B19" s="63">
        <v>33329</v>
      </c>
      <c r="C19" s="39">
        <v>20.96</v>
      </c>
      <c r="D19" s="64">
        <v>19.55</v>
      </c>
      <c r="E19" s="40">
        <f t="shared" si="0"/>
        <v>7.2122762148337571E-2</v>
      </c>
      <c r="F19" s="65"/>
      <c r="G19" s="63">
        <v>33329</v>
      </c>
      <c r="H19" s="39">
        <v>18.239999999999998</v>
      </c>
      <c r="I19" s="39">
        <v>17.420000000000002</v>
      </c>
      <c r="J19" s="40">
        <f t="shared" si="6"/>
        <v>4.7072330654420069E-2</v>
      </c>
      <c r="K19" s="67"/>
      <c r="L19" s="68">
        <v>33329</v>
      </c>
      <c r="M19" s="69">
        <v>375.4</v>
      </c>
      <c r="N19" s="69">
        <v>375.2</v>
      </c>
      <c r="O19" s="70">
        <f t="shared" si="1"/>
        <v>5.3304904051176827E-4</v>
      </c>
      <c r="P19" s="67"/>
      <c r="Q19" s="38">
        <v>33329</v>
      </c>
      <c r="R19" s="39">
        <v>1.375</v>
      </c>
      <c r="S19" s="39">
        <v>1.405</v>
      </c>
      <c r="T19" s="40">
        <f t="shared" si="12"/>
        <v>-2.1352313167259829E-2</v>
      </c>
      <c r="U19" s="67"/>
      <c r="V19" s="38">
        <v>33329</v>
      </c>
      <c r="W19" s="39">
        <v>0.54190000000000005</v>
      </c>
      <c r="X19" s="39">
        <v>0.53369999999999995</v>
      </c>
      <c r="Y19" s="40">
        <f t="shared" si="2"/>
        <v>1.5364436949597327E-2</v>
      </c>
      <c r="Z19" s="67"/>
      <c r="AA19" s="71">
        <v>33329</v>
      </c>
      <c r="AB19" s="72">
        <v>357.7</v>
      </c>
      <c r="AC19" s="72">
        <v>359.1</v>
      </c>
      <c r="AD19" s="73">
        <f t="shared" si="3"/>
        <v>-3.8986354775829568E-3</v>
      </c>
      <c r="AE19" s="67"/>
      <c r="AF19" s="71">
        <v>33329</v>
      </c>
      <c r="AG19" s="72">
        <v>91.54</v>
      </c>
      <c r="AH19" s="72">
        <v>91.32</v>
      </c>
      <c r="AI19" s="73">
        <f t="shared" si="4"/>
        <v>2.4091108190977817E-3</v>
      </c>
      <c r="AJ19" s="67"/>
      <c r="AK19" s="74">
        <v>33358</v>
      </c>
      <c r="AL19" s="41">
        <v>8.0199999999999994E-2</v>
      </c>
      <c r="AM19" s="41">
        <f t="shared" si="11"/>
        <v>-3.0000000000000859E-4</v>
      </c>
      <c r="AN19" s="67"/>
      <c r="AO19" s="75">
        <v>33329</v>
      </c>
      <c r="AP19" s="76">
        <v>568482</v>
      </c>
      <c r="AQ19" s="80">
        <f t="shared" si="7"/>
        <v>-1.2420100779769849E-2</v>
      </c>
      <c r="AR19" s="67"/>
      <c r="AS19" s="94">
        <v>33329</v>
      </c>
      <c r="AT19" s="78">
        <v>0.83750000000000002</v>
      </c>
      <c r="AU19" s="67"/>
      <c r="AV19" s="79">
        <v>33329</v>
      </c>
      <c r="AW19" s="76">
        <v>324480.5</v>
      </c>
      <c r="AX19" s="80">
        <f t="shared" si="8"/>
        <v>1.4807065608326564E-2</v>
      </c>
      <c r="AY19" s="67"/>
      <c r="AZ19" s="81">
        <v>33329</v>
      </c>
      <c r="BA19" s="82">
        <v>97.760009765625</v>
      </c>
      <c r="BB19" s="82">
        <v>100.77496337890625</v>
      </c>
      <c r="BC19" s="67"/>
      <c r="BD19" s="83">
        <v>33343</v>
      </c>
      <c r="BE19" s="42">
        <v>7509</v>
      </c>
      <c r="BF19" s="41">
        <f t="shared" si="9"/>
        <v>-4.9032600053008357E-3</v>
      </c>
      <c r="BG19" s="67"/>
      <c r="BH19" s="84">
        <v>33329</v>
      </c>
      <c r="BI19" s="85">
        <v>60.4938</v>
      </c>
      <c r="BJ19" s="87">
        <f t="shared" si="10"/>
        <v>2.6386186367357567E-3</v>
      </c>
      <c r="BK19" s="67"/>
      <c r="BL19" s="84">
        <v>33329</v>
      </c>
      <c r="BM19" s="86">
        <v>10.540456000000001</v>
      </c>
      <c r="BN19" s="67"/>
      <c r="BO19" s="88">
        <v>33329</v>
      </c>
      <c r="BP19" s="89">
        <v>1.0509999999999999</v>
      </c>
      <c r="BQ19" s="89">
        <v>1.0569999999999999</v>
      </c>
      <c r="BR19" s="90">
        <f t="shared" si="5"/>
        <v>-5.6764427625355385E-3</v>
      </c>
    </row>
    <row r="20" spans="1:70">
      <c r="A20" s="62">
        <v>33359</v>
      </c>
      <c r="B20" s="63">
        <v>33359</v>
      </c>
      <c r="C20" s="39">
        <v>21.13</v>
      </c>
      <c r="D20" s="64">
        <v>20.86</v>
      </c>
      <c r="E20" s="40">
        <f t="shared" si="0"/>
        <v>1.2943432406519628E-2</v>
      </c>
      <c r="F20" s="65"/>
      <c r="G20" s="63">
        <v>33359</v>
      </c>
      <c r="H20" s="39">
        <v>15.93</v>
      </c>
      <c r="I20" s="39">
        <v>17.77</v>
      </c>
      <c r="J20" s="40">
        <f t="shared" si="6"/>
        <v>-0.10354530106921778</v>
      </c>
      <c r="K20" s="67"/>
      <c r="L20" s="68">
        <v>33359</v>
      </c>
      <c r="M20" s="69">
        <v>389.8</v>
      </c>
      <c r="N20" s="69">
        <v>375.4</v>
      </c>
      <c r="O20" s="70">
        <f t="shared" si="1"/>
        <v>3.8359083644113001E-2</v>
      </c>
      <c r="P20" s="67"/>
      <c r="Q20" s="38">
        <v>33359</v>
      </c>
      <c r="R20" s="39">
        <v>1.333</v>
      </c>
      <c r="S20" s="39">
        <v>1.3779999999999999</v>
      </c>
      <c r="T20" s="40">
        <f t="shared" si="12"/>
        <v>-3.2656023222060959E-2</v>
      </c>
      <c r="U20" s="67"/>
      <c r="V20" s="38">
        <v>33359</v>
      </c>
      <c r="W20" s="39">
        <v>0.56740000000000002</v>
      </c>
      <c r="X20" s="39">
        <v>0.54520000000000002</v>
      </c>
      <c r="Y20" s="40">
        <f t="shared" si="2"/>
        <v>4.0719002201027088E-2</v>
      </c>
      <c r="Z20" s="67"/>
      <c r="AA20" s="71">
        <v>33359</v>
      </c>
      <c r="AB20" s="72">
        <v>364.8</v>
      </c>
      <c r="AC20" s="72">
        <v>358.6</v>
      </c>
      <c r="AD20" s="73">
        <f t="shared" si="3"/>
        <v>1.7289459007250318E-2</v>
      </c>
      <c r="AE20" s="67"/>
      <c r="AF20" s="71">
        <v>33359</v>
      </c>
      <c r="AG20" s="72">
        <v>93.13</v>
      </c>
      <c r="AH20" s="72">
        <v>91.17</v>
      </c>
      <c r="AI20" s="73">
        <f t="shared" si="4"/>
        <v>2.1498299879346261E-2</v>
      </c>
      <c r="AJ20" s="67"/>
      <c r="AK20" s="74">
        <v>33389</v>
      </c>
      <c r="AL20" s="41">
        <v>8.0600000000000005E-2</v>
      </c>
      <c r="AM20" s="41">
        <f t="shared" si="11"/>
        <v>4.0000000000001146E-4</v>
      </c>
      <c r="AN20" s="67"/>
      <c r="AO20" s="92">
        <v>33359</v>
      </c>
      <c r="AP20" s="76">
        <v>568482.80000000005</v>
      </c>
      <c r="AQ20" s="80">
        <f t="shared" si="7"/>
        <v>1.4072565184264363E-6</v>
      </c>
      <c r="AR20" s="67"/>
      <c r="AS20" s="97">
        <v>33359</v>
      </c>
      <c r="AT20" s="78">
        <v>0.87319999999999998</v>
      </c>
      <c r="AU20" s="67"/>
      <c r="AV20" s="93">
        <v>33359</v>
      </c>
      <c r="AW20" s="76">
        <v>328694.40000000002</v>
      </c>
      <c r="AX20" s="80">
        <f t="shared" si="8"/>
        <v>1.2986604742041497E-2</v>
      </c>
      <c r="AY20" s="67"/>
      <c r="AZ20" s="81">
        <v>33359</v>
      </c>
      <c r="BA20" s="82">
        <v>88.569023132324219</v>
      </c>
      <c r="BB20" s="82">
        <v>95.457389831542969</v>
      </c>
      <c r="BC20" s="67"/>
      <c r="BD20" s="83">
        <v>33373</v>
      </c>
      <c r="BE20" s="42">
        <v>7409</v>
      </c>
      <c r="BF20" s="41">
        <f t="shared" si="9"/>
        <v>-1.3317352510320957E-2</v>
      </c>
      <c r="BG20" s="67"/>
      <c r="BH20" s="84">
        <v>33359</v>
      </c>
      <c r="BI20" s="85">
        <v>61.063299999999998</v>
      </c>
      <c r="BJ20" s="87">
        <f t="shared" si="10"/>
        <v>9.414187900247617E-3</v>
      </c>
      <c r="BK20" s="67"/>
      <c r="BL20" s="84">
        <v>33359</v>
      </c>
      <c r="BM20" s="86">
        <v>14.375657</v>
      </c>
      <c r="BN20" s="67"/>
      <c r="BO20" s="88">
        <v>33359</v>
      </c>
      <c r="BP20" s="89">
        <v>0.96399999999999997</v>
      </c>
      <c r="BQ20" s="89">
        <v>1.0485</v>
      </c>
      <c r="BR20" s="90">
        <f t="shared" si="5"/>
        <v>-8.0591320934668587E-2</v>
      </c>
    </row>
    <row r="21" spans="1:70">
      <c r="A21" s="62">
        <v>33390</v>
      </c>
      <c r="B21" s="63">
        <v>33390</v>
      </c>
      <c r="C21" s="39">
        <v>20.56</v>
      </c>
      <c r="D21" s="64">
        <v>21.18</v>
      </c>
      <c r="E21" s="40">
        <f t="shared" si="0"/>
        <v>-2.9272898961284266E-2</v>
      </c>
      <c r="F21" s="65"/>
      <c r="G21" s="63">
        <v>33390</v>
      </c>
      <c r="H21" s="39">
        <v>19.55</v>
      </c>
      <c r="I21" s="39">
        <v>16.87</v>
      </c>
      <c r="J21" s="40">
        <f t="shared" si="6"/>
        <v>0.15886188500296372</v>
      </c>
      <c r="K21" s="67"/>
      <c r="L21" s="68">
        <v>33390</v>
      </c>
      <c r="M21" s="69">
        <v>371.2</v>
      </c>
      <c r="N21" s="69">
        <v>389.8</v>
      </c>
      <c r="O21" s="70">
        <f t="shared" si="1"/>
        <v>-4.7716777834787116E-2</v>
      </c>
      <c r="P21" s="67"/>
      <c r="Q21" s="38">
        <v>33390</v>
      </c>
      <c r="R21" s="39">
        <v>1.208</v>
      </c>
      <c r="S21" s="39">
        <v>1.335</v>
      </c>
      <c r="T21" s="40">
        <f t="shared" si="12"/>
        <v>-9.513108614232213E-2</v>
      </c>
      <c r="U21" s="67"/>
      <c r="V21" s="38">
        <v>33390</v>
      </c>
      <c r="W21" s="39">
        <v>0.55779999999999996</v>
      </c>
      <c r="X21" s="39">
        <v>0.57550000000000001</v>
      </c>
      <c r="Y21" s="40">
        <f t="shared" si="2"/>
        <v>-3.0755864465682126E-2</v>
      </c>
      <c r="Z21" s="67"/>
      <c r="AA21" s="71">
        <v>33390</v>
      </c>
      <c r="AB21" s="72">
        <v>370</v>
      </c>
      <c r="AC21" s="72">
        <v>366.8</v>
      </c>
      <c r="AD21" s="73">
        <f t="shared" si="3"/>
        <v>8.7241003271536499E-3</v>
      </c>
      <c r="AE21" s="67"/>
      <c r="AF21" s="71">
        <v>33390</v>
      </c>
      <c r="AG21" s="72">
        <v>96.06</v>
      </c>
      <c r="AH21" s="72">
        <v>93.73</v>
      </c>
      <c r="AI21" s="73">
        <f t="shared" si="4"/>
        <v>2.4858636509121901E-2</v>
      </c>
      <c r="AJ21" s="67"/>
      <c r="AK21" s="74">
        <v>33419</v>
      </c>
      <c r="AL21" s="41">
        <v>8.2400000000000001E-2</v>
      </c>
      <c r="AM21" s="41">
        <f t="shared" si="11"/>
        <v>1.799999999999996E-3</v>
      </c>
      <c r="AN21" s="67"/>
      <c r="AO21" s="75">
        <v>33390</v>
      </c>
      <c r="AP21" s="76">
        <v>568482.75</v>
      </c>
      <c r="AQ21" s="80">
        <f t="shared" si="7"/>
        <v>-8.7953408667296173E-8</v>
      </c>
      <c r="AR21" s="67"/>
      <c r="AS21" s="94">
        <v>33390</v>
      </c>
      <c r="AT21" s="78">
        <v>0.89249999999999996</v>
      </c>
      <c r="AU21" s="67"/>
      <c r="AV21" s="79">
        <v>33390</v>
      </c>
      <c r="AW21" s="76">
        <v>336155</v>
      </c>
      <c r="AX21" s="80">
        <f t="shared" si="8"/>
        <v>2.2697679059941356E-2</v>
      </c>
      <c r="AY21" s="67"/>
      <c r="AZ21" s="81">
        <v>33390</v>
      </c>
      <c r="BA21" s="82">
        <v>87.733833312988281</v>
      </c>
      <c r="BB21" s="82">
        <v>99.798851013183594</v>
      </c>
      <c r="BC21" s="67"/>
      <c r="BD21" s="83">
        <v>33404</v>
      </c>
      <c r="BE21" s="42">
        <v>7320</v>
      </c>
      <c r="BF21" s="41">
        <f t="shared" si="9"/>
        <v>-1.2012417330274028E-2</v>
      </c>
      <c r="BG21" s="67"/>
      <c r="BH21" s="84">
        <v>33390</v>
      </c>
      <c r="BI21" s="85">
        <v>61.558100000000003</v>
      </c>
      <c r="BJ21" s="87">
        <f t="shared" si="10"/>
        <v>8.1030668175483545E-3</v>
      </c>
      <c r="BK21" s="67"/>
      <c r="BL21" s="84">
        <v>33390</v>
      </c>
      <c r="BM21" s="86">
        <v>16.559688000000001</v>
      </c>
      <c r="BN21" s="67"/>
      <c r="BO21" s="88">
        <v>33390</v>
      </c>
      <c r="BP21" s="89">
        <v>1.0015000000000001</v>
      </c>
      <c r="BQ21" s="89">
        <v>0.96199999999999997</v>
      </c>
      <c r="BR21" s="90">
        <f t="shared" si="5"/>
        <v>4.1060291060291076E-2</v>
      </c>
    </row>
    <row r="22" spans="1:70">
      <c r="A22" s="62">
        <v>33420</v>
      </c>
      <c r="B22" s="63">
        <v>33420</v>
      </c>
      <c r="C22" s="39">
        <v>21.68</v>
      </c>
      <c r="D22" s="64">
        <v>20.47</v>
      </c>
      <c r="E22" s="40">
        <f t="shared" si="0"/>
        <v>5.9110893991206614E-2</v>
      </c>
      <c r="F22" s="65"/>
      <c r="G22" s="63">
        <v>33420</v>
      </c>
      <c r="H22" s="39">
        <v>15.18</v>
      </c>
      <c r="I22" s="39">
        <v>18.64</v>
      </c>
      <c r="J22" s="40">
        <f t="shared" si="6"/>
        <v>-0.18562231759656656</v>
      </c>
      <c r="K22" s="67"/>
      <c r="L22" s="68">
        <v>33420</v>
      </c>
      <c r="M22" s="69">
        <v>387.8</v>
      </c>
      <c r="N22" s="69">
        <v>371.2</v>
      </c>
      <c r="O22" s="70">
        <f t="shared" si="1"/>
        <v>4.4719827586206851E-2</v>
      </c>
      <c r="P22" s="67"/>
      <c r="Q22" s="38">
        <v>33420</v>
      </c>
      <c r="R22" s="39">
        <v>1.26</v>
      </c>
      <c r="S22" s="39">
        <v>1.19</v>
      </c>
      <c r="T22" s="40">
        <f t="shared" si="12"/>
        <v>5.8823529411764719E-2</v>
      </c>
      <c r="U22" s="67"/>
      <c r="V22" s="38">
        <v>33420</v>
      </c>
      <c r="W22" s="39">
        <v>0.60660000000000003</v>
      </c>
      <c r="X22" s="39">
        <v>0.56720000000000004</v>
      </c>
      <c r="Y22" s="40">
        <f t="shared" si="2"/>
        <v>6.9464033850493712E-2</v>
      </c>
      <c r="Z22" s="67"/>
      <c r="AA22" s="71">
        <v>33420</v>
      </c>
      <c r="AB22" s="72">
        <v>370.8</v>
      </c>
      <c r="AC22" s="72">
        <v>370.2</v>
      </c>
      <c r="AD22" s="73">
        <f t="shared" si="3"/>
        <v>1.6207455429497752E-3</v>
      </c>
      <c r="AE22" s="67"/>
      <c r="AF22" s="71">
        <v>33420</v>
      </c>
      <c r="AG22" s="72">
        <v>93.49</v>
      </c>
      <c r="AH22" s="72">
        <v>96.07</v>
      </c>
      <c r="AI22" s="73">
        <f t="shared" si="4"/>
        <v>-2.6855417924430136E-2</v>
      </c>
      <c r="AJ22" s="67"/>
      <c r="AK22" s="74">
        <v>33450</v>
      </c>
      <c r="AL22" s="41">
        <v>8.199999999999999E-2</v>
      </c>
      <c r="AM22" s="41">
        <f t="shared" si="11"/>
        <v>-4.0000000000001146E-4</v>
      </c>
      <c r="AN22" s="67"/>
      <c r="AO22" s="75">
        <v>33420</v>
      </c>
      <c r="AP22" s="76">
        <v>568486.75</v>
      </c>
      <c r="AQ22" s="80">
        <f t="shared" si="7"/>
        <v>7.0362733082252049E-6</v>
      </c>
      <c r="AR22" s="67"/>
      <c r="AS22" s="94">
        <v>33420</v>
      </c>
      <c r="AT22" s="78">
        <v>0.88</v>
      </c>
      <c r="AU22" s="67"/>
      <c r="AV22" s="79">
        <v>33420</v>
      </c>
      <c r="AW22" s="76">
        <v>331953</v>
      </c>
      <c r="AX22" s="80">
        <f t="shared" si="8"/>
        <v>-1.2500185926135221E-2</v>
      </c>
      <c r="AY22" s="67"/>
      <c r="AZ22" s="81">
        <v>33420</v>
      </c>
      <c r="BA22" s="82">
        <v>115.18467712402344</v>
      </c>
      <c r="BB22" s="82">
        <v>144.65106201171875</v>
      </c>
      <c r="BC22" s="67"/>
      <c r="BD22" s="83">
        <v>33434</v>
      </c>
      <c r="BE22" s="42">
        <v>7347</v>
      </c>
      <c r="BF22" s="41">
        <f t="shared" si="9"/>
        <v>3.6885245901638886E-3</v>
      </c>
      <c r="BG22" s="67"/>
      <c r="BH22" s="84">
        <v>33420</v>
      </c>
      <c r="BI22" s="85">
        <v>61.730499999999999</v>
      </c>
      <c r="BJ22" s="87">
        <f t="shared" si="10"/>
        <v>2.8006062565282264E-3</v>
      </c>
      <c r="BK22" s="67"/>
      <c r="BL22" s="84">
        <v>33420</v>
      </c>
      <c r="BM22" s="86">
        <v>8.0864536000000005</v>
      </c>
      <c r="BN22" s="67"/>
      <c r="BO22" s="88">
        <v>33420</v>
      </c>
      <c r="BP22" s="89">
        <v>1.008</v>
      </c>
      <c r="BQ22" s="89">
        <v>1.0109999999999999</v>
      </c>
      <c r="BR22" s="90">
        <f t="shared" si="5"/>
        <v>-2.9673590504449843E-3</v>
      </c>
    </row>
    <row r="23" spans="1:70">
      <c r="A23" s="62">
        <v>33451</v>
      </c>
      <c r="B23" s="63">
        <v>33451</v>
      </c>
      <c r="C23" s="39">
        <v>22.26</v>
      </c>
      <c r="D23" s="64">
        <v>21.62</v>
      </c>
      <c r="E23" s="40">
        <f t="shared" si="0"/>
        <v>2.9602220166512483E-2</v>
      </c>
      <c r="F23" s="65"/>
      <c r="G23" s="63">
        <v>33451</v>
      </c>
      <c r="H23" s="39">
        <v>14.46</v>
      </c>
      <c r="I23" s="39">
        <v>15.47</v>
      </c>
      <c r="J23" s="40">
        <f t="shared" si="6"/>
        <v>-6.5287653522947631E-2</v>
      </c>
      <c r="K23" s="67"/>
      <c r="L23" s="68">
        <v>33451</v>
      </c>
      <c r="M23" s="69">
        <v>395.4</v>
      </c>
      <c r="N23" s="69">
        <v>387.8</v>
      </c>
      <c r="O23" s="70">
        <f t="shared" si="1"/>
        <v>1.9597730789066459E-2</v>
      </c>
      <c r="P23" s="67"/>
      <c r="Q23" s="38">
        <v>33451</v>
      </c>
      <c r="R23" s="39">
        <v>1.5640000000000001</v>
      </c>
      <c r="S23" s="39">
        <v>1.2749999999999999</v>
      </c>
      <c r="T23" s="40">
        <f t="shared" si="12"/>
        <v>0.22666666666666679</v>
      </c>
      <c r="U23" s="67"/>
      <c r="V23" s="38">
        <v>33451</v>
      </c>
      <c r="W23" s="39">
        <v>0.64859999999999995</v>
      </c>
      <c r="X23" s="39">
        <v>0.61170000000000002</v>
      </c>
      <c r="Y23" s="40">
        <f t="shared" si="2"/>
        <v>6.032368808239319E-2</v>
      </c>
      <c r="Z23" s="67"/>
      <c r="AA23" s="71">
        <v>33451</v>
      </c>
      <c r="AB23" s="72">
        <v>352.9</v>
      </c>
      <c r="AC23" s="72">
        <v>370.7</v>
      </c>
      <c r="AD23" s="73">
        <f t="shared" si="3"/>
        <v>-4.801726463447531E-2</v>
      </c>
      <c r="AE23" s="67"/>
      <c r="AF23" s="71">
        <v>33451</v>
      </c>
      <c r="AG23" s="72">
        <v>93.49</v>
      </c>
      <c r="AH23" s="72">
        <v>93.62</v>
      </c>
      <c r="AI23" s="73">
        <f t="shared" si="4"/>
        <v>-1.3885921811579438E-3</v>
      </c>
      <c r="AJ23" s="67"/>
      <c r="AK23" s="74">
        <v>33481</v>
      </c>
      <c r="AL23" s="41">
        <v>7.8200000000000006E-2</v>
      </c>
      <c r="AM23" s="41">
        <f t="shared" si="11"/>
        <v>-3.7999999999999839E-3</v>
      </c>
      <c r="AN23" s="67"/>
      <c r="AO23" s="75">
        <v>33451</v>
      </c>
      <c r="AP23" s="76">
        <v>568496.4</v>
      </c>
      <c r="AQ23" s="80">
        <f t="shared" si="7"/>
        <v>1.6974889916143709E-5</v>
      </c>
      <c r="AR23" s="67"/>
      <c r="AS23" s="94">
        <v>33451</v>
      </c>
      <c r="AT23" s="78">
        <v>0.8859999999999999</v>
      </c>
      <c r="AU23" s="67"/>
      <c r="AV23" s="79">
        <v>33451</v>
      </c>
      <c r="AW23" s="76">
        <v>331372.40000000002</v>
      </c>
      <c r="AX23" s="80">
        <f t="shared" si="8"/>
        <v>-1.7490427861774904E-3</v>
      </c>
      <c r="AY23" s="67"/>
      <c r="AZ23" s="81">
        <v>33451</v>
      </c>
      <c r="BA23" s="82">
        <v>113.49502563476563</v>
      </c>
      <c r="BB23" s="82">
        <v>133.4146728515625</v>
      </c>
      <c r="BC23" s="67"/>
      <c r="BD23" s="83">
        <v>33465</v>
      </c>
      <c r="BE23" s="42">
        <v>7316</v>
      </c>
      <c r="BF23" s="41">
        <f t="shared" si="9"/>
        <v>-4.2194092827003704E-3</v>
      </c>
      <c r="BG23" s="67"/>
      <c r="BH23" s="84">
        <v>33451</v>
      </c>
      <c r="BI23" s="85">
        <v>61.729799999999997</v>
      </c>
      <c r="BJ23" s="87">
        <f t="shared" si="10"/>
        <v>-1.1339613319227837E-5</v>
      </c>
      <c r="BK23" s="67"/>
      <c r="BL23" s="84">
        <v>33451</v>
      </c>
      <c r="BM23" s="86">
        <v>2.9251782</v>
      </c>
      <c r="BN23" s="67"/>
      <c r="BO23" s="88">
        <v>33451</v>
      </c>
      <c r="BP23" s="89">
        <v>1.0345</v>
      </c>
      <c r="BQ23" s="89">
        <v>1.002</v>
      </c>
      <c r="BR23" s="90">
        <f t="shared" si="5"/>
        <v>3.2435129740518986E-2</v>
      </c>
    </row>
    <row r="24" spans="1:70">
      <c r="A24" s="62">
        <v>33482</v>
      </c>
      <c r="B24" s="63">
        <v>33482</v>
      </c>
      <c r="C24" s="39">
        <v>22.23</v>
      </c>
      <c r="D24" s="64">
        <v>22.13</v>
      </c>
      <c r="E24" s="40">
        <f t="shared" si="0"/>
        <v>4.5187528242205399E-3</v>
      </c>
      <c r="F24" s="65"/>
      <c r="G24" s="63">
        <v>33482</v>
      </c>
      <c r="H24" s="39">
        <v>15.85</v>
      </c>
      <c r="I24" s="39">
        <v>16.57</v>
      </c>
      <c r="J24" s="40">
        <f t="shared" si="6"/>
        <v>-4.3452021726010925E-2</v>
      </c>
      <c r="K24" s="67"/>
      <c r="L24" s="68">
        <v>33482</v>
      </c>
      <c r="M24" s="69">
        <v>387.9</v>
      </c>
      <c r="N24" s="69">
        <v>395.4</v>
      </c>
      <c r="O24" s="70">
        <f t="shared" si="1"/>
        <v>-1.896813353566007E-2</v>
      </c>
      <c r="P24" s="67"/>
      <c r="Q24" s="38">
        <v>33482</v>
      </c>
      <c r="R24" s="39">
        <v>1.9350000000000001</v>
      </c>
      <c r="S24" s="39">
        <v>1.556</v>
      </c>
      <c r="T24" s="40">
        <f t="shared" si="12"/>
        <v>0.24357326478149099</v>
      </c>
      <c r="U24" s="67"/>
      <c r="V24" s="38">
        <v>33482</v>
      </c>
      <c r="W24" s="39">
        <v>0.64500000000000002</v>
      </c>
      <c r="X24" s="39">
        <v>0.65249999999999997</v>
      </c>
      <c r="Y24" s="40">
        <f t="shared" si="2"/>
        <v>-1.1494252873563093E-2</v>
      </c>
      <c r="Z24" s="67"/>
      <c r="AA24" s="71">
        <v>33482</v>
      </c>
      <c r="AB24" s="72">
        <v>357.3</v>
      </c>
      <c r="AC24" s="72">
        <v>351.3</v>
      </c>
      <c r="AD24" s="73">
        <f t="shared" si="3"/>
        <v>1.7079419299743881E-2</v>
      </c>
      <c r="AE24" s="67"/>
      <c r="AF24" s="71">
        <v>33482</v>
      </c>
      <c r="AG24" s="72">
        <v>89.9</v>
      </c>
      <c r="AH24" s="72">
        <v>93.3</v>
      </c>
      <c r="AI24" s="73">
        <f t="shared" si="4"/>
        <v>-3.6441586280814509E-2</v>
      </c>
      <c r="AJ24" s="67"/>
      <c r="AK24" s="74">
        <v>33511</v>
      </c>
      <c r="AL24" s="41">
        <v>7.4700000000000003E-2</v>
      </c>
      <c r="AM24" s="41">
        <f t="shared" si="11"/>
        <v>-3.5000000000000031E-3</v>
      </c>
      <c r="AN24" s="67"/>
      <c r="AO24" s="75">
        <v>33482</v>
      </c>
      <c r="AP24" s="76">
        <v>568503</v>
      </c>
      <c r="AQ24" s="80">
        <f t="shared" si="7"/>
        <v>1.1609572197812668E-5</v>
      </c>
      <c r="AR24" s="67"/>
      <c r="AS24" s="94">
        <v>33482</v>
      </c>
      <c r="AT24" s="78">
        <v>0.89</v>
      </c>
      <c r="AU24" s="67"/>
      <c r="AV24" s="79">
        <v>33482</v>
      </c>
      <c r="AW24" s="76">
        <v>322203</v>
      </c>
      <c r="AX24" s="80">
        <f t="shared" si="8"/>
        <v>-2.7670982857956883E-2</v>
      </c>
      <c r="AY24" s="67"/>
      <c r="AZ24" s="81">
        <v>33482</v>
      </c>
      <c r="BA24" s="82">
        <v>117.94219207763672</v>
      </c>
      <c r="BB24" s="82">
        <v>154.14364624023438</v>
      </c>
      <c r="BC24" s="67"/>
      <c r="BD24" s="83">
        <v>33496</v>
      </c>
      <c r="BE24" s="42">
        <v>7368</v>
      </c>
      <c r="BF24" s="41">
        <f t="shared" si="9"/>
        <v>7.1077091306726015E-3</v>
      </c>
      <c r="BG24" s="67"/>
      <c r="BH24" s="84">
        <v>33482</v>
      </c>
      <c r="BI24" s="85">
        <v>62.219499999999996</v>
      </c>
      <c r="BJ24" s="87">
        <f t="shared" si="10"/>
        <v>7.9329594458430464E-3</v>
      </c>
      <c r="BK24" s="67"/>
      <c r="BL24" s="84">
        <v>33482</v>
      </c>
      <c r="BM24" s="86">
        <v>6.0336869999999996</v>
      </c>
      <c r="BN24" s="67"/>
      <c r="BO24" s="88">
        <v>33482</v>
      </c>
      <c r="BP24" s="89">
        <v>1.048</v>
      </c>
      <c r="BQ24" s="89">
        <v>1.034</v>
      </c>
      <c r="BR24" s="90">
        <f t="shared" si="5"/>
        <v>1.3539651837524147E-2</v>
      </c>
    </row>
    <row r="25" spans="1:70">
      <c r="A25" s="62">
        <v>33512</v>
      </c>
      <c r="B25" s="63">
        <v>33512</v>
      </c>
      <c r="C25" s="39">
        <v>23.37</v>
      </c>
      <c r="D25" s="64">
        <v>22.13</v>
      </c>
      <c r="E25" s="40">
        <f t="shared" si="0"/>
        <v>5.6032535020334562E-2</v>
      </c>
      <c r="F25" s="65"/>
      <c r="G25" s="63">
        <v>33512</v>
      </c>
      <c r="H25" s="39">
        <v>15.48</v>
      </c>
      <c r="I25" s="39">
        <v>14.81</v>
      </c>
      <c r="J25" s="40">
        <f t="shared" si="6"/>
        <v>4.5239702903443701E-2</v>
      </c>
      <c r="K25" s="67"/>
      <c r="L25" s="68">
        <v>33512</v>
      </c>
      <c r="M25" s="69">
        <v>392.5</v>
      </c>
      <c r="N25" s="69">
        <v>387.9</v>
      </c>
      <c r="O25" s="70">
        <f t="shared" si="1"/>
        <v>1.1858726475895809E-2</v>
      </c>
      <c r="P25" s="67"/>
      <c r="Q25" s="38">
        <v>33512</v>
      </c>
      <c r="R25" s="39">
        <v>2.0459999999999998</v>
      </c>
      <c r="S25" s="39">
        <v>1.93</v>
      </c>
      <c r="T25" s="40">
        <f t="shared" si="12"/>
        <v>6.0103626943005084E-2</v>
      </c>
      <c r="U25" s="67"/>
      <c r="V25" s="38">
        <v>33512</v>
      </c>
      <c r="W25" s="39">
        <v>0.69830000000000003</v>
      </c>
      <c r="X25" s="39">
        <v>0.65449999999999997</v>
      </c>
      <c r="Y25" s="40">
        <f t="shared" si="2"/>
        <v>6.6921313980137676E-2</v>
      </c>
      <c r="Z25" s="67"/>
      <c r="AA25" s="71">
        <v>33512</v>
      </c>
      <c r="AB25" s="72">
        <v>359.5</v>
      </c>
      <c r="AC25" s="72">
        <v>357.1</v>
      </c>
      <c r="AD25" s="73">
        <f t="shared" si="3"/>
        <v>6.720806496779641E-3</v>
      </c>
      <c r="AE25" s="67"/>
      <c r="AF25" s="71">
        <v>33512</v>
      </c>
      <c r="AG25" s="72">
        <v>89.93</v>
      </c>
      <c r="AH25" s="72">
        <v>90.01</v>
      </c>
      <c r="AI25" s="73">
        <f t="shared" si="4"/>
        <v>-8.8879013442944022E-4</v>
      </c>
      <c r="AJ25" s="67"/>
      <c r="AK25" s="74">
        <v>33542</v>
      </c>
      <c r="AL25" s="41">
        <v>7.4700000000000003E-2</v>
      </c>
      <c r="AM25" s="41">
        <f t="shared" si="11"/>
        <v>0</v>
      </c>
      <c r="AN25" s="67"/>
      <c r="AO25" s="75">
        <v>33512</v>
      </c>
      <c r="AP25" s="76">
        <v>568503</v>
      </c>
      <c r="AQ25" s="80">
        <f t="shared" si="7"/>
        <v>0</v>
      </c>
      <c r="AR25" s="67"/>
      <c r="AS25" s="94">
        <v>33512</v>
      </c>
      <c r="AT25" s="78">
        <v>0.84499999999999997</v>
      </c>
      <c r="AU25" s="67"/>
      <c r="AV25" s="79">
        <v>33512</v>
      </c>
      <c r="AW25" s="76">
        <v>326544</v>
      </c>
      <c r="AX25" s="80">
        <f t="shared" si="8"/>
        <v>1.3472872692060545E-2</v>
      </c>
      <c r="AY25" s="67"/>
      <c r="AZ25" s="81">
        <v>33512</v>
      </c>
      <c r="BA25" s="82">
        <v>100.83180999755859</v>
      </c>
      <c r="BB25" s="82">
        <v>122.64443206787109</v>
      </c>
      <c r="BC25" s="67"/>
      <c r="BD25" s="83">
        <v>33526</v>
      </c>
      <c r="BE25" s="42">
        <v>7437</v>
      </c>
      <c r="BF25" s="41">
        <f t="shared" si="9"/>
        <v>9.3648208469054861E-3</v>
      </c>
      <c r="BG25" s="67"/>
      <c r="BH25" s="84">
        <v>33512</v>
      </c>
      <c r="BI25" s="85">
        <v>62.185499999999998</v>
      </c>
      <c r="BJ25" s="87">
        <f t="shared" si="10"/>
        <v>-5.4645247872453506E-4</v>
      </c>
      <c r="BK25" s="67"/>
      <c r="BL25" s="84">
        <v>33512</v>
      </c>
      <c r="BM25" s="86">
        <v>10.376052</v>
      </c>
      <c r="BN25" s="67"/>
      <c r="BO25" s="88">
        <v>33512</v>
      </c>
      <c r="BP25" s="89">
        <v>1.0580000000000001</v>
      </c>
      <c r="BQ25" s="89">
        <v>1.0449999999999999</v>
      </c>
      <c r="BR25" s="90">
        <f t="shared" si="5"/>
        <v>1.2440191387560029E-2</v>
      </c>
    </row>
    <row r="26" spans="1:70">
      <c r="A26" s="62">
        <v>33543</v>
      </c>
      <c r="B26" s="63">
        <v>33543</v>
      </c>
      <c r="C26" s="39">
        <v>21.48</v>
      </c>
      <c r="D26" s="64">
        <v>23.52</v>
      </c>
      <c r="E26" s="40">
        <f t="shared" si="0"/>
        <v>-8.673469387755095E-2</v>
      </c>
      <c r="F26" s="65"/>
      <c r="G26" s="63">
        <v>33543</v>
      </c>
      <c r="H26" s="39">
        <v>20.260000000000002</v>
      </c>
      <c r="I26" s="39">
        <v>15.6</v>
      </c>
      <c r="J26" s="40">
        <f t="shared" si="6"/>
        <v>0.29871794871794877</v>
      </c>
      <c r="K26" s="67"/>
      <c r="L26" s="68">
        <v>33543</v>
      </c>
      <c r="M26" s="69">
        <v>375.2</v>
      </c>
      <c r="N26" s="69">
        <v>392.5</v>
      </c>
      <c r="O26" s="70">
        <f t="shared" si="1"/>
        <v>-4.4076433121019165E-2</v>
      </c>
      <c r="P26" s="67"/>
      <c r="Q26" s="38">
        <v>33543</v>
      </c>
      <c r="R26" s="39">
        <v>2.09</v>
      </c>
      <c r="S26" s="39">
        <v>2.052</v>
      </c>
      <c r="T26" s="40">
        <f t="shared" si="12"/>
        <v>1.8518518518518379E-2</v>
      </c>
      <c r="U26" s="67"/>
      <c r="V26" s="38">
        <v>33543</v>
      </c>
      <c r="W26" s="39">
        <v>0.63149999999999995</v>
      </c>
      <c r="X26" s="39">
        <v>0.70450000000000002</v>
      </c>
      <c r="Y26" s="40">
        <f t="shared" si="2"/>
        <v>-0.10361958836053953</v>
      </c>
      <c r="Z26" s="67"/>
      <c r="AA26" s="71">
        <v>33543</v>
      </c>
      <c r="AB26" s="72">
        <v>371.1</v>
      </c>
      <c r="AC26" s="72">
        <v>359.5</v>
      </c>
      <c r="AD26" s="73">
        <f t="shared" si="3"/>
        <v>3.2267037552155875E-2</v>
      </c>
      <c r="AE26" s="67"/>
      <c r="AF26" s="71">
        <v>33543</v>
      </c>
      <c r="AG26" s="72">
        <v>88.19</v>
      </c>
      <c r="AH26" s="72">
        <v>89.72</v>
      </c>
      <c r="AI26" s="73">
        <f t="shared" si="4"/>
        <v>-1.7053053945608521E-2</v>
      </c>
      <c r="AJ26" s="67"/>
      <c r="AK26" s="74">
        <v>33572</v>
      </c>
      <c r="AL26" s="41">
        <v>7.3800000000000004E-2</v>
      </c>
      <c r="AM26" s="41">
        <f t="shared" si="11"/>
        <v>-8.9999999999999802E-4</v>
      </c>
      <c r="AN26" s="67"/>
      <c r="AO26" s="75">
        <v>33543</v>
      </c>
      <c r="AP26" s="76">
        <v>568504.19999999995</v>
      </c>
      <c r="AQ26" s="80">
        <f t="shared" si="7"/>
        <v>2.1108068031239213E-6</v>
      </c>
      <c r="AR26" s="67"/>
      <c r="AS26" s="94">
        <v>33543</v>
      </c>
      <c r="AT26" s="78">
        <v>0.83</v>
      </c>
      <c r="AU26" s="67"/>
      <c r="AV26" s="79">
        <v>33543</v>
      </c>
      <c r="AW26" s="76">
        <v>329284</v>
      </c>
      <c r="AX26" s="80">
        <f t="shared" si="8"/>
        <v>8.3909059728550783E-3</v>
      </c>
      <c r="AY26" s="67"/>
      <c r="AZ26" s="81">
        <v>33543</v>
      </c>
      <c r="BA26" s="82">
        <v>100.74233245849609</v>
      </c>
      <c r="BB26" s="82">
        <v>120.33022308349609</v>
      </c>
      <c r="BC26" s="67"/>
      <c r="BD26" s="83">
        <v>33557</v>
      </c>
      <c r="BE26" s="42">
        <v>7328</v>
      </c>
      <c r="BF26" s="41">
        <f t="shared" si="9"/>
        <v>-1.4656447492268354E-2</v>
      </c>
      <c r="BG26" s="67"/>
      <c r="BH26" s="84">
        <v>33543</v>
      </c>
      <c r="BI26" s="85">
        <v>62.0871</v>
      </c>
      <c r="BJ26" s="87">
        <f t="shared" si="10"/>
        <v>-1.5823624478374931E-3</v>
      </c>
      <c r="BK26" s="67"/>
      <c r="BL26" s="84">
        <v>33543</v>
      </c>
      <c r="BM26" s="86">
        <v>10.973935000000001</v>
      </c>
      <c r="BN26" s="67"/>
      <c r="BO26" s="88">
        <v>33543</v>
      </c>
      <c r="BP26" s="89">
        <v>1.016</v>
      </c>
      <c r="BQ26" s="89">
        <v>1.054</v>
      </c>
      <c r="BR26" s="90">
        <f t="shared" si="5"/>
        <v>-3.6053130929791344E-2</v>
      </c>
    </row>
    <row r="27" spans="1:70">
      <c r="A27" s="62">
        <v>33573</v>
      </c>
      <c r="B27" s="63">
        <v>33573</v>
      </c>
      <c r="C27" s="39">
        <v>19.12</v>
      </c>
      <c r="D27" s="64">
        <v>21.35</v>
      </c>
      <c r="E27" s="40">
        <f t="shared" si="0"/>
        <v>-0.10444964871194384</v>
      </c>
      <c r="F27" s="65"/>
      <c r="G27" s="63">
        <v>33573</v>
      </c>
      <c r="H27" s="39">
        <v>19.309999999999999</v>
      </c>
      <c r="I27" s="39">
        <v>20.18</v>
      </c>
      <c r="J27" s="40">
        <f t="shared" si="6"/>
        <v>-4.3111992071357852E-2</v>
      </c>
      <c r="K27" s="67"/>
      <c r="L27" s="68">
        <v>33573</v>
      </c>
      <c r="M27" s="69">
        <v>417.1</v>
      </c>
      <c r="N27" s="69">
        <v>375.1</v>
      </c>
      <c r="O27" s="70">
        <f t="shared" si="1"/>
        <v>0.11197014129565441</v>
      </c>
      <c r="P27" s="67"/>
      <c r="Q27" s="38">
        <v>33573</v>
      </c>
      <c r="R27" s="39">
        <v>1.343</v>
      </c>
      <c r="S27" s="39">
        <v>2.0750000000000002</v>
      </c>
      <c r="T27" s="40">
        <f t="shared" si="12"/>
        <v>-0.35277108433734949</v>
      </c>
      <c r="U27" s="67"/>
      <c r="V27" s="38">
        <v>33573</v>
      </c>
      <c r="W27" s="39">
        <v>0.51100000000000001</v>
      </c>
      <c r="X27" s="39">
        <v>0.628</v>
      </c>
      <c r="Y27" s="40">
        <f t="shared" si="2"/>
        <v>-0.18630573248407645</v>
      </c>
      <c r="Z27" s="67"/>
      <c r="AA27" s="71">
        <v>33573</v>
      </c>
      <c r="AB27" s="72">
        <v>353.9</v>
      </c>
      <c r="AC27" s="72">
        <v>371.6</v>
      </c>
      <c r="AD27" s="73">
        <f t="shared" si="3"/>
        <v>-4.7631862217438203E-2</v>
      </c>
      <c r="AE27" s="67"/>
      <c r="AF27" s="71">
        <v>33573</v>
      </c>
      <c r="AG27" s="72">
        <v>83.52</v>
      </c>
      <c r="AH27" s="72">
        <v>87.54</v>
      </c>
      <c r="AI27" s="73">
        <f t="shared" si="4"/>
        <v>-4.592186429061007E-2</v>
      </c>
      <c r="AJ27" s="67"/>
      <c r="AK27" s="74">
        <v>33603</v>
      </c>
      <c r="AL27" s="41">
        <v>6.7099999999999993E-2</v>
      </c>
      <c r="AM27" s="41">
        <f t="shared" si="11"/>
        <v>-6.7000000000000115E-3</v>
      </c>
      <c r="AN27" s="67"/>
      <c r="AO27" s="75">
        <v>33573</v>
      </c>
      <c r="AP27" s="76">
        <v>568502</v>
      </c>
      <c r="AQ27" s="80">
        <f t="shared" si="7"/>
        <v>-3.8698043038909447E-6</v>
      </c>
      <c r="AR27" s="67"/>
      <c r="AS27" s="94">
        <v>33573</v>
      </c>
      <c r="AT27" s="78">
        <v>0.85750000000000004</v>
      </c>
      <c r="AU27" s="67"/>
      <c r="AV27" s="79">
        <v>33573</v>
      </c>
      <c r="AW27" s="76">
        <v>320002.5</v>
      </c>
      <c r="AX27" s="80">
        <f t="shared" si="8"/>
        <v>-2.8186914639034999E-2</v>
      </c>
      <c r="AY27" s="67"/>
      <c r="AZ27" s="81">
        <v>33573</v>
      </c>
      <c r="BA27" s="82">
        <v>103.96953582763672</v>
      </c>
      <c r="BB27" s="82">
        <v>135.23251342773438</v>
      </c>
      <c r="BC27" s="67"/>
      <c r="BD27" s="83">
        <v>33587</v>
      </c>
      <c r="BE27" s="42">
        <v>7299</v>
      </c>
      <c r="BF27" s="41">
        <f t="shared" si="9"/>
        <v>-3.9574235807859903E-3</v>
      </c>
      <c r="BG27" s="67"/>
      <c r="BH27" s="84">
        <v>33573</v>
      </c>
      <c r="BI27" s="85">
        <v>61.785200000000003</v>
      </c>
      <c r="BJ27" s="87">
        <f t="shared" si="10"/>
        <v>-4.8625237770808516E-3</v>
      </c>
      <c r="BK27" s="67"/>
      <c r="BL27" s="84">
        <v>33573</v>
      </c>
      <c r="BM27" s="86">
        <v>5.5337395000000003</v>
      </c>
      <c r="BN27" s="67"/>
      <c r="BO27" s="88">
        <v>33573</v>
      </c>
      <c r="BP27" s="89">
        <v>0.97550000000000003</v>
      </c>
      <c r="BQ27" s="89">
        <v>1.018</v>
      </c>
      <c r="BR27" s="90">
        <f t="shared" si="5"/>
        <v>-4.174852652259331E-2</v>
      </c>
    </row>
    <row r="28" spans="1:70">
      <c r="A28" s="62">
        <v>33604</v>
      </c>
      <c r="B28" s="63">
        <v>33604</v>
      </c>
      <c r="C28" s="39">
        <v>18.899999999999999</v>
      </c>
      <c r="D28" s="64">
        <v>19.100000000000001</v>
      </c>
      <c r="E28" s="40">
        <f t="shared" si="0"/>
        <v>-1.0471204188481797E-2</v>
      </c>
      <c r="F28" s="65"/>
      <c r="G28" s="63">
        <v>33604</v>
      </c>
      <c r="H28" s="39">
        <v>17.399999999999999</v>
      </c>
      <c r="I28" s="39">
        <v>19.690000000000001</v>
      </c>
      <c r="J28" s="40">
        <f t="shared" si="6"/>
        <v>-0.11630269172168628</v>
      </c>
      <c r="K28" s="67"/>
      <c r="L28" s="68">
        <v>33604</v>
      </c>
      <c r="M28" s="69">
        <v>408.8</v>
      </c>
      <c r="N28" s="69">
        <v>417</v>
      </c>
      <c r="O28" s="70">
        <f t="shared" si="1"/>
        <v>-1.9664268585131817E-2</v>
      </c>
      <c r="P28" s="67"/>
      <c r="Q28" s="38">
        <v>33604</v>
      </c>
      <c r="R28" s="39">
        <v>1.18</v>
      </c>
      <c r="S28" s="39">
        <v>1.31</v>
      </c>
      <c r="T28" s="40">
        <f t="shared" si="12"/>
        <v>-9.92366412213741E-2</v>
      </c>
      <c r="U28" s="67"/>
      <c r="V28" s="38">
        <v>33604</v>
      </c>
      <c r="W28" s="39">
        <v>0.53810000000000002</v>
      </c>
      <c r="X28" s="39">
        <v>0.51900000000000002</v>
      </c>
      <c r="Y28" s="40">
        <f t="shared" si="2"/>
        <v>3.6801541425818929E-2</v>
      </c>
      <c r="Z28" s="67"/>
      <c r="AA28" s="71">
        <v>33604</v>
      </c>
      <c r="AB28" s="72">
        <v>358.9</v>
      </c>
      <c r="AC28" s="72">
        <v>351.2</v>
      </c>
      <c r="AD28" s="73">
        <f t="shared" si="3"/>
        <v>2.1924829157175418E-2</v>
      </c>
      <c r="AE28" s="67"/>
      <c r="AF28" s="71">
        <v>33604</v>
      </c>
      <c r="AG28" s="72">
        <v>87.49</v>
      </c>
      <c r="AH28" s="72">
        <v>83.52</v>
      </c>
      <c r="AI28" s="73">
        <f t="shared" si="4"/>
        <v>4.7533524904214586E-2</v>
      </c>
      <c r="AJ28" s="67"/>
      <c r="AK28" s="74">
        <v>33634</v>
      </c>
      <c r="AL28" s="41">
        <v>7.3099999999999998E-2</v>
      </c>
      <c r="AM28" s="41">
        <f t="shared" si="11"/>
        <v>6.0000000000000053E-3</v>
      </c>
      <c r="AN28" s="67"/>
      <c r="AO28" s="75">
        <v>33604</v>
      </c>
      <c r="AP28" s="76">
        <v>568506.80000000005</v>
      </c>
      <c r="AQ28" s="80">
        <f t="shared" si="7"/>
        <v>8.4432420643931749E-6</v>
      </c>
      <c r="AR28" s="67"/>
      <c r="AS28" s="94">
        <v>33604</v>
      </c>
      <c r="AT28" s="78">
        <v>0.83200000000000007</v>
      </c>
      <c r="AU28" s="67"/>
      <c r="AV28" s="79">
        <v>33604</v>
      </c>
      <c r="AW28" s="76">
        <v>318295.40000000002</v>
      </c>
      <c r="AX28" s="80">
        <f t="shared" si="8"/>
        <v>-5.3346458230794092E-3</v>
      </c>
      <c r="AY28" s="67"/>
      <c r="AZ28" s="81">
        <v>33604</v>
      </c>
      <c r="BA28" s="82">
        <v>102.95763397216797</v>
      </c>
      <c r="BB28" s="82">
        <v>126.15647125244141</v>
      </c>
      <c r="BC28" s="67"/>
      <c r="BD28" s="83">
        <v>33618</v>
      </c>
      <c r="BE28" s="42">
        <v>7361</v>
      </c>
      <c r="BF28" s="41">
        <f t="shared" si="9"/>
        <v>8.4943142896287682E-3</v>
      </c>
      <c r="BG28" s="67"/>
      <c r="BH28" s="84">
        <v>33604</v>
      </c>
      <c r="BI28" s="85">
        <v>61.461599999999997</v>
      </c>
      <c r="BJ28" s="87">
        <f t="shared" si="10"/>
        <v>-5.2375002427766937E-3</v>
      </c>
      <c r="BK28" s="67"/>
      <c r="BL28" s="84">
        <v>33604</v>
      </c>
      <c r="BM28" s="86">
        <v>2.6592400999999999</v>
      </c>
      <c r="BN28" s="67"/>
      <c r="BO28" s="88">
        <v>33604</v>
      </c>
      <c r="BP28" s="89">
        <v>0.98450000000000004</v>
      </c>
      <c r="BQ28" s="89">
        <v>0.97099999999999997</v>
      </c>
      <c r="BR28" s="90">
        <f t="shared" si="5"/>
        <v>1.3903192584963975E-2</v>
      </c>
    </row>
    <row r="29" spans="1:70">
      <c r="A29" s="62">
        <v>33635</v>
      </c>
      <c r="B29" s="63">
        <v>33635</v>
      </c>
      <c r="C29" s="39">
        <v>18.68</v>
      </c>
      <c r="D29" s="64">
        <v>18.95</v>
      </c>
      <c r="E29" s="40">
        <f t="shared" si="0"/>
        <v>-1.4248021108179354E-2</v>
      </c>
      <c r="F29" s="65"/>
      <c r="G29" s="63">
        <v>33635</v>
      </c>
      <c r="H29" s="39">
        <v>16.68</v>
      </c>
      <c r="I29" s="39">
        <v>17.079999999999998</v>
      </c>
      <c r="J29" s="40">
        <f t="shared" si="6"/>
        <v>-2.3419203747072515E-2</v>
      </c>
      <c r="K29" s="67"/>
      <c r="L29" s="68">
        <v>33635</v>
      </c>
      <c r="M29" s="69">
        <v>412.7</v>
      </c>
      <c r="N29" s="69">
        <v>408.8</v>
      </c>
      <c r="O29" s="70">
        <f t="shared" si="1"/>
        <v>9.5401174168296965E-3</v>
      </c>
      <c r="P29" s="67"/>
      <c r="Q29" s="38">
        <v>33635</v>
      </c>
      <c r="R29" s="39">
        <v>1.171</v>
      </c>
      <c r="S29" s="39">
        <v>1.1599999999999999</v>
      </c>
      <c r="T29" s="40">
        <f t="shared" si="12"/>
        <v>9.4827586206898129E-3</v>
      </c>
      <c r="U29" s="67"/>
      <c r="V29" s="38">
        <v>33635</v>
      </c>
      <c r="W29" s="39">
        <v>0.51580000000000004</v>
      </c>
      <c r="X29" s="39">
        <v>0.53249999999999997</v>
      </c>
      <c r="Y29" s="40">
        <f t="shared" si="2"/>
        <v>-3.1361502347417747E-2</v>
      </c>
      <c r="Z29" s="67"/>
      <c r="AA29" s="71">
        <v>33635</v>
      </c>
      <c r="AB29" s="72">
        <v>354.1</v>
      </c>
      <c r="AC29" s="72">
        <v>359.5</v>
      </c>
      <c r="AD29" s="73">
        <f t="shared" si="3"/>
        <v>-1.5020862308762095E-2</v>
      </c>
      <c r="AE29" s="67"/>
      <c r="AF29" s="71">
        <v>33635</v>
      </c>
      <c r="AG29" s="72">
        <v>88.99</v>
      </c>
      <c r="AH29" s="72">
        <v>87.14</v>
      </c>
      <c r="AI29" s="73">
        <f t="shared" si="4"/>
        <v>2.123020426899247E-2</v>
      </c>
      <c r="AJ29" s="67"/>
      <c r="AK29" s="74">
        <v>33663</v>
      </c>
      <c r="AL29" s="41">
        <v>7.2700000000000001E-2</v>
      </c>
      <c r="AM29" s="41">
        <f t="shared" si="11"/>
        <v>-3.9999999999999758E-4</v>
      </c>
      <c r="AN29" s="67"/>
      <c r="AO29" s="75">
        <v>33635</v>
      </c>
      <c r="AP29" s="76">
        <v>568509.5</v>
      </c>
      <c r="AQ29" s="80">
        <f t="shared" si="7"/>
        <v>4.7492835617557461E-6</v>
      </c>
      <c r="AR29" s="67"/>
      <c r="AS29" s="94">
        <v>33635</v>
      </c>
      <c r="AT29" s="78">
        <v>0.80249999999999999</v>
      </c>
      <c r="AU29" s="67"/>
      <c r="AV29" s="79">
        <v>33635</v>
      </c>
      <c r="AW29" s="76">
        <v>320194.5</v>
      </c>
      <c r="AX29" s="80">
        <f t="shared" si="8"/>
        <v>5.9664701406303422E-3</v>
      </c>
      <c r="AY29" s="67"/>
      <c r="AZ29" s="81">
        <v>33635</v>
      </c>
      <c r="BA29" s="82">
        <v>87.203468322753906</v>
      </c>
      <c r="BB29" s="82">
        <v>101.09597015380859</v>
      </c>
      <c r="BC29" s="67"/>
      <c r="BD29" s="83">
        <v>33649</v>
      </c>
      <c r="BE29" s="42">
        <v>7389</v>
      </c>
      <c r="BF29" s="41">
        <f t="shared" si="9"/>
        <v>3.8038310012227239E-3</v>
      </c>
      <c r="BG29" s="67"/>
      <c r="BH29" s="84">
        <v>33635</v>
      </c>
      <c r="BI29" s="85">
        <v>61.895499999999998</v>
      </c>
      <c r="BJ29" s="87">
        <f t="shared" si="10"/>
        <v>7.0596925560024726E-3</v>
      </c>
      <c r="BK29" s="67"/>
      <c r="BL29" s="84">
        <v>33635</v>
      </c>
      <c r="BM29" s="86">
        <v>-10.695385</v>
      </c>
      <c r="BN29" s="67"/>
      <c r="BO29" s="88">
        <v>33635</v>
      </c>
      <c r="BP29" s="89">
        <v>1.032</v>
      </c>
      <c r="BQ29" s="89">
        <v>0.97799999999999998</v>
      </c>
      <c r="BR29" s="90">
        <f t="shared" si="5"/>
        <v>5.5214723926380493E-2</v>
      </c>
    </row>
    <row r="30" spans="1:70">
      <c r="A30" s="62">
        <v>33664</v>
      </c>
      <c r="B30" s="63">
        <v>33664</v>
      </c>
      <c r="C30" s="39">
        <v>19.440000000000001</v>
      </c>
      <c r="D30" s="64">
        <v>18.559999999999999</v>
      </c>
      <c r="E30" s="40">
        <f t="shared" si="0"/>
        <v>4.7413793103448398E-2</v>
      </c>
      <c r="F30" s="65"/>
      <c r="G30" s="63">
        <v>33664</v>
      </c>
      <c r="H30" s="39">
        <v>16.18</v>
      </c>
      <c r="I30" s="39">
        <v>17.440000000000001</v>
      </c>
      <c r="J30" s="40">
        <f t="shared" si="6"/>
        <v>-7.2247706422018387E-2</v>
      </c>
      <c r="K30" s="67"/>
      <c r="L30" s="68">
        <v>33664</v>
      </c>
      <c r="M30" s="69">
        <v>403.7</v>
      </c>
      <c r="N30" s="69">
        <v>412.7</v>
      </c>
      <c r="O30" s="70">
        <f t="shared" si="1"/>
        <v>-2.1807608432275249E-2</v>
      </c>
      <c r="P30" s="67"/>
      <c r="Q30" s="38">
        <v>33664</v>
      </c>
      <c r="R30" s="39">
        <v>1.357</v>
      </c>
      <c r="S30" s="39">
        <v>1.1599999999999999</v>
      </c>
      <c r="T30" s="40">
        <f t="shared" si="12"/>
        <v>0.16982758620689653</v>
      </c>
      <c r="U30" s="67"/>
      <c r="V30" s="38">
        <v>33664</v>
      </c>
      <c r="W30" s="39">
        <v>0.52969999999999995</v>
      </c>
      <c r="X30" s="39">
        <v>0.51100000000000001</v>
      </c>
      <c r="Y30" s="40">
        <f t="shared" si="2"/>
        <v>3.6594911937377628E-2</v>
      </c>
      <c r="Z30" s="67"/>
      <c r="AA30" s="71">
        <v>33664</v>
      </c>
      <c r="AB30" s="72">
        <v>345.5</v>
      </c>
      <c r="AC30" s="72">
        <v>351.3</v>
      </c>
      <c r="AD30" s="73">
        <f t="shared" si="3"/>
        <v>-1.6510105323085722E-2</v>
      </c>
      <c r="AE30" s="67"/>
      <c r="AF30" s="71">
        <v>33664</v>
      </c>
      <c r="AG30" s="72">
        <v>89.65</v>
      </c>
      <c r="AH30" s="72">
        <v>89.1</v>
      </c>
      <c r="AI30" s="73">
        <f t="shared" si="4"/>
        <v>6.1728395061728669E-3</v>
      </c>
      <c r="AJ30" s="67"/>
      <c r="AK30" s="74">
        <v>33694</v>
      </c>
      <c r="AL30" s="41">
        <v>7.5399999999999995E-2</v>
      </c>
      <c r="AM30" s="41">
        <f t="shared" si="11"/>
        <v>2.6999999999999941E-3</v>
      </c>
      <c r="AN30" s="67"/>
      <c r="AO30" s="75">
        <v>33664</v>
      </c>
      <c r="AP30" s="76">
        <v>568510</v>
      </c>
      <c r="AQ30" s="80">
        <f t="shared" si="7"/>
        <v>8.7949277882692911E-7</v>
      </c>
      <c r="AR30" s="67"/>
      <c r="AS30" s="94">
        <v>33664</v>
      </c>
      <c r="AT30" s="78">
        <v>0.82499999999999996</v>
      </c>
      <c r="AU30" s="67"/>
      <c r="AV30" s="79">
        <v>33664</v>
      </c>
      <c r="AW30" s="76">
        <v>329195.75</v>
      </c>
      <c r="AX30" s="80">
        <f t="shared" si="8"/>
        <v>2.8111819534688998E-2</v>
      </c>
      <c r="AY30" s="67"/>
      <c r="AZ30" s="81">
        <v>33664</v>
      </c>
      <c r="BA30" s="82">
        <v>85.297317504882813</v>
      </c>
      <c r="BB30" s="82">
        <v>107.12957000732422</v>
      </c>
      <c r="BC30" s="67"/>
      <c r="BD30" s="83">
        <v>33678</v>
      </c>
      <c r="BE30" s="42">
        <v>7348</v>
      </c>
      <c r="BF30" s="41">
        <f t="shared" si="9"/>
        <v>-5.5487887400189617E-3</v>
      </c>
      <c r="BG30" s="67"/>
      <c r="BH30" s="84">
        <v>33664</v>
      </c>
      <c r="BI30" s="85">
        <v>62.423200000000001</v>
      </c>
      <c r="BJ30" s="87">
        <f t="shared" si="10"/>
        <v>8.5256601853123115E-3</v>
      </c>
      <c r="BK30" s="67"/>
      <c r="BL30" s="84">
        <v>33664</v>
      </c>
      <c r="BM30" s="86">
        <v>-18.022679</v>
      </c>
      <c r="BN30" s="67"/>
      <c r="BO30" s="88">
        <v>33664</v>
      </c>
      <c r="BP30" s="89">
        <v>1.0135000000000001</v>
      </c>
      <c r="BQ30" s="89">
        <v>1.026</v>
      </c>
      <c r="BR30" s="90">
        <f t="shared" si="5"/>
        <v>-1.2183235867446296E-2</v>
      </c>
    </row>
    <row r="31" spans="1:70">
      <c r="A31" s="62">
        <v>33695</v>
      </c>
      <c r="B31" s="63">
        <v>33695</v>
      </c>
      <c r="C31" s="39">
        <v>20.85</v>
      </c>
      <c r="D31" s="64">
        <v>19.670000000000002</v>
      </c>
      <c r="E31" s="40">
        <f t="shared" si="0"/>
        <v>5.998983223182508E-2</v>
      </c>
      <c r="F31" s="65"/>
      <c r="G31" s="63">
        <v>33695</v>
      </c>
      <c r="H31" s="39">
        <v>15.53</v>
      </c>
      <c r="I31" s="39">
        <v>16.93</v>
      </c>
      <c r="J31" s="40">
        <f t="shared" si="6"/>
        <v>-8.2693443591258187E-2</v>
      </c>
      <c r="K31" s="67"/>
      <c r="L31" s="68">
        <v>33695</v>
      </c>
      <c r="M31" s="69">
        <v>414.9</v>
      </c>
      <c r="N31" s="69">
        <v>403.7</v>
      </c>
      <c r="O31" s="70">
        <f t="shared" si="1"/>
        <v>2.7743373792419979E-2</v>
      </c>
      <c r="P31" s="67"/>
      <c r="Q31" s="38">
        <v>33695</v>
      </c>
      <c r="R31" s="39">
        <v>1.4219999999999999</v>
      </c>
      <c r="S31" s="39">
        <v>1.37</v>
      </c>
      <c r="T31" s="40">
        <f t="shared" si="12"/>
        <v>3.795620437956182E-2</v>
      </c>
      <c r="U31" s="67"/>
      <c r="V31" s="38">
        <v>33695</v>
      </c>
      <c r="W31" s="39">
        <v>0.56899999999999995</v>
      </c>
      <c r="X31" s="39">
        <v>0.53649999999999998</v>
      </c>
      <c r="Y31" s="40">
        <f t="shared" si="2"/>
        <v>6.0577819198508909E-2</v>
      </c>
      <c r="Z31" s="67"/>
      <c r="AA31" s="71">
        <v>33695</v>
      </c>
      <c r="AB31" s="72">
        <v>337.9</v>
      </c>
      <c r="AC31" s="72">
        <v>346</v>
      </c>
      <c r="AD31" s="73">
        <f t="shared" si="3"/>
        <v>-2.341040462427757E-2</v>
      </c>
      <c r="AE31" s="67"/>
      <c r="AF31" s="71">
        <v>33695</v>
      </c>
      <c r="AG31" s="72">
        <v>89.62</v>
      </c>
      <c r="AH31" s="72">
        <v>89.62</v>
      </c>
      <c r="AI31" s="73">
        <f t="shared" si="4"/>
        <v>0</v>
      </c>
      <c r="AJ31" s="67"/>
      <c r="AK31" s="74">
        <v>33724</v>
      </c>
      <c r="AL31" s="41">
        <v>7.6100000000000001E-2</v>
      </c>
      <c r="AM31" s="41">
        <f t="shared" si="11"/>
        <v>7.0000000000000617E-4</v>
      </c>
      <c r="AN31" s="67"/>
      <c r="AO31" s="75">
        <v>33695</v>
      </c>
      <c r="AP31" s="76">
        <v>568510.75</v>
      </c>
      <c r="AQ31" s="80">
        <f t="shared" si="7"/>
        <v>1.3192380081683552E-6</v>
      </c>
      <c r="AR31" s="67"/>
      <c r="AS31" s="94">
        <v>33695</v>
      </c>
      <c r="AT31" s="78">
        <v>0.86</v>
      </c>
      <c r="AU31" s="67"/>
      <c r="AV31" s="79">
        <v>33695</v>
      </c>
      <c r="AW31" s="76">
        <v>329803.75</v>
      </c>
      <c r="AX31" s="80">
        <f t="shared" si="8"/>
        <v>1.8469254235511379E-3</v>
      </c>
      <c r="AY31" s="67"/>
      <c r="AZ31" s="81">
        <v>33695</v>
      </c>
      <c r="BA31" s="82">
        <v>85.855621337890625</v>
      </c>
      <c r="BB31" s="82">
        <v>92.641197204589844</v>
      </c>
      <c r="BC31" s="67"/>
      <c r="BD31" s="83">
        <v>33709</v>
      </c>
      <c r="BE31" s="42">
        <v>7293</v>
      </c>
      <c r="BF31" s="41">
        <f t="shared" si="9"/>
        <v>-7.4850299401197917E-3</v>
      </c>
      <c r="BG31" s="67"/>
      <c r="BH31" s="84">
        <v>33695</v>
      </c>
      <c r="BI31" s="85">
        <v>62.896999999999998</v>
      </c>
      <c r="BJ31" s="87">
        <f t="shared" si="10"/>
        <v>7.5901267477476164E-3</v>
      </c>
      <c r="BK31" s="67"/>
      <c r="BL31" s="84">
        <v>33695</v>
      </c>
      <c r="BM31" s="86">
        <v>-21.838463000000001</v>
      </c>
      <c r="BN31" s="67"/>
      <c r="BO31" s="88">
        <v>33695</v>
      </c>
      <c r="BP31" s="89">
        <v>1.0044999999999999</v>
      </c>
      <c r="BQ31" s="89">
        <v>1.0209999999999999</v>
      </c>
      <c r="BR31" s="90">
        <f t="shared" si="5"/>
        <v>-1.6160626836434822E-2</v>
      </c>
    </row>
    <row r="32" spans="1:70">
      <c r="A32" s="62">
        <v>33725</v>
      </c>
      <c r="B32" s="63">
        <v>33725</v>
      </c>
      <c r="C32" s="39">
        <v>22.11</v>
      </c>
      <c r="D32" s="64">
        <v>20.9</v>
      </c>
      <c r="E32" s="40">
        <f t="shared" si="0"/>
        <v>5.7894736842105221E-2</v>
      </c>
      <c r="F32" s="65"/>
      <c r="G32" s="63">
        <v>33725</v>
      </c>
      <c r="H32" s="39">
        <v>13.86</v>
      </c>
      <c r="I32" s="39">
        <v>14.87</v>
      </c>
      <c r="J32" s="40">
        <f t="shared" si="6"/>
        <v>-6.7921990585070646E-2</v>
      </c>
      <c r="K32" s="67"/>
      <c r="L32" s="68">
        <v>33725</v>
      </c>
      <c r="M32" s="69">
        <v>415.4</v>
      </c>
      <c r="N32" s="69">
        <v>414.9</v>
      </c>
      <c r="O32" s="70">
        <f t="shared" si="1"/>
        <v>1.2051096649794424E-3</v>
      </c>
      <c r="P32" s="67"/>
      <c r="Q32" s="38">
        <v>33725</v>
      </c>
      <c r="R32" s="39">
        <v>1.625</v>
      </c>
      <c r="S32" s="39">
        <v>1.405</v>
      </c>
      <c r="T32" s="40">
        <f t="shared" si="12"/>
        <v>0.15658362989323837</v>
      </c>
      <c r="U32" s="67"/>
      <c r="V32" s="38">
        <v>33725</v>
      </c>
      <c r="W32" s="39">
        <v>0.60309999999999997</v>
      </c>
      <c r="X32" s="39">
        <v>0.56699999999999995</v>
      </c>
      <c r="Y32" s="40">
        <f t="shared" si="2"/>
        <v>6.3668430335096948E-2</v>
      </c>
      <c r="Z32" s="67"/>
      <c r="AA32" s="71">
        <v>33725</v>
      </c>
      <c r="AB32" s="72">
        <v>338.4</v>
      </c>
      <c r="AC32" s="72">
        <v>338.1</v>
      </c>
      <c r="AD32" s="73">
        <f t="shared" si="3"/>
        <v>8.8731144631748471E-4</v>
      </c>
      <c r="AE32" s="67"/>
      <c r="AF32" s="71">
        <v>33725</v>
      </c>
      <c r="AG32" s="72">
        <v>87.22</v>
      </c>
      <c r="AH32" s="72">
        <v>89.53</v>
      </c>
      <c r="AI32" s="73">
        <f t="shared" si="4"/>
        <v>-2.5801407349491767E-2</v>
      </c>
      <c r="AJ32" s="67"/>
      <c r="AK32" s="74">
        <v>33755</v>
      </c>
      <c r="AL32" s="41">
        <v>7.3300000000000004E-2</v>
      </c>
      <c r="AM32" s="41">
        <f t="shared" si="11"/>
        <v>-2.7999999999999969E-3</v>
      </c>
      <c r="AN32" s="67"/>
      <c r="AO32" s="92">
        <v>33725</v>
      </c>
      <c r="AP32" s="76">
        <v>568511</v>
      </c>
      <c r="AQ32" s="80">
        <f t="shared" si="7"/>
        <v>4.3974542252023241E-7</v>
      </c>
      <c r="AR32" s="67"/>
      <c r="AS32" s="97">
        <v>33725</v>
      </c>
      <c r="AT32" s="78">
        <v>0.8640000000000001</v>
      </c>
      <c r="AU32" s="67"/>
      <c r="AV32" s="93">
        <v>33725</v>
      </c>
      <c r="AW32" s="76">
        <v>333260.2</v>
      </c>
      <c r="AX32" s="80">
        <f t="shared" si="8"/>
        <v>1.0480323525733137E-2</v>
      </c>
      <c r="AY32" s="67"/>
      <c r="AZ32" s="81">
        <v>33725</v>
      </c>
      <c r="BA32" s="82">
        <v>78.968147277832031</v>
      </c>
      <c r="BB32" s="82">
        <v>93.082290649414063</v>
      </c>
      <c r="BC32" s="67"/>
      <c r="BD32" s="83">
        <v>33739</v>
      </c>
      <c r="BE32" s="42">
        <v>7169</v>
      </c>
      <c r="BF32" s="41">
        <f t="shared" si="9"/>
        <v>-1.7002605237899315E-2</v>
      </c>
      <c r="BG32" s="67"/>
      <c r="BH32" s="84">
        <v>33725</v>
      </c>
      <c r="BI32" s="85">
        <v>63.103999999999999</v>
      </c>
      <c r="BJ32" s="87">
        <f t="shared" si="10"/>
        <v>3.2910949647837473E-3</v>
      </c>
      <c r="BK32" s="67"/>
      <c r="BL32" s="84">
        <v>33725</v>
      </c>
      <c r="BM32" s="86">
        <v>-14.171008</v>
      </c>
      <c r="BN32" s="67"/>
      <c r="BO32" s="88">
        <v>33725</v>
      </c>
      <c r="BP32" s="89">
        <v>1.0125</v>
      </c>
      <c r="BQ32" s="89">
        <v>1.0035000000000001</v>
      </c>
      <c r="BR32" s="90">
        <f t="shared" si="5"/>
        <v>8.9686098654706559E-3</v>
      </c>
    </row>
    <row r="33" spans="1:70">
      <c r="A33" s="62">
        <v>33756</v>
      </c>
      <c r="B33" s="63">
        <v>33756</v>
      </c>
      <c r="C33" s="39">
        <v>21.6</v>
      </c>
      <c r="D33" s="64">
        <v>22.14</v>
      </c>
      <c r="E33" s="40">
        <f t="shared" si="0"/>
        <v>-2.4390243902438935E-2</v>
      </c>
      <c r="F33" s="65"/>
      <c r="G33" s="63">
        <v>33756</v>
      </c>
      <c r="H33" s="39">
        <v>13.35</v>
      </c>
      <c r="I33" s="39">
        <v>14.47</v>
      </c>
      <c r="J33" s="40">
        <f t="shared" si="6"/>
        <v>-7.740152038700765E-2</v>
      </c>
      <c r="K33" s="67"/>
      <c r="L33" s="68">
        <v>33756</v>
      </c>
      <c r="M33" s="69">
        <v>408.1</v>
      </c>
      <c r="N33" s="69">
        <v>415.4</v>
      </c>
      <c r="O33" s="70">
        <f t="shared" si="1"/>
        <v>-1.7573423206547756E-2</v>
      </c>
      <c r="P33" s="67"/>
      <c r="Q33" s="38">
        <v>33756</v>
      </c>
      <c r="R33" s="39">
        <v>1.518</v>
      </c>
      <c r="S33" s="39">
        <v>1.625</v>
      </c>
      <c r="T33" s="40">
        <f t="shared" si="12"/>
        <v>-6.5846153846153888E-2</v>
      </c>
      <c r="U33" s="67"/>
      <c r="V33" s="38">
        <v>33756</v>
      </c>
      <c r="W33" s="39">
        <v>0.60409999999999997</v>
      </c>
      <c r="X33" s="39">
        <v>0.60850000000000004</v>
      </c>
      <c r="Y33" s="40">
        <f t="shared" si="2"/>
        <v>-7.2308956450288786E-3</v>
      </c>
      <c r="Z33" s="67"/>
      <c r="AA33" s="71">
        <v>33756</v>
      </c>
      <c r="AB33" s="72">
        <v>344.4</v>
      </c>
      <c r="AC33" s="72">
        <v>338.7</v>
      </c>
      <c r="AD33" s="73">
        <f t="shared" si="3"/>
        <v>1.6829052258635846E-2</v>
      </c>
      <c r="AE33" s="67"/>
      <c r="AF33" s="71">
        <v>33756</v>
      </c>
      <c r="AG33" s="72">
        <v>83.72</v>
      </c>
      <c r="AH33" s="72">
        <v>87.26</v>
      </c>
      <c r="AI33" s="73">
        <f t="shared" si="4"/>
        <v>-4.0568416227366511E-2</v>
      </c>
      <c r="AJ33" s="67"/>
      <c r="AK33" s="74">
        <v>33785</v>
      </c>
      <c r="AL33" s="41">
        <v>7.1399999999999991E-2</v>
      </c>
      <c r="AM33" s="41">
        <f t="shared" si="11"/>
        <v>-1.9000000000000128E-3</v>
      </c>
      <c r="AN33" s="67"/>
      <c r="AO33" s="75">
        <v>33756</v>
      </c>
      <c r="AP33" s="76">
        <v>568765</v>
      </c>
      <c r="AQ33" s="80">
        <f t="shared" si="7"/>
        <v>4.4678115287122289E-4</v>
      </c>
      <c r="AR33" s="67"/>
      <c r="AS33" s="94">
        <v>33756</v>
      </c>
      <c r="AT33" s="78">
        <v>0.9</v>
      </c>
      <c r="AU33" s="67"/>
      <c r="AV33" s="79">
        <v>33756</v>
      </c>
      <c r="AW33" s="76">
        <v>324318.5</v>
      </c>
      <c r="AX33" s="80">
        <f t="shared" si="8"/>
        <v>-2.683098671848605E-2</v>
      </c>
      <c r="AY33" s="67"/>
      <c r="AZ33" s="81">
        <v>33756</v>
      </c>
      <c r="BA33" s="82">
        <v>93.849090576171875</v>
      </c>
      <c r="BB33" s="82">
        <v>124.33613586425781</v>
      </c>
      <c r="BC33" s="67"/>
      <c r="BD33" s="83">
        <v>33770</v>
      </c>
      <c r="BE33" s="42">
        <v>7167</v>
      </c>
      <c r="BF33" s="41">
        <f t="shared" si="9"/>
        <v>-2.7897893709027954E-4</v>
      </c>
      <c r="BG33" s="67"/>
      <c r="BH33" s="84">
        <v>33756</v>
      </c>
      <c r="BI33" s="85">
        <v>63.136299999999999</v>
      </c>
      <c r="BJ33" s="87">
        <f t="shared" si="10"/>
        <v>5.1185344827575641E-4</v>
      </c>
      <c r="BK33" s="67"/>
      <c r="BL33" s="84">
        <v>33756</v>
      </c>
      <c r="BM33" s="86">
        <v>-22.175415999999998</v>
      </c>
      <c r="BN33" s="67"/>
      <c r="BO33" s="88">
        <v>33756</v>
      </c>
      <c r="BP33" s="89">
        <v>1.097</v>
      </c>
      <c r="BQ33" s="89">
        <v>1.0169999999999999</v>
      </c>
      <c r="BR33" s="90">
        <f t="shared" si="5"/>
        <v>7.8662733529990314E-2</v>
      </c>
    </row>
    <row r="34" spans="1:70">
      <c r="A34" s="62">
        <v>33786</v>
      </c>
      <c r="B34" s="63">
        <v>33786</v>
      </c>
      <c r="C34" s="39">
        <v>21.87</v>
      </c>
      <c r="D34" s="64">
        <v>21.77</v>
      </c>
      <c r="E34" s="40">
        <f t="shared" si="0"/>
        <v>4.5934772622875375E-3</v>
      </c>
      <c r="F34" s="65"/>
      <c r="G34" s="63">
        <v>33786</v>
      </c>
      <c r="H34" s="39">
        <v>13.17</v>
      </c>
      <c r="I34" s="39">
        <v>13.43</v>
      </c>
      <c r="J34" s="40">
        <f t="shared" si="6"/>
        <v>-1.9359642591213699E-2</v>
      </c>
      <c r="K34" s="67"/>
      <c r="L34" s="68">
        <v>33786</v>
      </c>
      <c r="M34" s="69">
        <v>424.2</v>
      </c>
      <c r="N34" s="69">
        <v>408.2</v>
      </c>
      <c r="O34" s="70">
        <f t="shared" si="1"/>
        <v>3.9196472317491349E-2</v>
      </c>
      <c r="P34" s="67"/>
      <c r="Q34" s="38">
        <v>33786</v>
      </c>
      <c r="R34" s="39">
        <v>1.8919999999999999</v>
      </c>
      <c r="S34" s="39">
        <v>1.53</v>
      </c>
      <c r="T34" s="40">
        <f t="shared" si="12"/>
        <v>0.23660130718954231</v>
      </c>
      <c r="U34" s="67"/>
      <c r="V34" s="38">
        <v>33786</v>
      </c>
      <c r="W34" s="39">
        <v>0.61219999999999997</v>
      </c>
      <c r="X34" s="39">
        <v>0.61250000000000004</v>
      </c>
      <c r="Y34" s="40">
        <f t="shared" si="2"/>
        <v>-4.8979591836750824E-4</v>
      </c>
      <c r="Z34" s="67"/>
      <c r="AA34" s="71">
        <v>33786</v>
      </c>
      <c r="AB34" s="72">
        <v>361.4</v>
      </c>
      <c r="AC34" s="72">
        <v>345.1</v>
      </c>
      <c r="AD34" s="73">
        <f t="shared" si="3"/>
        <v>4.7232686177919314E-2</v>
      </c>
      <c r="AE34" s="67"/>
      <c r="AF34" s="71">
        <v>33786</v>
      </c>
      <c r="AG34" s="72">
        <v>81.91</v>
      </c>
      <c r="AH34" s="72">
        <v>83.72</v>
      </c>
      <c r="AI34" s="73">
        <f t="shared" si="4"/>
        <v>-2.1619684663162997E-2</v>
      </c>
      <c r="AJ34" s="67"/>
      <c r="AK34" s="74">
        <v>33816</v>
      </c>
      <c r="AL34" s="41">
        <v>6.7199999999999996E-2</v>
      </c>
      <c r="AM34" s="41">
        <f t="shared" si="11"/>
        <v>-4.1999999999999954E-3</v>
      </c>
      <c r="AN34" s="67"/>
      <c r="AO34" s="75">
        <v>33786</v>
      </c>
      <c r="AP34" s="76">
        <v>569520.80000000005</v>
      </c>
      <c r="AQ34" s="80">
        <f t="shared" si="7"/>
        <v>1.3288440744421148E-3</v>
      </c>
      <c r="AR34" s="67"/>
      <c r="AS34" s="94">
        <v>33786</v>
      </c>
      <c r="AT34" s="78">
        <v>0.90400000000000003</v>
      </c>
      <c r="AU34" s="67"/>
      <c r="AV34" s="79">
        <v>33786</v>
      </c>
      <c r="AW34" s="76">
        <v>311654.2</v>
      </c>
      <c r="AX34" s="80">
        <f t="shared" si="8"/>
        <v>-3.9048959587565935E-2</v>
      </c>
      <c r="AY34" s="67"/>
      <c r="AZ34" s="81">
        <v>33786</v>
      </c>
      <c r="BA34" s="82">
        <v>75.196769714355469</v>
      </c>
      <c r="BB34" s="82">
        <v>92.428863525390625</v>
      </c>
      <c r="BC34" s="67"/>
      <c r="BD34" s="83">
        <v>33800</v>
      </c>
      <c r="BE34" s="42">
        <v>7131</v>
      </c>
      <c r="BF34" s="41">
        <f t="shared" si="9"/>
        <v>-5.0230221850146028E-3</v>
      </c>
      <c r="BG34" s="67"/>
      <c r="BH34" s="84">
        <v>33786</v>
      </c>
      <c r="BI34" s="85">
        <v>63.717599999999997</v>
      </c>
      <c r="BJ34" s="87">
        <f t="shared" si="10"/>
        <v>9.207064715544E-3</v>
      </c>
      <c r="BK34" s="67"/>
      <c r="BL34" s="84">
        <v>33786</v>
      </c>
      <c r="BM34" s="86">
        <v>-31.602193</v>
      </c>
      <c r="BN34" s="67"/>
      <c r="BO34" s="88">
        <v>33786</v>
      </c>
      <c r="BP34" s="89">
        <v>1.125</v>
      </c>
      <c r="BQ34" s="89">
        <v>1.0945</v>
      </c>
      <c r="BR34" s="90">
        <f t="shared" si="5"/>
        <v>2.7866605756053042E-2</v>
      </c>
    </row>
    <row r="35" spans="1:70">
      <c r="A35" s="62">
        <v>33817</v>
      </c>
      <c r="B35" s="63">
        <v>33817</v>
      </c>
      <c r="C35" s="39">
        <v>21.48</v>
      </c>
      <c r="D35" s="64">
        <v>21.78</v>
      </c>
      <c r="E35" s="40">
        <f t="shared" si="0"/>
        <v>-1.377410468319562E-2</v>
      </c>
      <c r="F35" s="65"/>
      <c r="G35" s="63">
        <v>33817</v>
      </c>
      <c r="H35" s="39">
        <v>13.58</v>
      </c>
      <c r="I35" s="39">
        <v>14.05</v>
      </c>
      <c r="J35" s="40">
        <f t="shared" si="6"/>
        <v>-3.3451957295373758E-2</v>
      </c>
      <c r="K35" s="67"/>
      <c r="L35" s="68">
        <v>33817</v>
      </c>
      <c r="M35" s="69">
        <v>414</v>
      </c>
      <c r="N35" s="69">
        <v>424.2</v>
      </c>
      <c r="O35" s="70">
        <f t="shared" si="1"/>
        <v>-2.4045261669023987E-2</v>
      </c>
      <c r="P35" s="67"/>
      <c r="Q35" s="38">
        <v>33817</v>
      </c>
      <c r="R35" s="39">
        <v>2.1120000000000001</v>
      </c>
      <c r="S35" s="39">
        <v>1.887</v>
      </c>
      <c r="T35" s="40">
        <f t="shared" si="12"/>
        <v>0.11923688394276644</v>
      </c>
      <c r="U35" s="67"/>
      <c r="V35" s="38">
        <v>33817</v>
      </c>
      <c r="W35" s="39">
        <v>0.60899999999999999</v>
      </c>
      <c r="X35" s="39">
        <v>0.62</v>
      </c>
      <c r="Y35" s="40">
        <f t="shared" si="2"/>
        <v>-1.774193548387093E-2</v>
      </c>
      <c r="Z35" s="67"/>
      <c r="AA35" s="71">
        <v>33817</v>
      </c>
      <c r="AB35" s="72">
        <v>345.3</v>
      </c>
      <c r="AC35" s="72">
        <v>360.5</v>
      </c>
      <c r="AD35" s="73">
        <f t="shared" si="3"/>
        <v>-4.2163661581137268E-2</v>
      </c>
      <c r="AE35" s="67"/>
      <c r="AF35" s="71">
        <v>33817</v>
      </c>
      <c r="AG35" s="72">
        <v>78.88</v>
      </c>
      <c r="AH35" s="72">
        <v>81.94</v>
      </c>
      <c r="AI35" s="73">
        <f t="shared" si="4"/>
        <v>-3.7344398340248941E-2</v>
      </c>
      <c r="AJ35" s="67"/>
      <c r="AK35" s="74">
        <v>33847</v>
      </c>
      <c r="AL35" s="41">
        <v>6.6199999999999995E-2</v>
      </c>
      <c r="AM35" s="41">
        <f t="shared" si="11"/>
        <v>-1.0000000000000009E-3</v>
      </c>
      <c r="AN35" s="67"/>
      <c r="AO35" s="75">
        <v>33817</v>
      </c>
      <c r="AP35" s="76">
        <v>569727.5</v>
      </c>
      <c r="AQ35" s="80">
        <f t="shared" si="7"/>
        <v>3.6293670046805282E-4</v>
      </c>
      <c r="AR35" s="67"/>
      <c r="AS35" s="94">
        <v>33817</v>
      </c>
      <c r="AT35" s="78">
        <v>0.88500000000000001</v>
      </c>
      <c r="AU35" s="67"/>
      <c r="AV35" s="79">
        <v>33817</v>
      </c>
      <c r="AW35" s="76">
        <v>312180.25</v>
      </c>
      <c r="AX35" s="80">
        <f t="shared" si="8"/>
        <v>1.6879284797060023E-3</v>
      </c>
      <c r="AY35" s="67"/>
      <c r="AZ35" s="81">
        <v>33817</v>
      </c>
      <c r="BA35" s="82">
        <v>81.645195007324219</v>
      </c>
      <c r="BB35" s="82">
        <v>87.556793212890625</v>
      </c>
      <c r="BC35" s="67"/>
      <c r="BD35" s="83">
        <v>33831</v>
      </c>
      <c r="BE35" s="42">
        <v>6922</v>
      </c>
      <c r="BF35" s="41">
        <f t="shared" si="9"/>
        <v>-2.930865236292246E-2</v>
      </c>
      <c r="BG35" s="67"/>
      <c r="BH35" s="84">
        <v>33817</v>
      </c>
      <c r="BI35" s="85">
        <v>63.3613</v>
      </c>
      <c r="BJ35" s="87">
        <f t="shared" si="10"/>
        <v>-5.5918615892626145E-3</v>
      </c>
      <c r="BK35" s="67"/>
      <c r="BL35" s="84">
        <v>33817</v>
      </c>
      <c r="BM35" s="86">
        <v>-31.554355000000001</v>
      </c>
      <c r="BN35" s="67"/>
      <c r="BO35" s="88">
        <v>33817</v>
      </c>
      <c r="BP35" s="89">
        <v>1.105</v>
      </c>
      <c r="BQ35" s="89">
        <v>1.1265000000000001</v>
      </c>
      <c r="BR35" s="90">
        <f t="shared" si="5"/>
        <v>-1.9085663559698207E-2</v>
      </c>
    </row>
    <row r="36" spans="1:70">
      <c r="A36" s="62">
        <v>33848</v>
      </c>
      <c r="B36" s="63">
        <v>33848</v>
      </c>
      <c r="C36" s="39">
        <v>21.71</v>
      </c>
      <c r="D36" s="64">
        <v>21.4</v>
      </c>
      <c r="E36" s="40">
        <f t="shared" si="0"/>
        <v>1.4485981308411278E-2</v>
      </c>
      <c r="F36" s="65"/>
      <c r="G36" s="63">
        <v>33848</v>
      </c>
      <c r="H36" s="39">
        <v>14.28</v>
      </c>
      <c r="I36" s="39">
        <v>11.87</v>
      </c>
      <c r="J36" s="40">
        <f t="shared" si="6"/>
        <v>0.20303285593934284</v>
      </c>
      <c r="K36" s="67"/>
      <c r="L36" s="68">
        <v>33848</v>
      </c>
      <c r="M36" s="69">
        <v>417.8</v>
      </c>
      <c r="N36" s="69">
        <v>414</v>
      </c>
      <c r="O36" s="70">
        <f t="shared" si="1"/>
        <v>9.1787439613526534E-3</v>
      </c>
      <c r="P36" s="67"/>
      <c r="Q36" s="38">
        <v>33848</v>
      </c>
      <c r="R36" s="39">
        <v>2.5150000000000001</v>
      </c>
      <c r="S36" s="39">
        <v>2.0699999999999998</v>
      </c>
      <c r="T36" s="40">
        <f t="shared" si="12"/>
        <v>0.21497584541062809</v>
      </c>
      <c r="U36" s="67"/>
      <c r="V36" s="38">
        <v>33848</v>
      </c>
      <c r="W36" s="39">
        <v>0.63619999999999999</v>
      </c>
      <c r="X36" s="39">
        <v>0.61599999999999999</v>
      </c>
      <c r="Y36" s="40">
        <f t="shared" si="2"/>
        <v>3.2792207792207817E-2</v>
      </c>
      <c r="Z36" s="67"/>
      <c r="AA36" s="71">
        <v>33848</v>
      </c>
      <c r="AB36" s="72">
        <v>349.4</v>
      </c>
      <c r="AC36" s="72">
        <v>345.5</v>
      </c>
      <c r="AD36" s="73">
        <f t="shared" si="3"/>
        <v>1.1287988422575834E-2</v>
      </c>
      <c r="AE36" s="67"/>
      <c r="AF36" s="71">
        <v>33848</v>
      </c>
      <c r="AG36" s="72">
        <v>81.099999999999994</v>
      </c>
      <c r="AH36" s="72">
        <v>78.84</v>
      </c>
      <c r="AI36" s="73">
        <f t="shared" si="4"/>
        <v>2.8665651953323046E-2</v>
      </c>
      <c r="AJ36" s="67"/>
      <c r="AK36" s="74">
        <v>33877</v>
      </c>
      <c r="AL36" s="41">
        <v>6.3700000000000007E-2</v>
      </c>
      <c r="AM36" s="41">
        <f t="shared" si="11"/>
        <v>-2.4999999999999883E-3</v>
      </c>
      <c r="AN36" s="67"/>
      <c r="AO36" s="75">
        <v>33848</v>
      </c>
      <c r="AP36" s="76">
        <v>570264.5</v>
      </c>
      <c r="AQ36" s="80">
        <f t="shared" si="7"/>
        <v>9.4255587100855465E-4</v>
      </c>
      <c r="AR36" s="67"/>
      <c r="AS36" s="94">
        <v>33848</v>
      </c>
      <c r="AT36" s="78">
        <v>0.88249999999999995</v>
      </c>
      <c r="AU36" s="67"/>
      <c r="AV36" s="79">
        <v>33848</v>
      </c>
      <c r="AW36" s="76">
        <v>309516.25</v>
      </c>
      <c r="AX36" s="80">
        <f t="shared" si="8"/>
        <v>-8.5335315094404729E-3</v>
      </c>
      <c r="AY36" s="67"/>
      <c r="AZ36" s="81">
        <v>33848</v>
      </c>
      <c r="BA36" s="82">
        <v>74.609718322753906</v>
      </c>
      <c r="BB36" s="82">
        <v>92.689262390136719</v>
      </c>
      <c r="BC36" s="67"/>
      <c r="BD36" s="83">
        <v>33862</v>
      </c>
      <c r="BE36" s="42">
        <v>7030</v>
      </c>
      <c r="BF36" s="41">
        <f t="shared" si="9"/>
        <v>1.5602427044206779E-2</v>
      </c>
      <c r="BG36" s="67"/>
      <c r="BH36" s="84">
        <v>33848</v>
      </c>
      <c r="BI36" s="85">
        <v>63.570300000000003</v>
      </c>
      <c r="BJ36" s="87">
        <f t="shared" si="10"/>
        <v>3.2985434326631147E-3</v>
      </c>
      <c r="BK36" s="67"/>
      <c r="BL36" s="84">
        <v>33848</v>
      </c>
      <c r="BM36" s="86">
        <v>-32.920602000000002</v>
      </c>
      <c r="BN36" s="67"/>
      <c r="BO36" s="88">
        <v>33848</v>
      </c>
      <c r="BP36" s="89">
        <v>1.0475000000000001</v>
      </c>
      <c r="BQ36" s="89">
        <v>1.1240000000000001</v>
      </c>
      <c r="BR36" s="90">
        <f t="shared" si="5"/>
        <v>-6.8060498220640531E-2</v>
      </c>
    </row>
    <row r="37" spans="1:70">
      <c r="A37" s="62">
        <v>33878</v>
      </c>
      <c r="B37" s="63">
        <v>33878</v>
      </c>
      <c r="C37" s="39">
        <v>20.62</v>
      </c>
      <c r="D37" s="64">
        <v>21.76</v>
      </c>
      <c r="E37" s="40">
        <f t="shared" si="0"/>
        <v>-5.2389705882352922E-2</v>
      </c>
      <c r="F37" s="65"/>
      <c r="G37" s="63">
        <v>33878</v>
      </c>
      <c r="H37" s="39">
        <v>16.149999999999999</v>
      </c>
      <c r="I37" s="39">
        <v>15.44</v>
      </c>
      <c r="J37" s="40">
        <f t="shared" si="6"/>
        <v>4.5984455958549164E-2</v>
      </c>
      <c r="K37" s="67"/>
      <c r="L37" s="68">
        <v>33878</v>
      </c>
      <c r="M37" s="69">
        <v>418.7</v>
      </c>
      <c r="N37" s="69">
        <v>417.8</v>
      </c>
      <c r="O37" s="70">
        <f t="shared" si="1"/>
        <v>2.1541407371947763E-3</v>
      </c>
      <c r="P37" s="67"/>
      <c r="Q37" s="38">
        <v>33878</v>
      </c>
      <c r="R37" s="39">
        <v>2.2949999999999999</v>
      </c>
      <c r="S37" s="39">
        <v>2.4950000000000001</v>
      </c>
      <c r="T37" s="40">
        <f t="shared" si="12"/>
        <v>-8.0160320641282645E-2</v>
      </c>
      <c r="U37" s="67"/>
      <c r="V37" s="38">
        <v>33878</v>
      </c>
      <c r="W37" s="39">
        <v>0.59970000000000001</v>
      </c>
      <c r="X37" s="39">
        <v>0.64549999999999996</v>
      </c>
      <c r="Y37" s="40">
        <f t="shared" si="2"/>
        <v>-7.0952749806351578E-2</v>
      </c>
      <c r="Z37" s="67"/>
      <c r="AA37" s="71">
        <v>33878</v>
      </c>
      <c r="AB37" s="72">
        <v>340.1</v>
      </c>
      <c r="AC37" s="72">
        <v>348.9</v>
      </c>
      <c r="AD37" s="73">
        <f t="shared" si="3"/>
        <v>-2.5222126683863477E-2</v>
      </c>
      <c r="AE37" s="67"/>
      <c r="AF37" s="71">
        <v>33878</v>
      </c>
      <c r="AG37" s="72">
        <v>87.63</v>
      </c>
      <c r="AH37" s="72">
        <v>81.05</v>
      </c>
      <c r="AI37" s="73">
        <f t="shared" si="4"/>
        <v>8.1184454040715615E-2</v>
      </c>
      <c r="AJ37" s="67"/>
      <c r="AK37" s="74">
        <v>33908</v>
      </c>
      <c r="AL37" s="41">
        <v>6.8000000000000005E-2</v>
      </c>
      <c r="AM37" s="41">
        <f t="shared" si="11"/>
        <v>4.2999999999999983E-3</v>
      </c>
      <c r="AN37" s="67"/>
      <c r="AO37" s="75">
        <v>33878</v>
      </c>
      <c r="AP37" s="76">
        <v>572597</v>
      </c>
      <c r="AQ37" s="80">
        <f t="shared" si="7"/>
        <v>4.0902072634716458E-3</v>
      </c>
      <c r="AR37" s="67"/>
      <c r="AS37" s="94">
        <v>33878</v>
      </c>
      <c r="AT37" s="78">
        <v>0.89200000000000002</v>
      </c>
      <c r="AU37" s="67"/>
      <c r="AV37" s="79">
        <v>33878</v>
      </c>
      <c r="AW37" s="76">
        <v>310885.40000000002</v>
      </c>
      <c r="AX37" s="80">
        <f t="shared" si="8"/>
        <v>4.4235157281726778E-3</v>
      </c>
      <c r="AY37" s="67"/>
      <c r="AZ37" s="81">
        <v>33878</v>
      </c>
      <c r="BA37" s="82">
        <v>68.182777404785156</v>
      </c>
      <c r="BB37" s="82">
        <v>71.336257934570313</v>
      </c>
      <c r="BC37" s="67"/>
      <c r="BD37" s="83">
        <v>33892</v>
      </c>
      <c r="BE37" s="42">
        <v>7126</v>
      </c>
      <c r="BF37" s="41">
        <f t="shared" si="9"/>
        <v>1.3655761024182089E-2</v>
      </c>
      <c r="BG37" s="67"/>
      <c r="BH37" s="84">
        <v>33878</v>
      </c>
      <c r="BI37" s="85">
        <v>63.999499999999998</v>
      </c>
      <c r="BJ37" s="87">
        <f t="shared" si="10"/>
        <v>6.7515805336768597E-3</v>
      </c>
      <c r="BK37" s="67"/>
      <c r="BL37" s="84">
        <v>33878</v>
      </c>
      <c r="BM37" s="86">
        <v>-32.326492999999999</v>
      </c>
      <c r="BN37" s="67"/>
      <c r="BO37" s="88">
        <v>33878</v>
      </c>
      <c r="BP37" s="89">
        <v>1.0169999999999999</v>
      </c>
      <c r="BQ37" s="89">
        <v>1.0349999999999999</v>
      </c>
      <c r="BR37" s="90">
        <f t="shared" si="5"/>
        <v>-1.7391304347826098E-2</v>
      </c>
    </row>
    <row r="38" spans="1:70">
      <c r="A38" s="62">
        <v>33909</v>
      </c>
      <c r="B38" s="63">
        <v>33909</v>
      </c>
      <c r="C38" s="39">
        <v>19.89</v>
      </c>
      <c r="D38" s="64">
        <v>20.72</v>
      </c>
      <c r="E38" s="40">
        <f t="shared" si="0"/>
        <v>-4.0057915057915006E-2</v>
      </c>
      <c r="F38" s="65"/>
      <c r="G38" s="63">
        <v>33909</v>
      </c>
      <c r="H38" s="39">
        <v>13.01</v>
      </c>
      <c r="I38" s="39">
        <v>17.02</v>
      </c>
      <c r="J38" s="40">
        <f t="shared" si="6"/>
        <v>-0.23560517038777906</v>
      </c>
      <c r="K38" s="67"/>
      <c r="L38" s="68">
        <v>33909</v>
      </c>
      <c r="M38" s="69">
        <v>431.4</v>
      </c>
      <c r="N38" s="69">
        <v>418.7</v>
      </c>
      <c r="O38" s="70">
        <f t="shared" si="1"/>
        <v>3.0331979937902931E-2</v>
      </c>
      <c r="P38" s="67"/>
      <c r="Q38" s="38">
        <v>33909</v>
      </c>
      <c r="R38" s="39">
        <v>2.0870000000000002</v>
      </c>
      <c r="S38" s="39">
        <v>2.3050000000000002</v>
      </c>
      <c r="T38" s="40">
        <f t="shared" si="12"/>
        <v>-9.4577006507592154E-2</v>
      </c>
      <c r="U38" s="67"/>
      <c r="V38" s="38">
        <v>33909</v>
      </c>
      <c r="W38" s="39">
        <v>0.56669999999999998</v>
      </c>
      <c r="X38" s="39">
        <v>0.61350000000000005</v>
      </c>
      <c r="Y38" s="40">
        <f t="shared" si="2"/>
        <v>-7.6283618581907242E-2</v>
      </c>
      <c r="Z38" s="67"/>
      <c r="AA38" s="71">
        <v>33909</v>
      </c>
      <c r="AB38" s="72">
        <v>335.5</v>
      </c>
      <c r="AC38" s="72">
        <v>339.9</v>
      </c>
      <c r="AD38" s="73">
        <f t="shared" si="3"/>
        <v>-1.2944983818770184E-2</v>
      </c>
      <c r="AE38" s="67"/>
      <c r="AF38" s="71">
        <v>33909</v>
      </c>
      <c r="AG38" s="72">
        <v>90.84</v>
      </c>
      <c r="AH38" s="72">
        <v>87.71</v>
      </c>
      <c r="AI38" s="73">
        <f t="shared" si="4"/>
        <v>3.5685782692965518E-2</v>
      </c>
      <c r="AJ38" s="67"/>
      <c r="AK38" s="74">
        <v>33938</v>
      </c>
      <c r="AL38" s="41">
        <v>6.9500000000000006E-2</v>
      </c>
      <c r="AM38" s="41">
        <f t="shared" si="11"/>
        <v>1.5000000000000013E-3</v>
      </c>
      <c r="AN38" s="67"/>
      <c r="AO38" s="75">
        <v>33909</v>
      </c>
      <c r="AP38" s="76">
        <v>573706</v>
      </c>
      <c r="AQ38" s="80">
        <f t="shared" si="7"/>
        <v>1.9367897491604502E-3</v>
      </c>
      <c r="AR38" s="67"/>
      <c r="AS38" s="94">
        <v>33909</v>
      </c>
      <c r="AT38" s="78">
        <v>0.89749999999999996</v>
      </c>
      <c r="AU38" s="67"/>
      <c r="AV38" s="79">
        <v>33909</v>
      </c>
      <c r="AW38" s="76">
        <v>306462</v>
      </c>
      <c r="AX38" s="80">
        <f t="shared" si="8"/>
        <v>-1.4228394128511734E-2</v>
      </c>
      <c r="AY38" s="67"/>
      <c r="AZ38" s="81">
        <v>33909</v>
      </c>
      <c r="BA38" s="82">
        <v>91.008995056152344</v>
      </c>
      <c r="BB38" s="82">
        <v>109.6229248046875</v>
      </c>
      <c r="BC38" s="67"/>
      <c r="BD38" s="83">
        <v>33923</v>
      </c>
      <c r="BE38" s="42">
        <v>7024</v>
      </c>
      <c r="BF38" s="41">
        <f t="shared" si="9"/>
        <v>-1.4313780522032027E-2</v>
      </c>
      <c r="BG38" s="67"/>
      <c r="BH38" s="84">
        <v>33909</v>
      </c>
      <c r="BI38" s="85">
        <v>64.242199999999997</v>
      </c>
      <c r="BJ38" s="87">
        <f t="shared" si="10"/>
        <v>3.7922171266961957E-3</v>
      </c>
      <c r="BK38" s="67"/>
      <c r="BL38" s="84">
        <v>33909</v>
      </c>
      <c r="BM38" s="86">
        <v>-19.559795999999999</v>
      </c>
      <c r="BN38" s="67"/>
      <c r="BO38" s="88">
        <v>33909</v>
      </c>
      <c r="BP38" s="89">
        <v>0.98599999999999999</v>
      </c>
      <c r="BQ38" s="89">
        <v>1.0149999999999999</v>
      </c>
      <c r="BR38" s="90">
        <f t="shared" si="5"/>
        <v>-2.857142857142847E-2</v>
      </c>
    </row>
    <row r="39" spans="1:70">
      <c r="A39" s="62">
        <v>33939</v>
      </c>
      <c r="B39" s="63">
        <v>33939</v>
      </c>
      <c r="C39" s="39">
        <v>19.5</v>
      </c>
      <c r="D39" s="64">
        <v>19.8</v>
      </c>
      <c r="E39" s="40">
        <f t="shared" si="0"/>
        <v>-1.5151515151515138E-2</v>
      </c>
      <c r="F39" s="65"/>
      <c r="G39" s="63">
        <v>33939</v>
      </c>
      <c r="H39" s="39">
        <v>12.57</v>
      </c>
      <c r="I39" s="39">
        <v>12.94</v>
      </c>
      <c r="J39" s="40">
        <f t="shared" si="6"/>
        <v>-2.8593508500772691E-2</v>
      </c>
      <c r="K39" s="67"/>
      <c r="L39" s="68">
        <v>33939</v>
      </c>
      <c r="M39" s="69">
        <v>435.7</v>
      </c>
      <c r="N39" s="69">
        <v>431.4</v>
      </c>
      <c r="O39" s="70">
        <f t="shared" si="1"/>
        <v>9.9675475197034125E-3</v>
      </c>
      <c r="P39" s="67"/>
      <c r="Q39" s="38">
        <v>33939</v>
      </c>
      <c r="R39" s="39">
        <v>1.6870000000000001</v>
      </c>
      <c r="S39" s="39">
        <v>2.1</v>
      </c>
      <c r="T39" s="40">
        <f t="shared" si="12"/>
        <v>-0.19666666666666666</v>
      </c>
      <c r="U39" s="67"/>
      <c r="V39" s="38">
        <v>33939</v>
      </c>
      <c r="W39" s="39">
        <v>0.57210000000000005</v>
      </c>
      <c r="X39" s="39">
        <v>0.56999999999999995</v>
      </c>
      <c r="Y39" s="40">
        <f t="shared" si="2"/>
        <v>3.6842105263159564E-3</v>
      </c>
      <c r="Z39" s="67"/>
      <c r="AA39" s="71">
        <v>33939</v>
      </c>
      <c r="AB39" s="72">
        <v>333.1</v>
      </c>
      <c r="AC39" s="72">
        <v>335.8</v>
      </c>
      <c r="AD39" s="73">
        <f t="shared" si="3"/>
        <v>-8.0405002977962381E-3</v>
      </c>
      <c r="AE39" s="67"/>
      <c r="AF39" s="71">
        <v>33939</v>
      </c>
      <c r="AG39" s="72">
        <v>92.36</v>
      </c>
      <c r="AH39" s="72">
        <v>90.89</v>
      </c>
      <c r="AI39" s="73">
        <f t="shared" si="4"/>
        <v>1.6173396413246666E-2</v>
      </c>
      <c r="AJ39" s="67"/>
      <c r="AK39" s="74">
        <v>33969</v>
      </c>
      <c r="AL39" s="41">
        <v>6.7000000000000004E-2</v>
      </c>
      <c r="AM39" s="41">
        <f t="shared" si="11"/>
        <v>-2.5000000000000022E-3</v>
      </c>
      <c r="AN39" s="67"/>
      <c r="AO39" s="75">
        <v>33939</v>
      </c>
      <c r="AP39" s="76">
        <v>574207.75</v>
      </c>
      <c r="AQ39" s="80">
        <f t="shared" si="7"/>
        <v>8.745768738691595E-4</v>
      </c>
      <c r="AR39" s="67"/>
      <c r="AS39" s="94">
        <v>33939</v>
      </c>
      <c r="AT39" s="78">
        <v>0.88</v>
      </c>
      <c r="AU39" s="67"/>
      <c r="AV39" s="79">
        <v>33939</v>
      </c>
      <c r="AW39" s="76">
        <v>308661.25</v>
      </c>
      <c r="AX39" s="80">
        <f t="shared" si="8"/>
        <v>7.1762567626654228E-3</v>
      </c>
      <c r="AY39" s="67"/>
      <c r="AZ39" s="81">
        <v>33939</v>
      </c>
      <c r="BA39" s="82">
        <v>83.420967102050781</v>
      </c>
      <c r="BB39" s="82">
        <v>97.294036865234375</v>
      </c>
      <c r="BC39" s="67"/>
      <c r="BD39" s="83">
        <v>33953</v>
      </c>
      <c r="BE39" s="42">
        <v>7103</v>
      </c>
      <c r="BF39" s="41">
        <f t="shared" si="9"/>
        <v>1.1247152619590084E-2</v>
      </c>
      <c r="BG39" s="67"/>
      <c r="BH39" s="84">
        <v>33939</v>
      </c>
      <c r="BI39" s="85">
        <v>64.350700000000003</v>
      </c>
      <c r="BJ39" s="87">
        <f t="shared" si="10"/>
        <v>1.6889209896300272E-3</v>
      </c>
      <c r="BK39" s="67"/>
      <c r="BL39" s="84">
        <v>33939</v>
      </c>
      <c r="BM39" s="86">
        <v>-7.7547708999999996</v>
      </c>
      <c r="BN39" s="67"/>
      <c r="BO39" s="88">
        <v>33939</v>
      </c>
      <c r="BP39" s="89">
        <v>1.036</v>
      </c>
      <c r="BQ39" s="89">
        <v>0.97499999999999998</v>
      </c>
      <c r="BR39" s="90">
        <f t="shared" si="5"/>
        <v>6.2564102564102608E-2</v>
      </c>
    </row>
    <row r="40" spans="1:70">
      <c r="A40" s="62">
        <v>33970</v>
      </c>
      <c r="B40" s="63">
        <v>33970</v>
      </c>
      <c r="C40" s="39">
        <v>20.260000000000002</v>
      </c>
      <c r="D40" s="64">
        <v>19.43</v>
      </c>
      <c r="E40" s="40">
        <f t="shared" si="0"/>
        <v>4.2717447246526152E-2</v>
      </c>
      <c r="F40" s="65"/>
      <c r="G40" s="63">
        <v>33970</v>
      </c>
      <c r="H40" s="39">
        <v>12.42</v>
      </c>
      <c r="I40" s="39">
        <v>12.96</v>
      </c>
      <c r="J40" s="40">
        <f t="shared" si="6"/>
        <v>-4.1666666666666741E-2</v>
      </c>
      <c r="K40" s="67"/>
      <c r="L40" s="68">
        <v>33970</v>
      </c>
      <c r="M40" s="69">
        <v>438.8</v>
      </c>
      <c r="N40" s="69">
        <v>435.7</v>
      </c>
      <c r="O40" s="70">
        <f t="shared" si="1"/>
        <v>7.1149873766354066E-3</v>
      </c>
      <c r="P40" s="67"/>
      <c r="Q40" s="38">
        <v>33970</v>
      </c>
      <c r="R40" s="39">
        <v>1.597</v>
      </c>
      <c r="S40" s="39">
        <v>1.645</v>
      </c>
      <c r="T40" s="40">
        <f t="shared" si="12"/>
        <v>-2.9179331306990908E-2</v>
      </c>
      <c r="U40" s="67"/>
      <c r="V40" s="38">
        <v>33970</v>
      </c>
      <c r="W40" s="39">
        <v>0.56540000000000001</v>
      </c>
      <c r="X40" s="39">
        <v>0.5645</v>
      </c>
      <c r="Y40" s="40">
        <f t="shared" si="2"/>
        <v>1.5943312666075737E-3</v>
      </c>
      <c r="Z40" s="67"/>
      <c r="AA40" s="71">
        <v>33970</v>
      </c>
      <c r="AB40" s="72">
        <v>330.7</v>
      </c>
      <c r="AC40" s="72">
        <v>329.1</v>
      </c>
      <c r="AD40" s="73">
        <f t="shared" si="3"/>
        <v>4.8617441507139425E-3</v>
      </c>
      <c r="AE40" s="67"/>
      <c r="AF40" s="71">
        <v>33970</v>
      </c>
      <c r="AG40" s="72">
        <v>92.46</v>
      </c>
      <c r="AH40" s="72">
        <v>92.17</v>
      </c>
      <c r="AI40" s="73">
        <f t="shared" si="4"/>
        <v>3.1463599869805403E-3</v>
      </c>
      <c r="AJ40" s="67"/>
      <c r="AK40" s="74">
        <v>34000</v>
      </c>
      <c r="AL40" s="41">
        <v>6.3899999999999998E-2</v>
      </c>
      <c r="AM40" s="41">
        <f t="shared" si="11"/>
        <v>-3.1000000000000055E-3</v>
      </c>
      <c r="AN40" s="67"/>
      <c r="AO40" s="75">
        <v>33970</v>
      </c>
      <c r="AP40" s="76">
        <v>574946</v>
      </c>
      <c r="AQ40" s="80">
        <f t="shared" si="7"/>
        <v>1.2856844931123934E-3</v>
      </c>
      <c r="AR40" s="67"/>
      <c r="AS40" s="94">
        <v>33970</v>
      </c>
      <c r="AT40" s="78">
        <v>0.87</v>
      </c>
      <c r="AU40" s="67"/>
      <c r="AV40" s="79">
        <v>33970</v>
      </c>
      <c r="AW40" s="76">
        <v>304560</v>
      </c>
      <c r="AX40" s="80">
        <f t="shared" si="8"/>
        <v>-1.3287220213097695E-2</v>
      </c>
      <c r="AY40" s="67"/>
      <c r="AZ40" s="81">
        <v>33970</v>
      </c>
      <c r="BA40" s="82">
        <v>128.91807556152344</v>
      </c>
      <c r="BB40" s="82">
        <v>144.89353942871094</v>
      </c>
      <c r="BC40" s="67"/>
      <c r="BD40" s="83">
        <v>33984</v>
      </c>
      <c r="BE40" s="42">
        <v>6961</v>
      </c>
      <c r="BF40" s="41">
        <f t="shared" si="9"/>
        <v>-1.9991552864986661E-2</v>
      </c>
      <c r="BG40" s="67"/>
      <c r="BH40" s="84">
        <v>33970</v>
      </c>
      <c r="BI40" s="85">
        <v>64.597800000000007</v>
      </c>
      <c r="BJ40" s="87">
        <f t="shared" si="10"/>
        <v>3.839896069506743E-3</v>
      </c>
      <c r="BK40" s="67"/>
      <c r="BL40" s="84">
        <v>33970</v>
      </c>
      <c r="BM40" s="86">
        <v>-12.376644000000001</v>
      </c>
      <c r="BN40" s="67"/>
      <c r="BO40" s="88">
        <v>33970</v>
      </c>
      <c r="BP40" s="89">
        <v>0.99199999999999999</v>
      </c>
      <c r="BQ40" s="89">
        <v>1.044</v>
      </c>
      <c r="BR40" s="90">
        <f t="shared" si="5"/>
        <v>-4.9808429118774034E-2</v>
      </c>
    </row>
    <row r="41" spans="1:70">
      <c r="A41" s="62">
        <v>34001</v>
      </c>
      <c r="B41" s="63">
        <v>34001</v>
      </c>
      <c r="C41" s="39">
        <v>20.6</v>
      </c>
      <c r="D41" s="64">
        <v>20.399999999999999</v>
      </c>
      <c r="E41" s="40">
        <f t="shared" si="0"/>
        <v>9.8039215686276382E-3</v>
      </c>
      <c r="F41" s="65"/>
      <c r="G41" s="63">
        <v>34001</v>
      </c>
      <c r="H41" s="39">
        <v>13.16</v>
      </c>
      <c r="I41" s="39">
        <v>12.51</v>
      </c>
      <c r="J41" s="40">
        <f t="shared" si="6"/>
        <v>5.1958433253397329E-2</v>
      </c>
      <c r="K41" s="67"/>
      <c r="L41" s="68">
        <v>34001</v>
      </c>
      <c r="M41" s="69">
        <v>443.4</v>
      </c>
      <c r="N41" s="69">
        <v>438.8</v>
      </c>
      <c r="O41" s="70">
        <f t="shared" si="1"/>
        <v>1.0483135824977063E-2</v>
      </c>
      <c r="P41" s="67"/>
      <c r="Q41" s="38">
        <v>34001</v>
      </c>
      <c r="R41" s="39">
        <v>1.8560000000000001</v>
      </c>
      <c r="S41" s="39">
        <v>1.607</v>
      </c>
      <c r="T41" s="40">
        <f t="shared" si="12"/>
        <v>0.15494710640945875</v>
      </c>
      <c r="U41" s="67"/>
      <c r="V41" s="38">
        <v>34001</v>
      </c>
      <c r="W41" s="39">
        <v>0.58050000000000002</v>
      </c>
      <c r="X41" s="39">
        <v>0.57099999999999995</v>
      </c>
      <c r="Y41" s="40">
        <f t="shared" si="2"/>
        <v>1.6637478108581627E-2</v>
      </c>
      <c r="Z41" s="67"/>
      <c r="AA41" s="71">
        <v>34001</v>
      </c>
      <c r="AB41" s="72">
        <v>329.1</v>
      </c>
      <c r="AC41" s="72">
        <v>330.2</v>
      </c>
      <c r="AD41" s="73">
        <f t="shared" si="3"/>
        <v>-3.3313143549362767E-3</v>
      </c>
      <c r="AE41" s="67"/>
      <c r="AF41" s="71">
        <v>34001</v>
      </c>
      <c r="AG41" s="72">
        <v>94.05</v>
      </c>
      <c r="AH41" s="72">
        <v>92.47</v>
      </c>
      <c r="AI41" s="73">
        <f t="shared" si="4"/>
        <v>1.7086622688439412E-2</v>
      </c>
      <c r="AJ41" s="67"/>
      <c r="AK41" s="74">
        <v>34028</v>
      </c>
      <c r="AL41" s="41">
        <v>6.0299999999999999E-2</v>
      </c>
      <c r="AM41" s="41">
        <f t="shared" si="11"/>
        <v>-3.599999999999999E-3</v>
      </c>
      <c r="AN41" s="67"/>
      <c r="AO41" s="75">
        <v>34001</v>
      </c>
      <c r="AP41" s="76">
        <v>575481.75</v>
      </c>
      <c r="AQ41" s="80">
        <f t="shared" si="7"/>
        <v>9.3182664111068902E-4</v>
      </c>
      <c r="AR41" s="67"/>
      <c r="AS41" s="94">
        <v>34001</v>
      </c>
      <c r="AT41" s="78">
        <v>0.86</v>
      </c>
      <c r="AU41" s="67"/>
      <c r="AV41" s="79">
        <v>34001</v>
      </c>
      <c r="AW41" s="76">
        <v>313545</v>
      </c>
      <c r="AX41" s="80">
        <f t="shared" si="8"/>
        <v>2.9501576044129285E-2</v>
      </c>
      <c r="AY41" s="67"/>
      <c r="AZ41" s="81">
        <v>34001</v>
      </c>
      <c r="BA41" s="82">
        <v>90.468063354492188</v>
      </c>
      <c r="BB41" s="82">
        <v>105.26100158691406</v>
      </c>
      <c r="BC41" s="67"/>
      <c r="BD41" s="83">
        <v>34015</v>
      </c>
      <c r="BE41" s="42">
        <v>6943</v>
      </c>
      <c r="BF41" s="41">
        <f t="shared" si="9"/>
        <v>-2.5858353684815594E-3</v>
      </c>
      <c r="BG41" s="67"/>
      <c r="BH41" s="84">
        <v>34001</v>
      </c>
      <c r="BI41" s="85">
        <v>64.908900000000003</v>
      </c>
      <c r="BJ41" s="87">
        <f t="shared" si="10"/>
        <v>4.8159534844838259E-3</v>
      </c>
      <c r="BK41" s="67"/>
      <c r="BL41" s="84">
        <v>34001</v>
      </c>
      <c r="BM41" s="86">
        <v>-10.212887</v>
      </c>
      <c r="BN41" s="67"/>
      <c r="BO41" s="88">
        <v>34001</v>
      </c>
      <c r="BP41" s="89">
        <v>0.95950000000000002</v>
      </c>
      <c r="BQ41" s="89">
        <v>0.99199999999999999</v>
      </c>
      <c r="BR41" s="90">
        <f t="shared" si="5"/>
        <v>-3.2762096774193505E-2</v>
      </c>
    </row>
    <row r="42" spans="1:70">
      <c r="A42" s="62">
        <v>34029</v>
      </c>
      <c r="B42" s="63">
        <v>34029</v>
      </c>
      <c r="C42" s="39">
        <v>20.440000000000001</v>
      </c>
      <c r="D42" s="64">
        <v>20.43</v>
      </c>
      <c r="E42" s="40">
        <f t="shared" si="0"/>
        <v>4.8947626040152237E-4</v>
      </c>
      <c r="F42" s="65"/>
      <c r="G42" s="63">
        <v>34029</v>
      </c>
      <c r="H42" s="39">
        <v>12.53</v>
      </c>
      <c r="I42" s="39">
        <v>13.13</v>
      </c>
      <c r="J42" s="40">
        <f t="shared" si="6"/>
        <v>-4.5696877380045797E-2</v>
      </c>
      <c r="K42" s="67"/>
      <c r="L42" s="68">
        <v>34029</v>
      </c>
      <c r="M42" s="69">
        <v>451.7</v>
      </c>
      <c r="N42" s="69">
        <v>443.4</v>
      </c>
      <c r="O42" s="70">
        <f t="shared" si="1"/>
        <v>1.871898962562013E-2</v>
      </c>
      <c r="P42" s="67"/>
      <c r="Q42" s="38">
        <v>34029</v>
      </c>
      <c r="R42" s="39">
        <v>2.069</v>
      </c>
      <c r="S42" s="39">
        <v>1.86</v>
      </c>
      <c r="T42" s="40">
        <f t="shared" si="12"/>
        <v>0.11236559139784941</v>
      </c>
      <c r="U42" s="67"/>
      <c r="V42" s="38">
        <v>34029</v>
      </c>
      <c r="W42" s="39">
        <v>0.56110000000000004</v>
      </c>
      <c r="X42" s="39">
        <v>0.5665</v>
      </c>
      <c r="Y42" s="40">
        <f t="shared" si="2"/>
        <v>-9.5322153574579627E-3</v>
      </c>
      <c r="Z42" s="67"/>
      <c r="AA42" s="71">
        <v>34029</v>
      </c>
      <c r="AB42" s="72">
        <v>339.3</v>
      </c>
      <c r="AC42" s="72">
        <v>329.5</v>
      </c>
      <c r="AD42" s="73">
        <f t="shared" si="3"/>
        <v>2.9742033383915123E-2</v>
      </c>
      <c r="AE42" s="67"/>
      <c r="AF42" s="71">
        <v>34029</v>
      </c>
      <c r="AG42" s="72">
        <v>91.87</v>
      </c>
      <c r="AH42" s="72">
        <v>94.09</v>
      </c>
      <c r="AI42" s="73">
        <f t="shared" si="4"/>
        <v>-2.3594430864066318E-2</v>
      </c>
      <c r="AJ42" s="67"/>
      <c r="AK42" s="74">
        <v>34059</v>
      </c>
      <c r="AL42" s="41">
        <v>6.0299999999999999E-2</v>
      </c>
      <c r="AM42" s="41">
        <f t="shared" si="11"/>
        <v>0</v>
      </c>
      <c r="AN42" s="67"/>
      <c r="AO42" s="75">
        <v>34029</v>
      </c>
      <c r="AP42" s="76">
        <v>576508.75</v>
      </c>
      <c r="AQ42" s="80">
        <f t="shared" si="7"/>
        <v>1.7845917789747201E-3</v>
      </c>
      <c r="AR42" s="67"/>
      <c r="AS42" s="94">
        <v>34029</v>
      </c>
      <c r="AT42" s="78">
        <v>0.86499999999999999</v>
      </c>
      <c r="AU42" s="67"/>
      <c r="AV42" s="79">
        <v>34029</v>
      </c>
      <c r="AW42" s="76">
        <v>321485.75</v>
      </c>
      <c r="AX42" s="80">
        <f t="shared" si="8"/>
        <v>2.532571082300783E-2</v>
      </c>
      <c r="AY42" s="67"/>
      <c r="AZ42" s="81">
        <v>34029</v>
      </c>
      <c r="BA42" s="82">
        <v>94.241447448730469</v>
      </c>
      <c r="BB42" s="82">
        <v>99.9146728515625</v>
      </c>
      <c r="BC42" s="67"/>
      <c r="BD42" s="83">
        <v>34043</v>
      </c>
      <c r="BE42" s="42">
        <v>6974</v>
      </c>
      <c r="BF42" s="41">
        <f t="shared" si="9"/>
        <v>4.4649287051705677E-3</v>
      </c>
      <c r="BG42" s="67"/>
      <c r="BH42" s="84">
        <v>34029</v>
      </c>
      <c r="BI42" s="85">
        <v>64.852199999999996</v>
      </c>
      <c r="BJ42" s="87">
        <f t="shared" si="10"/>
        <v>-8.735319809765052E-4</v>
      </c>
      <c r="BK42" s="67"/>
      <c r="BL42" s="84">
        <v>34029</v>
      </c>
      <c r="BM42" s="86">
        <v>-2.0941299999999998</v>
      </c>
      <c r="BN42" s="67"/>
      <c r="BO42" s="88">
        <v>34029</v>
      </c>
      <c r="BP42" s="89">
        <v>0.96599999999999997</v>
      </c>
      <c r="BQ42" s="89">
        <v>0.94699999999999995</v>
      </c>
      <c r="BR42" s="90">
        <f t="shared" si="5"/>
        <v>2.0063357972544882E-2</v>
      </c>
    </row>
    <row r="43" spans="1:70">
      <c r="A43" s="62">
        <v>34060</v>
      </c>
      <c r="B43" s="63">
        <v>34060</v>
      </c>
      <c r="C43" s="39">
        <v>20.53</v>
      </c>
      <c r="D43" s="64">
        <v>20.45</v>
      </c>
      <c r="E43" s="40">
        <f t="shared" si="0"/>
        <v>3.9119804400979952E-3</v>
      </c>
      <c r="F43" s="65"/>
      <c r="G43" s="63">
        <v>34060</v>
      </c>
      <c r="H43" s="39">
        <v>12.42</v>
      </c>
      <c r="I43" s="39">
        <v>13.04</v>
      </c>
      <c r="J43" s="40">
        <f t="shared" si="6"/>
        <v>-4.7546012269938598E-2</v>
      </c>
      <c r="K43" s="67"/>
      <c r="L43" s="68">
        <v>34060</v>
      </c>
      <c r="M43" s="69">
        <v>440.2</v>
      </c>
      <c r="N43" s="69">
        <v>451.7</v>
      </c>
      <c r="O43" s="70">
        <f t="shared" si="1"/>
        <v>-2.5459375691830877E-2</v>
      </c>
      <c r="P43" s="67"/>
      <c r="Q43" s="38">
        <v>34060</v>
      </c>
      <c r="R43" s="39">
        <v>2.3650000000000002</v>
      </c>
      <c r="S43" s="39">
        <v>2.0699999999999998</v>
      </c>
      <c r="T43" s="40">
        <f t="shared" si="12"/>
        <v>0.14251207729468618</v>
      </c>
      <c r="U43" s="67"/>
      <c r="V43" s="38">
        <v>34060</v>
      </c>
      <c r="W43" s="39">
        <v>0.55840000000000001</v>
      </c>
      <c r="X43" s="39">
        <v>0.5605</v>
      </c>
      <c r="Y43" s="40">
        <f t="shared" si="2"/>
        <v>-3.7466547725245603E-3</v>
      </c>
      <c r="Z43" s="67"/>
      <c r="AA43" s="71">
        <v>34060</v>
      </c>
      <c r="AB43" s="72">
        <v>357.2</v>
      </c>
      <c r="AC43" s="72">
        <v>338.6</v>
      </c>
      <c r="AD43" s="73">
        <f t="shared" si="3"/>
        <v>5.4932073242764279E-2</v>
      </c>
      <c r="AE43" s="67"/>
      <c r="AF43" s="71">
        <v>34060</v>
      </c>
      <c r="AG43" s="72">
        <v>89.49</v>
      </c>
      <c r="AH43" s="72">
        <v>91.96</v>
      </c>
      <c r="AI43" s="73">
        <f t="shared" si="4"/>
        <v>-2.6859504132231371E-2</v>
      </c>
      <c r="AJ43" s="67"/>
      <c r="AK43" s="74">
        <v>34089</v>
      </c>
      <c r="AL43" s="41">
        <v>6.0499999999999998E-2</v>
      </c>
      <c r="AM43" s="41">
        <f t="shared" si="11"/>
        <v>1.9999999999999879E-4</v>
      </c>
      <c r="AN43" s="67"/>
      <c r="AO43" s="75">
        <v>34060</v>
      </c>
      <c r="AP43" s="76">
        <v>579223.4</v>
      </c>
      <c r="AQ43" s="80">
        <f t="shared" si="7"/>
        <v>4.7087750185925703E-3</v>
      </c>
      <c r="AR43" s="67"/>
      <c r="AS43" s="94">
        <v>34060</v>
      </c>
      <c r="AT43" s="78">
        <v>0.90400000000000003</v>
      </c>
      <c r="AU43" s="67"/>
      <c r="AV43" s="79">
        <v>34060</v>
      </c>
      <c r="AW43" s="76">
        <v>327529.59999999998</v>
      </c>
      <c r="AX43" s="80">
        <f t="shared" si="8"/>
        <v>1.8799744623206438E-2</v>
      </c>
      <c r="AY43" s="67"/>
      <c r="AZ43" s="81">
        <v>34060</v>
      </c>
      <c r="BA43" s="82">
        <v>112.72166442871094</v>
      </c>
      <c r="BB43" s="82">
        <v>144.03901672363281</v>
      </c>
      <c r="BC43" s="67"/>
      <c r="BD43" s="83">
        <v>34074</v>
      </c>
      <c r="BE43" s="42">
        <v>6881</v>
      </c>
      <c r="BF43" s="41">
        <f t="shared" si="9"/>
        <v>-1.3335245196443912E-2</v>
      </c>
      <c r="BG43" s="67"/>
      <c r="BH43" s="84">
        <v>34060</v>
      </c>
      <c r="BI43" s="85">
        <v>65.030100000000004</v>
      </c>
      <c r="BJ43" s="87">
        <f t="shared" si="10"/>
        <v>2.7431606021077748E-3</v>
      </c>
      <c r="BK43" s="67"/>
      <c r="BL43" s="84">
        <v>34060</v>
      </c>
      <c r="BM43" s="86">
        <v>1.9375069</v>
      </c>
      <c r="BN43" s="67"/>
      <c r="BO43" s="88">
        <v>34060</v>
      </c>
      <c r="BP43" s="89">
        <v>0.84499999999999997</v>
      </c>
      <c r="BQ43" s="89">
        <v>0.96650000000000003</v>
      </c>
      <c r="BR43" s="90">
        <f t="shared" si="5"/>
        <v>-0.12571132953957587</v>
      </c>
    </row>
    <row r="44" spans="1:70">
      <c r="A44" s="62">
        <v>34090</v>
      </c>
      <c r="B44" s="63">
        <v>34090</v>
      </c>
      <c r="C44" s="39">
        <v>20.02</v>
      </c>
      <c r="D44" s="64">
        <v>20.5</v>
      </c>
      <c r="E44" s="40">
        <f t="shared" si="0"/>
        <v>-2.3414634146341484E-2</v>
      </c>
      <c r="F44" s="65"/>
      <c r="G44" s="63">
        <v>34090</v>
      </c>
      <c r="H44" s="39">
        <v>13.47</v>
      </c>
      <c r="I44" s="39">
        <v>13.25</v>
      </c>
      <c r="J44" s="40">
        <f t="shared" si="6"/>
        <v>1.6603773584905612E-2</v>
      </c>
      <c r="K44" s="67"/>
      <c r="L44" s="68">
        <v>34090</v>
      </c>
      <c r="M44" s="69">
        <v>450.2</v>
      </c>
      <c r="N44" s="69">
        <v>440.2</v>
      </c>
      <c r="O44" s="70">
        <f t="shared" si="1"/>
        <v>2.2716946842344488E-2</v>
      </c>
      <c r="P44" s="67"/>
      <c r="Q44" s="38">
        <v>34090</v>
      </c>
      <c r="R44" s="39">
        <v>2.141</v>
      </c>
      <c r="S44" s="39">
        <v>2.335</v>
      </c>
      <c r="T44" s="40">
        <f t="shared" si="12"/>
        <v>-8.3083511777301888E-2</v>
      </c>
      <c r="U44" s="67"/>
      <c r="V44" s="38">
        <v>34090</v>
      </c>
      <c r="W44" s="39">
        <v>0.54490000000000005</v>
      </c>
      <c r="X44" s="39">
        <v>0.5635</v>
      </c>
      <c r="Y44" s="40">
        <f t="shared" si="2"/>
        <v>-3.3007985803016782E-2</v>
      </c>
      <c r="Z44" s="67"/>
      <c r="AA44" s="71">
        <v>34090</v>
      </c>
      <c r="AB44" s="72">
        <v>380.3</v>
      </c>
      <c r="AC44" s="72">
        <v>358.8</v>
      </c>
      <c r="AD44" s="73">
        <f t="shared" si="3"/>
        <v>5.9921962095875081E-2</v>
      </c>
      <c r="AE44" s="67"/>
      <c r="AF44" s="71">
        <v>34090</v>
      </c>
      <c r="AG44" s="72">
        <v>89.08</v>
      </c>
      <c r="AH44" s="72">
        <v>89.49</v>
      </c>
      <c r="AI44" s="73">
        <f t="shared" si="4"/>
        <v>-4.5815174879874077E-3</v>
      </c>
      <c r="AJ44" s="67"/>
      <c r="AK44" s="74">
        <v>34120</v>
      </c>
      <c r="AL44" s="41">
        <v>6.1600000000000002E-2</v>
      </c>
      <c r="AM44" s="41">
        <f t="shared" si="11"/>
        <v>1.1000000000000038E-3</v>
      </c>
      <c r="AN44" s="67"/>
      <c r="AO44" s="92">
        <v>34090</v>
      </c>
      <c r="AP44" s="76">
        <v>581845.5</v>
      </c>
      <c r="AQ44" s="80">
        <f t="shared" si="7"/>
        <v>4.5269234633822375E-3</v>
      </c>
      <c r="AR44" s="67"/>
      <c r="AS44" s="97">
        <v>34090</v>
      </c>
      <c r="AT44" s="78">
        <v>0.92249999999999999</v>
      </c>
      <c r="AU44" s="67"/>
      <c r="AV44" s="93">
        <v>34090</v>
      </c>
      <c r="AW44" s="76">
        <v>334326.5</v>
      </c>
      <c r="AX44" s="80">
        <f t="shared" si="8"/>
        <v>2.0752017527576161E-2</v>
      </c>
      <c r="AY44" s="67"/>
      <c r="AZ44" s="81">
        <v>34090</v>
      </c>
      <c r="BA44" s="82">
        <v>110.72975158691406</v>
      </c>
      <c r="BB44" s="82">
        <v>137.38629150390625</v>
      </c>
      <c r="BC44" s="67"/>
      <c r="BD44" s="83">
        <v>34104</v>
      </c>
      <c r="BE44" s="42">
        <v>6847</v>
      </c>
      <c r="BF44" s="41">
        <f t="shared" si="9"/>
        <v>-4.9411422758319778E-3</v>
      </c>
      <c r="BG44" s="67"/>
      <c r="BH44" s="84">
        <v>34090</v>
      </c>
      <c r="BI44" s="85">
        <v>64.784000000000006</v>
      </c>
      <c r="BJ44" s="87">
        <f t="shared" si="10"/>
        <v>-3.7844013772083684E-3</v>
      </c>
      <c r="BK44" s="67"/>
      <c r="BL44" s="84">
        <v>34090</v>
      </c>
      <c r="BM44" s="86">
        <v>8.0186297999999994</v>
      </c>
      <c r="BN44" s="67"/>
      <c r="BO44" s="88">
        <v>34090</v>
      </c>
      <c r="BP44" s="89">
        <v>0.80100000000000005</v>
      </c>
      <c r="BQ44" s="89">
        <v>0.84199999999999997</v>
      </c>
      <c r="BR44" s="90">
        <f t="shared" si="5"/>
        <v>-4.8693586698337232E-2</v>
      </c>
    </row>
    <row r="45" spans="1:70">
      <c r="A45" s="62">
        <v>34121</v>
      </c>
      <c r="B45" s="63">
        <v>34121</v>
      </c>
      <c r="C45" s="39">
        <v>18.850000000000001</v>
      </c>
      <c r="D45" s="64">
        <v>19.97</v>
      </c>
      <c r="E45" s="40">
        <f t="shared" si="0"/>
        <v>-5.6084126189283823E-2</v>
      </c>
      <c r="F45" s="65"/>
      <c r="G45" s="63">
        <v>34121</v>
      </c>
      <c r="H45" s="39">
        <v>11.26</v>
      </c>
      <c r="I45" s="39">
        <v>13.64</v>
      </c>
      <c r="J45" s="40">
        <f t="shared" si="6"/>
        <v>-0.17448680351906165</v>
      </c>
      <c r="K45" s="67"/>
      <c r="L45" s="68">
        <v>34121</v>
      </c>
      <c r="M45" s="69">
        <v>450.5</v>
      </c>
      <c r="N45" s="69">
        <v>450.2</v>
      </c>
      <c r="O45" s="70">
        <f t="shared" si="1"/>
        <v>6.6637050199913617E-4</v>
      </c>
      <c r="P45" s="67"/>
      <c r="Q45" s="38">
        <v>34121</v>
      </c>
      <c r="R45" s="39">
        <v>2.181</v>
      </c>
      <c r="S45" s="39">
        <v>2.14</v>
      </c>
      <c r="T45" s="40">
        <f t="shared" si="12"/>
        <v>1.9158878504672794E-2</v>
      </c>
      <c r="U45" s="67"/>
      <c r="V45" s="38">
        <v>34121</v>
      </c>
      <c r="W45" s="39">
        <v>0.52480000000000004</v>
      </c>
      <c r="X45" s="39">
        <v>0.55300000000000005</v>
      </c>
      <c r="Y45" s="40">
        <f t="shared" si="2"/>
        <v>-5.099457504520799E-2</v>
      </c>
      <c r="Z45" s="67"/>
      <c r="AA45" s="71">
        <v>34121</v>
      </c>
      <c r="AB45" s="72">
        <v>379.2</v>
      </c>
      <c r="AC45" s="72">
        <v>379.7</v>
      </c>
      <c r="AD45" s="73">
        <f t="shared" si="3"/>
        <v>-1.3168290755859458E-3</v>
      </c>
      <c r="AE45" s="67"/>
      <c r="AF45" s="71">
        <v>34121</v>
      </c>
      <c r="AG45" s="72">
        <v>93.63</v>
      </c>
      <c r="AH45" s="72">
        <v>89.1</v>
      </c>
      <c r="AI45" s="73">
        <f t="shared" si="4"/>
        <v>5.084175084175091E-2</v>
      </c>
      <c r="AJ45" s="67"/>
      <c r="AK45" s="74">
        <v>34150</v>
      </c>
      <c r="AL45" s="41">
        <v>5.7999999999999996E-2</v>
      </c>
      <c r="AM45" s="41">
        <f t="shared" si="11"/>
        <v>-3.600000000000006E-3</v>
      </c>
      <c r="AN45" s="67"/>
      <c r="AO45" s="75">
        <v>34121</v>
      </c>
      <c r="AP45" s="76">
        <v>582272.5</v>
      </c>
      <c r="AQ45" s="80">
        <f t="shared" si="7"/>
        <v>7.3387179242589973E-4</v>
      </c>
      <c r="AR45" s="67"/>
      <c r="AS45" s="94">
        <v>34121</v>
      </c>
      <c r="AT45" s="78">
        <v>0.94499999999999995</v>
      </c>
      <c r="AU45" s="67"/>
      <c r="AV45" s="79">
        <v>34121</v>
      </c>
      <c r="AW45" s="76">
        <v>332949.5</v>
      </c>
      <c r="AX45" s="80">
        <f t="shared" si="8"/>
        <v>-4.1187282491815802E-3</v>
      </c>
      <c r="AY45" s="67"/>
      <c r="AZ45" s="81">
        <v>34121</v>
      </c>
      <c r="BA45" s="82">
        <v>104.19525146484375</v>
      </c>
      <c r="BB45" s="82">
        <v>125.46405029296875</v>
      </c>
      <c r="BC45" s="67"/>
      <c r="BD45" s="83">
        <v>34135</v>
      </c>
      <c r="BE45" s="42">
        <v>6795</v>
      </c>
      <c r="BF45" s="41">
        <f t="shared" si="9"/>
        <v>-7.5945669636336977E-3</v>
      </c>
      <c r="BG45" s="67"/>
      <c r="BH45" s="84">
        <v>34121</v>
      </c>
      <c r="BI45" s="85">
        <v>64.930099999999996</v>
      </c>
      <c r="BJ45" s="87">
        <f t="shared" si="10"/>
        <v>2.2551864657938125E-3</v>
      </c>
      <c r="BK45" s="67"/>
      <c r="BL45" s="84">
        <v>34121</v>
      </c>
      <c r="BM45" s="86">
        <v>4.6812218999999997</v>
      </c>
      <c r="BN45" s="67"/>
      <c r="BO45" s="88">
        <v>34121</v>
      </c>
      <c r="BP45" s="89">
        <v>0.86499999999999999</v>
      </c>
      <c r="BQ45" s="89">
        <v>0.81100000000000005</v>
      </c>
      <c r="BR45" s="90">
        <f t="shared" si="5"/>
        <v>6.6584463625154022E-2</v>
      </c>
    </row>
    <row r="46" spans="1:70">
      <c r="A46" s="62">
        <v>34151</v>
      </c>
      <c r="B46" s="63">
        <v>34151</v>
      </c>
      <c r="C46" s="39">
        <v>17.88</v>
      </c>
      <c r="D46" s="64">
        <v>18.850000000000001</v>
      </c>
      <c r="E46" s="40">
        <f t="shared" si="0"/>
        <v>-5.1458885941644716E-2</v>
      </c>
      <c r="F46" s="65"/>
      <c r="G46" s="63">
        <v>34151</v>
      </c>
      <c r="H46" s="39">
        <v>11.73</v>
      </c>
      <c r="I46" s="39">
        <v>10.49</v>
      </c>
      <c r="J46" s="40">
        <f t="shared" si="6"/>
        <v>0.11820781696854143</v>
      </c>
      <c r="K46" s="67"/>
      <c r="L46" s="68">
        <v>34151</v>
      </c>
      <c r="M46" s="69">
        <v>448.1</v>
      </c>
      <c r="N46" s="69">
        <v>450.5</v>
      </c>
      <c r="O46" s="70">
        <f t="shared" si="1"/>
        <v>-5.3274139844616819E-3</v>
      </c>
      <c r="P46" s="67"/>
      <c r="Q46" s="38">
        <v>34151</v>
      </c>
      <c r="R46" s="39">
        <v>2.2200000000000002</v>
      </c>
      <c r="S46" s="39">
        <v>2.16</v>
      </c>
      <c r="T46" s="40">
        <f t="shared" si="12"/>
        <v>2.7777777777777901E-2</v>
      </c>
      <c r="U46" s="67"/>
      <c r="V46" s="38">
        <v>34151</v>
      </c>
      <c r="W46" s="39">
        <v>0.5081</v>
      </c>
      <c r="X46" s="39">
        <v>0.53369999999999995</v>
      </c>
      <c r="Y46" s="40">
        <f t="shared" si="2"/>
        <v>-4.7967022671912996E-2</v>
      </c>
      <c r="Z46" s="67"/>
      <c r="AA46" s="71">
        <v>34151</v>
      </c>
      <c r="AB46" s="72">
        <v>411.3</v>
      </c>
      <c r="AC46" s="72">
        <v>378.9</v>
      </c>
      <c r="AD46" s="73">
        <f t="shared" si="3"/>
        <v>8.5510688836104576E-2</v>
      </c>
      <c r="AE46" s="67"/>
      <c r="AF46" s="71">
        <v>34151</v>
      </c>
      <c r="AG46" s="72">
        <v>95.37</v>
      </c>
      <c r="AH46" s="72">
        <v>93.7</v>
      </c>
      <c r="AI46" s="73">
        <f t="shared" si="4"/>
        <v>1.7822838847385336E-2</v>
      </c>
      <c r="AJ46" s="67"/>
      <c r="AK46" s="74">
        <v>34181</v>
      </c>
      <c r="AL46" s="41">
        <v>5.8299999999999998E-2</v>
      </c>
      <c r="AM46" s="41">
        <f t="shared" si="11"/>
        <v>3.0000000000000165E-4</v>
      </c>
      <c r="AN46" s="67"/>
      <c r="AO46" s="75">
        <v>34151</v>
      </c>
      <c r="AP46" s="76">
        <v>582819.4</v>
      </c>
      <c r="AQ46" s="80">
        <f t="shared" si="7"/>
        <v>9.3925095208868825E-4</v>
      </c>
      <c r="AR46" s="67"/>
      <c r="AS46" s="94">
        <v>34151</v>
      </c>
      <c r="AT46" s="78">
        <v>0.95499999999999996</v>
      </c>
      <c r="AU46" s="67"/>
      <c r="AV46" s="79">
        <v>34151</v>
      </c>
      <c r="AW46" s="76">
        <v>336538</v>
      </c>
      <c r="AX46" s="80">
        <f t="shared" si="8"/>
        <v>1.0777910764244947E-2</v>
      </c>
      <c r="AY46" s="67"/>
      <c r="AZ46" s="81">
        <v>34151</v>
      </c>
      <c r="BA46" s="82">
        <v>123.31478881835938</v>
      </c>
      <c r="BB46" s="82">
        <v>131.75840759277344</v>
      </c>
      <c r="BC46" s="67"/>
      <c r="BD46" s="83">
        <v>34165</v>
      </c>
      <c r="BE46" s="42">
        <v>6688</v>
      </c>
      <c r="BF46" s="41">
        <f t="shared" si="9"/>
        <v>-1.5746872700515113E-2</v>
      </c>
      <c r="BG46" s="67"/>
      <c r="BH46" s="84">
        <v>34151</v>
      </c>
      <c r="BI46" s="85">
        <v>65.105199999999996</v>
      </c>
      <c r="BJ46" s="87">
        <f t="shared" si="10"/>
        <v>2.696746193213917E-3</v>
      </c>
      <c r="BK46" s="67"/>
      <c r="BL46" s="84">
        <v>34151</v>
      </c>
      <c r="BM46" s="86">
        <v>-6.8015828000000003</v>
      </c>
      <c r="BN46" s="67"/>
      <c r="BO46" s="88">
        <v>34151</v>
      </c>
      <c r="BP46" s="89">
        <v>0.88300000000000001</v>
      </c>
      <c r="BQ46" s="89">
        <v>0.86750000000000005</v>
      </c>
      <c r="BR46" s="90">
        <f t="shared" si="5"/>
        <v>1.786743515850131E-2</v>
      </c>
    </row>
    <row r="47" spans="1:70">
      <c r="A47" s="62">
        <v>34182</v>
      </c>
      <c r="B47" s="63">
        <v>34182</v>
      </c>
      <c r="C47" s="39">
        <v>18.29</v>
      </c>
      <c r="D47" s="64">
        <v>17.55</v>
      </c>
      <c r="E47" s="40">
        <f t="shared" si="0"/>
        <v>4.2165242165242089E-2</v>
      </c>
      <c r="F47" s="65"/>
      <c r="G47" s="63">
        <v>34182</v>
      </c>
      <c r="H47" s="39">
        <v>11.85</v>
      </c>
      <c r="I47" s="39">
        <v>11.81</v>
      </c>
      <c r="J47" s="40">
        <f t="shared" si="6"/>
        <v>3.3869602032174928E-3</v>
      </c>
      <c r="K47" s="67"/>
      <c r="L47" s="68">
        <v>34182</v>
      </c>
      <c r="M47" s="69">
        <v>463.6</v>
      </c>
      <c r="N47" s="69">
        <v>448.1</v>
      </c>
      <c r="O47" s="70">
        <f t="shared" si="1"/>
        <v>3.4590493193483507E-2</v>
      </c>
      <c r="P47" s="67"/>
      <c r="Q47" s="38">
        <v>34182</v>
      </c>
      <c r="R47" s="39">
        <v>2.375</v>
      </c>
      <c r="S47" s="39">
        <v>2.2250000000000001</v>
      </c>
      <c r="T47" s="40">
        <f t="shared" si="12"/>
        <v>6.7415730337078594E-2</v>
      </c>
      <c r="U47" s="67"/>
      <c r="V47" s="38">
        <v>34182</v>
      </c>
      <c r="W47" s="39">
        <v>0.53639999999999999</v>
      </c>
      <c r="X47" s="39">
        <v>0.54300000000000004</v>
      </c>
      <c r="Y47" s="40">
        <f t="shared" si="2"/>
        <v>-1.2154696132596787E-2</v>
      </c>
      <c r="Z47" s="67"/>
      <c r="AA47" s="71">
        <v>34182</v>
      </c>
      <c r="AB47" s="72">
        <v>375.7</v>
      </c>
      <c r="AC47" s="72">
        <v>410.4</v>
      </c>
      <c r="AD47" s="73">
        <f t="shared" si="3"/>
        <v>-8.4551656920077933E-2</v>
      </c>
      <c r="AE47" s="67"/>
      <c r="AF47" s="71">
        <v>34182</v>
      </c>
      <c r="AG47" s="72">
        <v>93.95</v>
      </c>
      <c r="AH47" s="72">
        <v>95.48</v>
      </c>
      <c r="AI47" s="73">
        <f t="shared" si="4"/>
        <v>-1.6024298282362848E-2</v>
      </c>
      <c r="AJ47" s="67"/>
      <c r="AK47" s="74">
        <v>34212</v>
      </c>
      <c r="AL47" s="41">
        <v>5.45E-2</v>
      </c>
      <c r="AM47" s="41">
        <f t="shared" si="11"/>
        <v>-3.7999999999999978E-3</v>
      </c>
      <c r="AN47" s="67"/>
      <c r="AO47" s="75">
        <v>34182</v>
      </c>
      <c r="AP47" s="76">
        <v>583627.25</v>
      </c>
      <c r="AQ47" s="80">
        <f t="shared" si="7"/>
        <v>1.386106914080143E-3</v>
      </c>
      <c r="AR47" s="67"/>
      <c r="AS47" s="94">
        <v>34182</v>
      </c>
      <c r="AT47" s="78">
        <v>0.94099999999999995</v>
      </c>
      <c r="AU47" s="67"/>
      <c r="AV47" s="79">
        <v>34182</v>
      </c>
      <c r="AW47" s="76">
        <v>329255</v>
      </c>
      <c r="AX47" s="80">
        <f t="shared" si="8"/>
        <v>-2.1640943964723158E-2</v>
      </c>
      <c r="AY47" s="67"/>
      <c r="AZ47" s="81">
        <v>34182</v>
      </c>
      <c r="BA47" s="82">
        <v>97.241676330566406</v>
      </c>
      <c r="BB47" s="82">
        <v>97.085624694824219</v>
      </c>
      <c r="BC47" s="67"/>
      <c r="BD47" s="83">
        <v>34196</v>
      </c>
      <c r="BE47" s="42">
        <v>6758</v>
      </c>
      <c r="BF47" s="41">
        <f t="shared" si="9"/>
        <v>1.0466507177033568E-2</v>
      </c>
      <c r="BG47" s="67"/>
      <c r="BH47" s="84">
        <v>34182</v>
      </c>
      <c r="BI47" s="85">
        <v>65.026700000000005</v>
      </c>
      <c r="BJ47" s="87">
        <f t="shared" si="10"/>
        <v>-1.2057408624809307E-3</v>
      </c>
      <c r="BK47" s="67"/>
      <c r="BL47" s="84">
        <v>34182</v>
      </c>
      <c r="BM47" s="86">
        <v>-6.1180193999999997</v>
      </c>
      <c r="BN47" s="67"/>
      <c r="BO47" s="88">
        <v>34182</v>
      </c>
      <c r="BP47" s="89">
        <v>0.85899999999999999</v>
      </c>
      <c r="BQ47" s="89">
        <v>0.878</v>
      </c>
      <c r="BR47" s="90">
        <f t="shared" si="5"/>
        <v>-2.1640091116173155E-2</v>
      </c>
    </row>
    <row r="48" spans="1:70">
      <c r="A48" s="62">
        <v>34213</v>
      </c>
      <c r="B48" s="63">
        <v>34213</v>
      </c>
      <c r="C48" s="39">
        <v>18.79</v>
      </c>
      <c r="D48" s="64">
        <v>18.05</v>
      </c>
      <c r="E48" s="40">
        <f t="shared" si="0"/>
        <v>4.0997229916897471E-2</v>
      </c>
      <c r="F48" s="65"/>
      <c r="G48" s="63">
        <v>34213</v>
      </c>
      <c r="H48" s="39">
        <v>12.99</v>
      </c>
      <c r="I48" s="39">
        <v>11.3</v>
      </c>
      <c r="J48" s="40">
        <f t="shared" si="6"/>
        <v>0.14955752212389384</v>
      </c>
      <c r="K48" s="67"/>
      <c r="L48" s="68">
        <v>34213</v>
      </c>
      <c r="M48" s="69">
        <v>458.9</v>
      </c>
      <c r="N48" s="69">
        <v>463.6</v>
      </c>
      <c r="O48" s="70">
        <f t="shared" si="1"/>
        <v>-1.0138050043140723E-2</v>
      </c>
      <c r="P48" s="67"/>
      <c r="Q48" s="38">
        <v>34213</v>
      </c>
      <c r="R48" s="39">
        <v>2.2909999999999999</v>
      </c>
      <c r="S48" s="39">
        <v>2.36</v>
      </c>
      <c r="T48" s="40">
        <f t="shared" si="12"/>
        <v>-2.9237288135593231E-2</v>
      </c>
      <c r="U48" s="67"/>
      <c r="V48" s="38">
        <v>34213</v>
      </c>
      <c r="W48" s="39">
        <v>0.5706</v>
      </c>
      <c r="X48" s="39">
        <v>0.54500000000000004</v>
      </c>
      <c r="Y48" s="40">
        <f t="shared" si="2"/>
        <v>4.6972477064220142E-2</v>
      </c>
      <c r="Z48" s="67"/>
      <c r="AA48" s="71">
        <v>34213</v>
      </c>
      <c r="AB48" s="72">
        <v>357.1</v>
      </c>
      <c r="AC48" s="72">
        <v>374.4</v>
      </c>
      <c r="AD48" s="73">
        <f t="shared" si="3"/>
        <v>-4.6207264957264793E-2</v>
      </c>
      <c r="AE48" s="67"/>
      <c r="AF48" s="71">
        <v>34213</v>
      </c>
      <c r="AG48" s="72">
        <v>92.82</v>
      </c>
      <c r="AH48" s="72">
        <v>93.96</v>
      </c>
      <c r="AI48" s="73">
        <f t="shared" si="4"/>
        <v>-1.2132822477650018E-2</v>
      </c>
      <c r="AJ48" s="67"/>
      <c r="AK48" s="74">
        <v>34242</v>
      </c>
      <c r="AL48" s="41">
        <v>5.4000000000000006E-2</v>
      </c>
      <c r="AM48" s="41">
        <f t="shared" si="11"/>
        <v>-4.9999999999999351E-4</v>
      </c>
      <c r="AN48" s="67"/>
      <c r="AO48" s="75">
        <v>34213</v>
      </c>
      <c r="AP48" s="76">
        <v>584716.25</v>
      </c>
      <c r="AQ48" s="80">
        <f t="shared" si="7"/>
        <v>1.865916987255245E-3</v>
      </c>
      <c r="AR48" s="67"/>
      <c r="AS48" s="94">
        <v>34213</v>
      </c>
      <c r="AT48" s="78">
        <v>0.92474999999999996</v>
      </c>
      <c r="AU48" s="67"/>
      <c r="AV48" s="79">
        <v>34213</v>
      </c>
      <c r="AW48" s="76">
        <v>319003.5</v>
      </c>
      <c r="AX48" s="80">
        <f t="shared" si="8"/>
        <v>-3.1135442134515801E-2</v>
      </c>
      <c r="AY48" s="67"/>
      <c r="AZ48" s="81">
        <v>34213</v>
      </c>
      <c r="BA48" s="82">
        <v>89.164779663085938</v>
      </c>
      <c r="BB48" s="82">
        <v>97.456596374511719</v>
      </c>
      <c r="BC48" s="67"/>
      <c r="BD48" s="83">
        <v>34227</v>
      </c>
      <c r="BE48" s="42">
        <v>6712</v>
      </c>
      <c r="BF48" s="41">
        <f t="shared" si="9"/>
        <v>-6.8067475584492332E-3</v>
      </c>
      <c r="BG48" s="67"/>
      <c r="BH48" s="84">
        <v>34213</v>
      </c>
      <c r="BI48" s="85">
        <v>65.371700000000004</v>
      </c>
      <c r="BJ48" s="87">
        <f t="shared" si="10"/>
        <v>5.3055129662122891E-3</v>
      </c>
      <c r="BK48" s="67"/>
      <c r="BL48" s="84">
        <v>34213</v>
      </c>
      <c r="BM48" s="86">
        <v>-3.9487950999999999</v>
      </c>
      <c r="BN48" s="67"/>
      <c r="BO48" s="88">
        <v>34213</v>
      </c>
      <c r="BP48" s="89">
        <v>0.749</v>
      </c>
      <c r="BQ48" s="89">
        <v>0.86799999999999999</v>
      </c>
      <c r="BR48" s="90">
        <f t="shared" si="5"/>
        <v>-0.13709677419354838</v>
      </c>
    </row>
    <row r="49" spans="1:70">
      <c r="A49" s="62">
        <v>34243</v>
      </c>
      <c r="B49" s="63">
        <v>34243</v>
      </c>
      <c r="C49" s="39">
        <v>16.920000000000002</v>
      </c>
      <c r="D49" s="64">
        <v>18.72</v>
      </c>
      <c r="E49" s="40">
        <f t="shared" si="0"/>
        <v>-9.6153846153846034E-2</v>
      </c>
      <c r="F49" s="65"/>
      <c r="G49" s="63">
        <v>34243</v>
      </c>
      <c r="H49" s="39">
        <v>11.46</v>
      </c>
      <c r="I49" s="39">
        <v>12.56</v>
      </c>
      <c r="J49" s="40">
        <f t="shared" si="6"/>
        <v>-8.757961783439483E-2</v>
      </c>
      <c r="K49" s="67"/>
      <c r="L49" s="68">
        <v>34243</v>
      </c>
      <c r="M49" s="69">
        <v>467.8</v>
      </c>
      <c r="N49" s="69">
        <v>458.9</v>
      </c>
      <c r="O49" s="70">
        <f t="shared" si="1"/>
        <v>1.9394203530180842E-2</v>
      </c>
      <c r="P49" s="67"/>
      <c r="Q49" s="38">
        <v>34243</v>
      </c>
      <c r="R49" s="39">
        <v>2.3679999999999999</v>
      </c>
      <c r="S49" s="39">
        <v>2.2749999999999999</v>
      </c>
      <c r="T49" s="40">
        <f t="shared" si="12"/>
        <v>4.0879120879120823E-2</v>
      </c>
      <c r="U49" s="67"/>
      <c r="V49" s="38">
        <v>34243</v>
      </c>
      <c r="W49" s="39">
        <v>0.51559999999999995</v>
      </c>
      <c r="X49" s="39">
        <v>0.54</v>
      </c>
      <c r="Y49" s="40">
        <f t="shared" si="2"/>
        <v>-4.5185185185185328E-2</v>
      </c>
      <c r="Z49" s="67"/>
      <c r="AA49" s="71">
        <v>34243</v>
      </c>
      <c r="AB49" s="72">
        <v>369.6</v>
      </c>
      <c r="AC49" s="72">
        <v>356.4</v>
      </c>
      <c r="AD49" s="73">
        <f t="shared" si="3"/>
        <v>3.7037037037037202E-2</v>
      </c>
      <c r="AE49" s="67"/>
      <c r="AF49" s="71">
        <v>34243</v>
      </c>
      <c r="AG49" s="72">
        <v>95.08</v>
      </c>
      <c r="AH49" s="72">
        <v>92.8</v>
      </c>
      <c r="AI49" s="73">
        <f t="shared" si="4"/>
        <v>2.4568965517241415E-2</v>
      </c>
      <c r="AJ49" s="67"/>
      <c r="AK49" s="74">
        <v>34273</v>
      </c>
      <c r="AL49" s="41">
        <v>5.4299999999999994E-2</v>
      </c>
      <c r="AM49" s="41">
        <f t="shared" si="11"/>
        <v>2.9999999999998778E-4</v>
      </c>
      <c r="AN49" s="67"/>
      <c r="AO49" s="75">
        <v>34243</v>
      </c>
      <c r="AP49" s="76">
        <v>585845.4</v>
      </c>
      <c r="AQ49" s="80">
        <f t="shared" si="7"/>
        <v>1.9311076098877944E-3</v>
      </c>
      <c r="AR49" s="67"/>
      <c r="AS49" s="94">
        <v>34243</v>
      </c>
      <c r="AT49" s="78">
        <v>0.92059999999999997</v>
      </c>
      <c r="AU49" s="67"/>
      <c r="AV49" s="79">
        <v>34243</v>
      </c>
      <c r="AW49" s="76">
        <v>313799.8</v>
      </c>
      <c r="AX49" s="80">
        <f t="shared" si="8"/>
        <v>-1.6312360209214005E-2</v>
      </c>
      <c r="AY49" s="67"/>
      <c r="AZ49" s="81">
        <v>34243</v>
      </c>
      <c r="BA49" s="82">
        <v>106.16590881347656</v>
      </c>
      <c r="BB49" s="82">
        <v>130.30680847167969</v>
      </c>
      <c r="BC49" s="67"/>
      <c r="BD49" s="83">
        <v>34257</v>
      </c>
      <c r="BE49" s="42">
        <v>6839</v>
      </c>
      <c r="BF49" s="41">
        <f t="shared" si="9"/>
        <v>1.8921334922526789E-2</v>
      </c>
      <c r="BG49" s="67"/>
      <c r="BH49" s="84">
        <v>34243</v>
      </c>
      <c r="BI49" s="85">
        <v>65.850899999999996</v>
      </c>
      <c r="BJ49" s="87">
        <f t="shared" si="10"/>
        <v>7.3303891439260305E-3</v>
      </c>
      <c r="BK49" s="67"/>
      <c r="BL49" s="84">
        <v>34243</v>
      </c>
      <c r="BM49" s="86">
        <v>-7.4945218999999996</v>
      </c>
      <c r="BN49" s="67"/>
      <c r="BO49" s="88">
        <v>34243</v>
      </c>
      <c r="BP49" s="89">
        <v>0.73399999999999999</v>
      </c>
      <c r="BQ49" s="89">
        <v>0.75600000000000001</v>
      </c>
      <c r="BR49" s="90">
        <f t="shared" si="5"/>
        <v>-2.9100529100529071E-2</v>
      </c>
    </row>
    <row r="50" spans="1:70">
      <c r="A50" s="62">
        <v>34274</v>
      </c>
      <c r="B50" s="63">
        <v>34274</v>
      </c>
      <c r="C50" s="39">
        <v>15.43</v>
      </c>
      <c r="D50" s="64">
        <v>16.899999999999999</v>
      </c>
      <c r="E50" s="40">
        <f t="shared" si="0"/>
        <v>-8.6982248520710015E-2</v>
      </c>
      <c r="F50" s="65"/>
      <c r="G50" s="63">
        <v>34274</v>
      </c>
      <c r="H50" s="39">
        <v>13.76</v>
      </c>
      <c r="I50" s="39">
        <v>12.02</v>
      </c>
      <c r="J50" s="40">
        <f t="shared" si="6"/>
        <v>0.14475873544093187</v>
      </c>
      <c r="K50" s="67"/>
      <c r="L50" s="68">
        <v>34274</v>
      </c>
      <c r="M50" s="69">
        <v>461.8</v>
      </c>
      <c r="N50" s="69">
        <v>467.8</v>
      </c>
      <c r="O50" s="70">
        <f t="shared" si="1"/>
        <v>-1.2825994014536102E-2</v>
      </c>
      <c r="P50" s="67"/>
      <c r="Q50" s="38">
        <v>34274</v>
      </c>
      <c r="R50" s="39">
        <v>2.2429999999999999</v>
      </c>
      <c r="S50" s="39">
        <v>2.38</v>
      </c>
      <c r="T50" s="40">
        <f t="shared" si="12"/>
        <v>-5.7563025210084051E-2</v>
      </c>
      <c r="U50" s="67"/>
      <c r="V50" s="38">
        <v>34274</v>
      </c>
      <c r="W50" s="39">
        <v>0.4778</v>
      </c>
      <c r="X50" s="39">
        <v>0.52049999999999996</v>
      </c>
      <c r="Y50" s="40">
        <f t="shared" si="2"/>
        <v>-8.2036503362151736E-2</v>
      </c>
      <c r="Z50" s="67"/>
      <c r="AA50" s="71">
        <v>34274</v>
      </c>
      <c r="AB50" s="72">
        <v>371.9</v>
      </c>
      <c r="AC50" s="72">
        <v>368.6</v>
      </c>
      <c r="AD50" s="73">
        <f t="shared" si="3"/>
        <v>8.9527943570264501E-3</v>
      </c>
      <c r="AE50" s="67"/>
      <c r="AF50" s="71">
        <v>34274</v>
      </c>
      <c r="AG50" s="72">
        <v>96.21</v>
      </c>
      <c r="AH50" s="72">
        <v>95.19</v>
      </c>
      <c r="AI50" s="73">
        <f t="shared" si="4"/>
        <v>1.0715411282697707E-2</v>
      </c>
      <c r="AJ50" s="67"/>
      <c r="AK50" s="74">
        <v>34303</v>
      </c>
      <c r="AL50" s="41">
        <v>5.8299999999999998E-2</v>
      </c>
      <c r="AM50" s="41">
        <f t="shared" si="11"/>
        <v>4.0000000000000036E-3</v>
      </c>
      <c r="AN50" s="67"/>
      <c r="AO50" s="75">
        <v>34274</v>
      </c>
      <c r="AP50" s="76">
        <v>586380.5</v>
      </c>
      <c r="AQ50" s="80">
        <f t="shared" si="7"/>
        <v>9.1338090219705848E-4</v>
      </c>
      <c r="AR50" s="67"/>
      <c r="AS50" s="94">
        <v>34274</v>
      </c>
      <c r="AT50" s="78">
        <v>0.91700000000000004</v>
      </c>
      <c r="AU50" s="67"/>
      <c r="AV50" s="79">
        <v>34274</v>
      </c>
      <c r="AW50" s="76">
        <v>316589.5</v>
      </c>
      <c r="AX50" s="80">
        <f t="shared" si="8"/>
        <v>8.8900630274462156E-3</v>
      </c>
      <c r="AY50" s="67"/>
      <c r="AZ50" s="81">
        <v>34274</v>
      </c>
      <c r="BA50" s="82">
        <v>83.480178833007813</v>
      </c>
      <c r="BB50" s="82">
        <v>105.13095855712891</v>
      </c>
      <c r="BC50" s="67"/>
      <c r="BD50" s="83">
        <v>34288</v>
      </c>
      <c r="BE50" s="42">
        <v>6912</v>
      </c>
      <c r="BF50" s="41">
        <f t="shared" si="9"/>
        <v>1.0674075157186769E-2</v>
      </c>
      <c r="BG50" s="67"/>
      <c r="BH50" s="84">
        <v>34274</v>
      </c>
      <c r="BI50" s="85">
        <v>66.151799999999994</v>
      </c>
      <c r="BJ50" s="87">
        <f t="shared" si="10"/>
        <v>4.5694136298819465E-3</v>
      </c>
      <c r="BK50" s="67"/>
      <c r="BL50" s="84">
        <v>34274</v>
      </c>
      <c r="BM50" s="86">
        <v>-13.073079999999999</v>
      </c>
      <c r="BN50" s="67"/>
      <c r="BO50" s="88">
        <v>34274</v>
      </c>
      <c r="BP50" s="89">
        <v>0.747</v>
      </c>
      <c r="BQ50" s="89">
        <v>0.73299999999999998</v>
      </c>
      <c r="BR50" s="90">
        <f t="shared" si="5"/>
        <v>1.9099590723056004E-2</v>
      </c>
    </row>
    <row r="51" spans="1:70">
      <c r="A51" s="62">
        <v>34304</v>
      </c>
      <c r="B51" s="63">
        <v>34304</v>
      </c>
      <c r="C51" s="39">
        <v>14.17</v>
      </c>
      <c r="D51" s="64">
        <v>15.48</v>
      </c>
      <c r="E51" s="40">
        <f t="shared" si="0"/>
        <v>-8.4625322997416097E-2</v>
      </c>
      <c r="F51" s="65"/>
      <c r="G51" s="63">
        <v>34304</v>
      </c>
      <c r="H51" s="39">
        <v>11.66</v>
      </c>
      <c r="I51" s="39">
        <v>12.93</v>
      </c>
      <c r="J51" s="40">
        <f t="shared" si="6"/>
        <v>-9.8221191028615595E-2</v>
      </c>
      <c r="K51" s="67"/>
      <c r="L51" s="68">
        <v>34304</v>
      </c>
      <c r="M51" s="69">
        <v>466.4</v>
      </c>
      <c r="N51" s="69">
        <v>461.9</v>
      </c>
      <c r="O51" s="70">
        <f t="shared" si="1"/>
        <v>9.7423684780255648E-3</v>
      </c>
      <c r="P51" s="67"/>
      <c r="Q51" s="38">
        <v>34304</v>
      </c>
      <c r="R51" s="39">
        <v>1.9970000000000001</v>
      </c>
      <c r="S51" s="39">
        <v>2.2400000000000002</v>
      </c>
      <c r="T51" s="40">
        <f t="shared" si="12"/>
        <v>-0.10848214285714286</v>
      </c>
      <c r="U51" s="67"/>
      <c r="V51" s="38">
        <v>34304</v>
      </c>
      <c r="W51" s="39">
        <v>0.44519999999999998</v>
      </c>
      <c r="X51" s="39">
        <v>0.47099999999999997</v>
      </c>
      <c r="Y51" s="40">
        <f t="shared" si="2"/>
        <v>-5.4777070063694255E-2</v>
      </c>
      <c r="Z51" s="67"/>
      <c r="AA51" s="71">
        <v>34304</v>
      </c>
      <c r="AB51" s="72">
        <v>391.9</v>
      </c>
      <c r="AC51" s="72">
        <v>371.4</v>
      </c>
      <c r="AD51" s="73">
        <f t="shared" si="3"/>
        <v>5.5196553581044805E-2</v>
      </c>
      <c r="AE51" s="67"/>
      <c r="AF51" s="71">
        <v>34304</v>
      </c>
      <c r="AG51" s="72">
        <v>96.84</v>
      </c>
      <c r="AH51" s="72">
        <v>96.21</v>
      </c>
      <c r="AI51" s="73">
        <f t="shared" si="4"/>
        <v>6.5481758652947697E-3</v>
      </c>
      <c r="AJ51" s="67"/>
      <c r="AK51" s="74">
        <v>34334</v>
      </c>
      <c r="AL51" s="41">
        <v>5.8299999999999998E-2</v>
      </c>
      <c r="AM51" s="41">
        <f t="shared" si="11"/>
        <v>0</v>
      </c>
      <c r="AN51" s="67"/>
      <c r="AO51" s="75">
        <v>34304</v>
      </c>
      <c r="AP51" s="76">
        <v>586874.6</v>
      </c>
      <c r="AQ51" s="80">
        <f t="shared" si="7"/>
        <v>8.4262692910153092E-4</v>
      </c>
      <c r="AR51" s="67"/>
      <c r="AS51" s="94">
        <v>34304</v>
      </c>
      <c r="AT51" s="78">
        <v>0.91799999999999993</v>
      </c>
      <c r="AU51" s="67"/>
      <c r="AV51" s="79">
        <v>34304</v>
      </c>
      <c r="AW51" s="76">
        <v>326642.8</v>
      </c>
      <c r="AX51" s="80">
        <f t="shared" si="8"/>
        <v>3.1755001350328937E-2</v>
      </c>
      <c r="AY51" s="67"/>
      <c r="AZ51" s="81">
        <v>34304</v>
      </c>
      <c r="BA51" s="82">
        <v>79.551795959472656</v>
      </c>
      <c r="BB51" s="82">
        <v>97.065681457519531</v>
      </c>
      <c r="BC51" s="67"/>
      <c r="BD51" s="83">
        <v>34318</v>
      </c>
      <c r="BE51" s="42">
        <v>6858</v>
      </c>
      <c r="BF51" s="41">
        <f t="shared" si="9"/>
        <v>-7.8125E-3</v>
      </c>
      <c r="BG51" s="67"/>
      <c r="BH51" s="84">
        <v>34304</v>
      </c>
      <c r="BI51" s="85">
        <v>66.543599999999998</v>
      </c>
      <c r="BJ51" s="87">
        <f t="shared" si="10"/>
        <v>5.9227413313016619E-3</v>
      </c>
      <c r="BK51" s="67"/>
      <c r="BL51" s="84">
        <v>34304</v>
      </c>
      <c r="BM51" s="86">
        <v>-18.248419999999999</v>
      </c>
      <c r="BN51" s="67"/>
      <c r="BO51" s="88">
        <v>34304</v>
      </c>
      <c r="BP51" s="89">
        <v>0.83299999999999996</v>
      </c>
      <c r="BQ51" s="89">
        <v>0.76400000000000001</v>
      </c>
      <c r="BR51" s="90">
        <f t="shared" si="5"/>
        <v>9.031413612565431E-2</v>
      </c>
    </row>
    <row r="52" spans="1:70">
      <c r="A52" s="62">
        <v>34335</v>
      </c>
      <c r="B52" s="63">
        <v>34335</v>
      </c>
      <c r="C52" s="39">
        <v>15.19</v>
      </c>
      <c r="D52" s="64">
        <v>14.1</v>
      </c>
      <c r="E52" s="40">
        <f t="shared" si="0"/>
        <v>7.7304964539007148E-2</v>
      </c>
      <c r="F52" s="65"/>
      <c r="G52" s="63">
        <v>34335</v>
      </c>
      <c r="H52" s="39">
        <v>10.63</v>
      </c>
      <c r="I52" s="39">
        <v>11.28</v>
      </c>
      <c r="J52" s="40">
        <f t="shared" si="6"/>
        <v>-5.7624113475177152E-2</v>
      </c>
      <c r="K52" s="67"/>
      <c r="L52" s="68">
        <v>34335</v>
      </c>
      <c r="M52" s="69">
        <v>481.6</v>
      </c>
      <c r="N52" s="69">
        <v>466.5</v>
      </c>
      <c r="O52" s="70">
        <f t="shared" si="1"/>
        <v>3.2368703108252905E-2</v>
      </c>
      <c r="P52" s="67"/>
      <c r="Q52" s="38">
        <v>34335</v>
      </c>
      <c r="R52" s="39">
        <v>2.5539999999999998</v>
      </c>
      <c r="S52" s="39">
        <v>1.9550000000000001</v>
      </c>
      <c r="T52" s="40">
        <f t="shared" si="12"/>
        <v>0.306393861892583</v>
      </c>
      <c r="U52" s="67"/>
      <c r="V52" s="38">
        <v>34335</v>
      </c>
      <c r="W52" s="39">
        <v>0.4955</v>
      </c>
      <c r="X52" s="39">
        <v>0.47</v>
      </c>
      <c r="Y52" s="40">
        <f t="shared" si="2"/>
        <v>5.4255319148936332E-2</v>
      </c>
      <c r="Z52" s="67"/>
      <c r="AA52" s="71">
        <v>34335</v>
      </c>
      <c r="AB52" s="72">
        <v>383.6</v>
      </c>
      <c r="AC52" s="72">
        <v>391.9</v>
      </c>
      <c r="AD52" s="73">
        <f t="shared" si="3"/>
        <v>-2.1178872161265461E-2</v>
      </c>
      <c r="AE52" s="67"/>
      <c r="AF52" s="71">
        <v>34335</v>
      </c>
      <c r="AG52" s="72">
        <v>95.59</v>
      </c>
      <c r="AH52" s="72">
        <v>96.76</v>
      </c>
      <c r="AI52" s="73">
        <f t="shared" si="4"/>
        <v>-1.209177346010748E-2</v>
      </c>
      <c r="AJ52" s="67"/>
      <c r="AK52" s="74">
        <v>34365</v>
      </c>
      <c r="AL52" s="41">
        <v>5.7000000000000002E-2</v>
      </c>
      <c r="AM52" s="41">
        <f t="shared" si="11"/>
        <v>-1.2999999999999956E-3</v>
      </c>
      <c r="AN52" s="67"/>
      <c r="AO52" s="75">
        <v>34335</v>
      </c>
      <c r="AP52" s="76">
        <v>587117.5</v>
      </c>
      <c r="AQ52" s="80">
        <f t="shared" si="7"/>
        <v>4.1388739604686364E-4</v>
      </c>
      <c r="AR52" s="67"/>
      <c r="AS52" s="94">
        <v>34335</v>
      </c>
      <c r="AT52" s="78">
        <v>0.89450000000000007</v>
      </c>
      <c r="AU52" s="67"/>
      <c r="AV52" s="79">
        <v>34335</v>
      </c>
      <c r="AW52" s="76">
        <v>314481</v>
      </c>
      <c r="AX52" s="80">
        <f t="shared" si="8"/>
        <v>-3.7232720268133845E-2</v>
      </c>
      <c r="AY52" s="67"/>
      <c r="AZ52" s="81">
        <v>34335</v>
      </c>
      <c r="BA52" s="82">
        <v>83.489974975585938</v>
      </c>
      <c r="BB52" s="82">
        <v>93.091835021972656</v>
      </c>
      <c r="BC52" s="67"/>
      <c r="BD52" s="83">
        <v>34349</v>
      </c>
      <c r="BE52" s="42">
        <v>6817</v>
      </c>
      <c r="BF52" s="41">
        <f t="shared" si="9"/>
        <v>-5.9784193642461458E-3</v>
      </c>
      <c r="BG52" s="67"/>
      <c r="BH52" s="84">
        <v>34335</v>
      </c>
      <c r="BI52" s="85">
        <v>66.735100000000003</v>
      </c>
      <c r="BJ52" s="87">
        <f t="shared" si="10"/>
        <v>2.8778124417676576E-3</v>
      </c>
      <c r="BK52" s="67"/>
      <c r="BL52" s="84">
        <v>34335</v>
      </c>
      <c r="BM52" s="86">
        <v>-18.731988999999999</v>
      </c>
      <c r="BN52" s="67"/>
      <c r="BO52" s="88">
        <v>34335</v>
      </c>
      <c r="BP52" s="89">
        <v>0.86</v>
      </c>
      <c r="BQ52" s="89">
        <v>0.8</v>
      </c>
      <c r="BR52" s="90">
        <f t="shared" si="5"/>
        <v>7.4999999999999956E-2</v>
      </c>
    </row>
    <row r="53" spans="1:70">
      <c r="A53" s="62">
        <v>34366</v>
      </c>
      <c r="B53" s="63">
        <v>34366</v>
      </c>
      <c r="C53" s="39">
        <v>14.48</v>
      </c>
      <c r="D53" s="64">
        <v>15.2</v>
      </c>
      <c r="E53" s="40">
        <f t="shared" si="0"/>
        <v>-4.7368421052631504E-2</v>
      </c>
      <c r="F53" s="65"/>
      <c r="G53" s="63">
        <v>34366</v>
      </c>
      <c r="H53" s="39">
        <v>14.87</v>
      </c>
      <c r="I53" s="39">
        <v>10.81</v>
      </c>
      <c r="J53" s="40">
        <f t="shared" si="6"/>
        <v>0.37557816836262714</v>
      </c>
      <c r="K53" s="67"/>
      <c r="L53" s="68">
        <v>34366</v>
      </c>
      <c r="M53" s="69">
        <v>467.1</v>
      </c>
      <c r="N53" s="69">
        <v>481.6</v>
      </c>
      <c r="O53" s="70">
        <f t="shared" si="1"/>
        <v>-3.0107973421926948E-2</v>
      </c>
      <c r="P53" s="67"/>
      <c r="Q53" s="38">
        <v>34366</v>
      </c>
      <c r="R53" s="39">
        <v>2.2080000000000002</v>
      </c>
      <c r="S53" s="39">
        <v>2.57</v>
      </c>
      <c r="T53" s="40">
        <f t="shared" si="12"/>
        <v>-0.1408560311284045</v>
      </c>
      <c r="U53" s="67"/>
      <c r="V53" s="38">
        <v>34366</v>
      </c>
      <c r="W53" s="39">
        <v>0.44890000000000002</v>
      </c>
      <c r="X53" s="39">
        <v>0.46750000000000003</v>
      </c>
      <c r="Y53" s="40">
        <f t="shared" si="2"/>
        <v>-3.97860962566845E-2</v>
      </c>
      <c r="Z53" s="67"/>
      <c r="AA53" s="71">
        <v>34366</v>
      </c>
      <c r="AB53" s="72">
        <v>382.5</v>
      </c>
      <c r="AC53" s="72">
        <v>383.6</v>
      </c>
      <c r="AD53" s="73">
        <f t="shared" si="3"/>
        <v>-2.8675703858186408E-3</v>
      </c>
      <c r="AE53" s="67"/>
      <c r="AF53" s="71">
        <v>34366</v>
      </c>
      <c r="AG53" s="72">
        <v>94.55</v>
      </c>
      <c r="AH53" s="72">
        <v>95.46</v>
      </c>
      <c r="AI53" s="73">
        <f t="shared" si="4"/>
        <v>-9.5327886025560193E-3</v>
      </c>
      <c r="AJ53" s="67"/>
      <c r="AK53" s="74">
        <v>34393</v>
      </c>
      <c r="AL53" s="41">
        <v>6.1500000000000006E-2</v>
      </c>
      <c r="AM53" s="41">
        <f t="shared" si="11"/>
        <v>4.500000000000004E-3</v>
      </c>
      <c r="AN53" s="67"/>
      <c r="AO53" s="75">
        <v>34366</v>
      </c>
      <c r="AP53" s="76">
        <v>587192</v>
      </c>
      <c r="AQ53" s="80">
        <f t="shared" si="7"/>
        <v>1.2689112485997356E-4</v>
      </c>
      <c r="AR53" s="67"/>
      <c r="AS53" s="94">
        <v>34366</v>
      </c>
      <c r="AT53" s="78">
        <v>0.88650000000000007</v>
      </c>
      <c r="AU53" s="67"/>
      <c r="AV53" s="79">
        <v>34366</v>
      </c>
      <c r="AW53" s="76">
        <v>314289.25</v>
      </c>
      <c r="AX53" s="80">
        <f t="shared" si="8"/>
        <v>-6.0973476935011206E-4</v>
      </c>
      <c r="AY53" s="67"/>
      <c r="AZ53" s="81">
        <v>34366</v>
      </c>
      <c r="BA53" s="82">
        <v>117.2420654296875</v>
      </c>
      <c r="BB53" s="82">
        <v>148.14723205566406</v>
      </c>
      <c r="BC53" s="67"/>
      <c r="BD53" s="83">
        <v>34380</v>
      </c>
      <c r="BE53" s="42">
        <v>6770</v>
      </c>
      <c r="BF53" s="41">
        <f t="shared" si="9"/>
        <v>-6.8945283849201067E-3</v>
      </c>
      <c r="BG53" s="67"/>
      <c r="BH53" s="84">
        <v>34366</v>
      </c>
      <c r="BI53" s="85">
        <v>66.774000000000001</v>
      </c>
      <c r="BJ53" s="87">
        <f t="shared" si="10"/>
        <v>5.8290165145469253E-4</v>
      </c>
      <c r="BK53" s="67"/>
      <c r="BL53" s="84">
        <v>34366</v>
      </c>
      <c r="BM53" s="86">
        <v>-24.808326000000001</v>
      </c>
      <c r="BN53" s="67"/>
      <c r="BO53" s="88">
        <v>34366</v>
      </c>
      <c r="BP53" s="89">
        <v>0.86650000000000005</v>
      </c>
      <c r="BQ53" s="89">
        <v>0.86599999999999999</v>
      </c>
      <c r="BR53" s="90">
        <f t="shared" si="5"/>
        <v>5.7736720554268928E-4</v>
      </c>
    </row>
    <row r="54" spans="1:70">
      <c r="A54" s="62">
        <v>34394</v>
      </c>
      <c r="B54" s="63">
        <v>34394</v>
      </c>
      <c r="C54" s="39">
        <v>14.79</v>
      </c>
      <c r="D54" s="64">
        <v>14.48</v>
      </c>
      <c r="E54" s="40">
        <f t="shared" si="0"/>
        <v>2.140883977900554E-2</v>
      </c>
      <c r="F54" s="65"/>
      <c r="G54" s="63">
        <v>34394</v>
      </c>
      <c r="H54" s="39">
        <v>20.45</v>
      </c>
      <c r="I54" s="39">
        <v>12.58</v>
      </c>
      <c r="J54" s="40">
        <f t="shared" si="6"/>
        <v>0.62559618441971376</v>
      </c>
      <c r="K54" s="67"/>
      <c r="L54" s="68">
        <v>34394</v>
      </c>
      <c r="M54" s="69">
        <v>445.8</v>
      </c>
      <c r="N54" s="69">
        <v>467.2</v>
      </c>
      <c r="O54" s="70">
        <f t="shared" si="1"/>
        <v>-4.5804794520547865E-2</v>
      </c>
      <c r="P54" s="67"/>
      <c r="Q54" s="38">
        <v>34394</v>
      </c>
      <c r="R54" s="39">
        <v>2.0750000000000002</v>
      </c>
      <c r="S54" s="39">
        <v>2.1850000000000001</v>
      </c>
      <c r="T54" s="40">
        <f t="shared" si="12"/>
        <v>-5.0343249427917569E-2</v>
      </c>
      <c r="U54" s="67"/>
      <c r="V54" s="38">
        <v>34394</v>
      </c>
      <c r="W54" s="39">
        <v>0.44069999999999998</v>
      </c>
      <c r="X54" s="39">
        <v>0.43149999999999999</v>
      </c>
      <c r="Y54" s="40">
        <f t="shared" si="2"/>
        <v>2.1320973348783356E-2</v>
      </c>
      <c r="Z54" s="67"/>
      <c r="AA54" s="71">
        <v>34394</v>
      </c>
      <c r="AB54" s="72">
        <v>394.3</v>
      </c>
      <c r="AC54" s="72">
        <v>381.8</v>
      </c>
      <c r="AD54" s="73">
        <f t="shared" si="3"/>
        <v>3.2739654269250851E-2</v>
      </c>
      <c r="AE54" s="67"/>
      <c r="AF54" s="71">
        <v>34394</v>
      </c>
      <c r="AG54" s="72">
        <v>93.06</v>
      </c>
      <c r="AH54" s="72">
        <v>94.61</v>
      </c>
      <c r="AI54" s="73">
        <f t="shared" si="4"/>
        <v>-1.6383046189620498E-2</v>
      </c>
      <c r="AJ54" s="67"/>
      <c r="AK54" s="74">
        <v>34424</v>
      </c>
      <c r="AL54" s="41">
        <v>6.7699999999999996E-2</v>
      </c>
      <c r="AM54" s="41">
        <f t="shared" si="11"/>
        <v>6.1999999999999902E-3</v>
      </c>
      <c r="AN54" s="67"/>
      <c r="AO54" s="75">
        <v>34394</v>
      </c>
      <c r="AP54" s="76">
        <v>588181</v>
      </c>
      <c r="AQ54" s="80">
        <f t="shared" si="7"/>
        <v>1.6842872518698648E-3</v>
      </c>
      <c r="AR54" s="67"/>
      <c r="AS54" s="94">
        <v>34394</v>
      </c>
      <c r="AT54" s="78">
        <v>0.86549999999999994</v>
      </c>
      <c r="AU54" s="67"/>
      <c r="AV54" s="79">
        <v>34394</v>
      </c>
      <c r="AW54" s="76">
        <v>317806.75</v>
      </c>
      <c r="AX54" s="80">
        <f t="shared" si="8"/>
        <v>1.1191919545450624E-2</v>
      </c>
      <c r="AY54" s="67"/>
      <c r="AZ54" s="81">
        <v>34394</v>
      </c>
      <c r="BA54" s="82">
        <v>93.474037170410156</v>
      </c>
      <c r="BB54" s="82">
        <v>98.562347412109375</v>
      </c>
      <c r="BC54" s="67"/>
      <c r="BD54" s="83">
        <v>34408</v>
      </c>
      <c r="BE54" s="42">
        <v>6746</v>
      </c>
      <c r="BF54" s="41">
        <f t="shared" si="9"/>
        <v>-3.5450516986705871E-3</v>
      </c>
      <c r="BG54" s="67"/>
      <c r="BH54" s="84">
        <v>34394</v>
      </c>
      <c r="BI54" s="85">
        <v>67.455200000000005</v>
      </c>
      <c r="BJ54" s="87">
        <f t="shared" si="10"/>
        <v>1.0201575463503865E-2</v>
      </c>
      <c r="BK54" s="67"/>
      <c r="BL54" s="84">
        <v>34394</v>
      </c>
      <c r="BM54" s="86">
        <v>-25.434539000000001</v>
      </c>
      <c r="BN54" s="67"/>
      <c r="BO54" s="88">
        <v>34394</v>
      </c>
      <c r="BP54" s="89">
        <v>0.86850000000000005</v>
      </c>
      <c r="BQ54" s="89">
        <v>0.86350000000000005</v>
      </c>
      <c r="BR54" s="90">
        <f t="shared" si="5"/>
        <v>5.7903879559930704E-3</v>
      </c>
    </row>
    <row r="55" spans="1:70">
      <c r="A55" s="62">
        <v>34425</v>
      </c>
      <c r="B55" s="63">
        <v>34425</v>
      </c>
      <c r="C55" s="39">
        <v>16.899999999999999</v>
      </c>
      <c r="D55" s="64">
        <v>14.75</v>
      </c>
      <c r="E55" s="40">
        <f t="shared" si="0"/>
        <v>0.1457627118644067</v>
      </c>
      <c r="F55" s="65"/>
      <c r="G55" s="63">
        <v>34425</v>
      </c>
      <c r="H55" s="39">
        <v>13.77</v>
      </c>
      <c r="I55" s="39">
        <v>23.61</v>
      </c>
      <c r="J55" s="40">
        <f t="shared" si="6"/>
        <v>-0.41677255400254132</v>
      </c>
      <c r="K55" s="67"/>
      <c r="L55" s="68">
        <v>34425</v>
      </c>
      <c r="M55" s="69">
        <v>450.9</v>
      </c>
      <c r="N55" s="69">
        <v>445.7</v>
      </c>
      <c r="O55" s="70">
        <f t="shared" si="1"/>
        <v>1.1667040610275903E-2</v>
      </c>
      <c r="P55" s="67"/>
      <c r="Q55" s="38">
        <v>34425</v>
      </c>
      <c r="R55" s="39">
        <v>2.0670000000000002</v>
      </c>
      <c r="S55" s="39">
        <v>2.08</v>
      </c>
      <c r="T55" s="40">
        <f t="shared" si="12"/>
        <v>-6.2499999999999778E-3</v>
      </c>
      <c r="U55" s="67"/>
      <c r="V55" s="38">
        <v>34425</v>
      </c>
      <c r="W55" s="39">
        <v>0.47089999999999999</v>
      </c>
      <c r="X55" s="39">
        <v>0.54500000000000004</v>
      </c>
      <c r="Y55" s="40">
        <f t="shared" si="2"/>
        <v>-0.13596330275229362</v>
      </c>
      <c r="Z55" s="67"/>
      <c r="AA55" s="71">
        <v>34425</v>
      </c>
      <c r="AB55" s="72">
        <v>377.8</v>
      </c>
      <c r="AC55" s="72">
        <v>394.7</v>
      </c>
      <c r="AD55" s="73">
        <f t="shared" si="3"/>
        <v>-4.2817329617430899E-2</v>
      </c>
      <c r="AE55" s="67"/>
      <c r="AF55" s="71">
        <v>34425</v>
      </c>
      <c r="AG55" s="72">
        <v>92.12</v>
      </c>
      <c r="AH55" s="72">
        <v>93.38</v>
      </c>
      <c r="AI55" s="73">
        <f t="shared" si="4"/>
        <v>-1.3493253373313197E-2</v>
      </c>
      <c r="AJ55" s="67"/>
      <c r="AK55" s="74">
        <v>34454</v>
      </c>
      <c r="AL55" s="41">
        <v>7.0599999999999996E-2</v>
      </c>
      <c r="AM55" s="41">
        <f t="shared" si="11"/>
        <v>2.8999999999999998E-3</v>
      </c>
      <c r="AN55" s="67"/>
      <c r="AO55" s="75">
        <v>34425</v>
      </c>
      <c r="AP55" s="76">
        <v>590592.4</v>
      </c>
      <c r="AQ55" s="80">
        <f t="shared" si="7"/>
        <v>4.0997584077011595E-3</v>
      </c>
      <c r="AR55" s="67"/>
      <c r="AS55" s="94">
        <v>34425</v>
      </c>
      <c r="AT55" s="78">
        <v>0.91959999999999997</v>
      </c>
      <c r="AU55" s="67"/>
      <c r="AV55" s="79">
        <v>34425</v>
      </c>
      <c r="AW55" s="76">
        <v>320500.8</v>
      </c>
      <c r="AX55" s="80">
        <f t="shared" si="8"/>
        <v>8.4770068603010618E-3</v>
      </c>
      <c r="AY55" s="67"/>
      <c r="AZ55" s="81">
        <v>34425</v>
      </c>
      <c r="BA55" s="82">
        <v>95.356971740722656</v>
      </c>
      <c r="BB55" s="82">
        <v>116.44586181640625</v>
      </c>
      <c r="BC55" s="67"/>
      <c r="BD55" s="83">
        <v>34439</v>
      </c>
      <c r="BE55" s="42">
        <v>6612</v>
      </c>
      <c r="BF55" s="41">
        <f t="shared" si="9"/>
        <v>-1.98636228876371E-2</v>
      </c>
      <c r="BG55" s="67"/>
      <c r="BH55" s="84">
        <v>34425</v>
      </c>
      <c r="BI55" s="85">
        <v>67.854100000000003</v>
      </c>
      <c r="BJ55" s="87">
        <f t="shared" si="10"/>
        <v>5.9135544776385274E-3</v>
      </c>
      <c r="BK55" s="67"/>
      <c r="BL55" s="84">
        <v>34425</v>
      </c>
      <c r="BM55" s="86">
        <v>-13.208997999999999</v>
      </c>
      <c r="BN55" s="67"/>
      <c r="BO55" s="88">
        <v>34425</v>
      </c>
      <c r="BP55" s="89">
        <v>0.91500000000000004</v>
      </c>
      <c r="BQ55" s="89">
        <v>0.879</v>
      </c>
      <c r="BR55" s="90">
        <f t="shared" si="5"/>
        <v>4.0955631399317349E-2</v>
      </c>
    </row>
    <row r="56" spans="1:70">
      <c r="A56" s="62">
        <v>34455</v>
      </c>
      <c r="B56" s="63">
        <v>34455</v>
      </c>
      <c r="C56" s="39">
        <v>18.309999999999999</v>
      </c>
      <c r="D56" s="64">
        <v>16.809999999999999</v>
      </c>
      <c r="E56" s="40">
        <f t="shared" si="0"/>
        <v>8.9232599643069621E-2</v>
      </c>
      <c r="F56" s="65"/>
      <c r="G56" s="63">
        <v>34455</v>
      </c>
      <c r="H56" s="39">
        <v>13.03</v>
      </c>
      <c r="I56" s="39">
        <v>14.42</v>
      </c>
      <c r="J56" s="40">
        <f t="shared" si="6"/>
        <v>-9.6393897364771219E-2</v>
      </c>
      <c r="K56" s="67"/>
      <c r="L56" s="68">
        <v>34455</v>
      </c>
      <c r="M56" s="69">
        <v>456.5</v>
      </c>
      <c r="N56" s="69">
        <v>450.9</v>
      </c>
      <c r="O56" s="70">
        <f t="shared" si="1"/>
        <v>1.241960523397645E-2</v>
      </c>
      <c r="P56" s="67"/>
      <c r="Q56" s="38">
        <v>34455</v>
      </c>
      <c r="R56" s="39">
        <v>1.917</v>
      </c>
      <c r="S56" s="39">
        <v>2.0649999999999999</v>
      </c>
      <c r="T56" s="40">
        <f t="shared" si="12"/>
        <v>-7.1670702179176704E-2</v>
      </c>
      <c r="U56" s="67"/>
      <c r="V56" s="38">
        <v>34455</v>
      </c>
      <c r="W56" s="39">
        <v>0.49530000000000002</v>
      </c>
      <c r="X56" s="39">
        <v>0.47099999999999997</v>
      </c>
      <c r="Y56" s="40">
        <f t="shared" si="2"/>
        <v>5.1592356687898189E-2</v>
      </c>
      <c r="Z56" s="67"/>
      <c r="AA56" s="71">
        <v>34455</v>
      </c>
      <c r="AB56" s="72">
        <v>390</v>
      </c>
      <c r="AC56" s="72">
        <v>377.7</v>
      </c>
      <c r="AD56" s="73">
        <f t="shared" si="3"/>
        <v>3.2565528196981663E-2</v>
      </c>
      <c r="AE56" s="67"/>
      <c r="AF56" s="71">
        <v>34455</v>
      </c>
      <c r="AG56" s="72">
        <v>92.52</v>
      </c>
      <c r="AH56" s="72">
        <v>92.57</v>
      </c>
      <c r="AI56" s="73">
        <f t="shared" si="4"/>
        <v>-5.4013179215728346E-4</v>
      </c>
      <c r="AJ56" s="67"/>
      <c r="AK56" s="74">
        <v>34485</v>
      </c>
      <c r="AL56" s="41">
        <v>7.17E-2</v>
      </c>
      <c r="AM56" s="41">
        <f t="shared" si="11"/>
        <v>1.1000000000000038E-3</v>
      </c>
      <c r="AN56" s="67"/>
      <c r="AO56" s="92">
        <v>34455</v>
      </c>
      <c r="AP56" s="76">
        <v>591174.5</v>
      </c>
      <c r="AQ56" s="80">
        <f t="shared" si="7"/>
        <v>9.8562053964790231E-4</v>
      </c>
      <c r="AR56" s="67"/>
      <c r="AS56" s="97">
        <v>34455</v>
      </c>
      <c r="AT56" s="78">
        <v>0.96250000000000002</v>
      </c>
      <c r="AU56" s="67"/>
      <c r="AV56" s="93">
        <v>34455</v>
      </c>
      <c r="AW56" s="76">
        <v>316308</v>
      </c>
      <c r="AX56" s="80">
        <f t="shared" si="8"/>
        <v>-1.3082026628326582E-2</v>
      </c>
      <c r="AY56" s="67"/>
      <c r="AZ56" s="81">
        <v>34455</v>
      </c>
      <c r="BA56" s="82">
        <v>104.46678924560547</v>
      </c>
      <c r="BB56" s="82">
        <v>122.97669982910156</v>
      </c>
      <c r="BC56" s="67"/>
      <c r="BD56" s="83">
        <v>34469</v>
      </c>
      <c r="BE56" s="42">
        <v>6688</v>
      </c>
      <c r="BF56" s="41">
        <f t="shared" si="9"/>
        <v>1.1494252873563315E-2</v>
      </c>
      <c r="BG56" s="67"/>
      <c r="BH56" s="84">
        <v>34455</v>
      </c>
      <c r="BI56" s="85">
        <v>68.166300000000007</v>
      </c>
      <c r="BJ56" s="87">
        <f t="shared" si="10"/>
        <v>4.6010484259610962E-3</v>
      </c>
      <c r="BK56" s="67"/>
      <c r="BL56" s="84">
        <v>34455</v>
      </c>
      <c r="BM56" s="86">
        <v>-0.30768715000000002</v>
      </c>
      <c r="BN56" s="67"/>
      <c r="BO56" s="88">
        <v>34455</v>
      </c>
      <c r="BP56" s="89">
        <v>1.034</v>
      </c>
      <c r="BQ56" s="89">
        <v>0.91600000000000004</v>
      </c>
      <c r="BR56" s="90">
        <f t="shared" si="5"/>
        <v>0.12882096069868987</v>
      </c>
    </row>
    <row r="57" spans="1:70">
      <c r="A57" s="62">
        <v>34486</v>
      </c>
      <c r="B57" s="63">
        <v>34486</v>
      </c>
      <c r="C57" s="39">
        <v>19.37</v>
      </c>
      <c r="D57" s="64">
        <v>18.32</v>
      </c>
      <c r="E57" s="40">
        <f t="shared" si="0"/>
        <v>5.7314410480349354E-2</v>
      </c>
      <c r="F57" s="65"/>
      <c r="G57" s="63">
        <v>34486</v>
      </c>
      <c r="H57" s="39">
        <v>14.97</v>
      </c>
      <c r="I57" s="39">
        <v>13.16</v>
      </c>
      <c r="J57" s="40">
        <f t="shared" si="6"/>
        <v>0.13753799392097266</v>
      </c>
      <c r="K57" s="67"/>
      <c r="L57" s="68">
        <v>34486</v>
      </c>
      <c r="M57" s="69">
        <v>444.3</v>
      </c>
      <c r="N57" s="69">
        <v>456.5</v>
      </c>
      <c r="O57" s="70">
        <f t="shared" si="1"/>
        <v>-2.672508214676883E-2</v>
      </c>
      <c r="P57" s="67"/>
      <c r="Q57" s="38">
        <v>34486</v>
      </c>
      <c r="R57" s="39">
        <v>2.1840000000000002</v>
      </c>
      <c r="S57" s="39">
        <v>1.915</v>
      </c>
      <c r="T57" s="40">
        <f t="shared" si="12"/>
        <v>0.14046997389033944</v>
      </c>
      <c r="U57" s="67"/>
      <c r="V57" s="38">
        <v>34486</v>
      </c>
      <c r="W57" s="39">
        <v>0.50519999999999998</v>
      </c>
      <c r="X57" s="39">
        <v>0.50149999999999995</v>
      </c>
      <c r="Y57" s="40">
        <f t="shared" si="2"/>
        <v>7.377866400797739E-3</v>
      </c>
      <c r="Z57" s="67"/>
      <c r="AA57" s="71">
        <v>34486</v>
      </c>
      <c r="AB57" s="72">
        <v>387.3</v>
      </c>
      <c r="AC57" s="72">
        <v>390.4</v>
      </c>
      <c r="AD57" s="73">
        <f t="shared" si="3"/>
        <v>-7.9405737704917323E-3</v>
      </c>
      <c r="AE57" s="67"/>
      <c r="AF57" s="71">
        <v>34486</v>
      </c>
      <c r="AG57" s="72">
        <v>89.62</v>
      </c>
      <c r="AH57" s="72">
        <v>92.47</v>
      </c>
      <c r="AI57" s="73">
        <f t="shared" si="4"/>
        <v>-3.0820806748134477E-2</v>
      </c>
      <c r="AJ57" s="67"/>
      <c r="AK57" s="74">
        <v>34515</v>
      </c>
      <c r="AL57" s="41">
        <v>7.3399999999999993E-2</v>
      </c>
      <c r="AM57" s="41">
        <f t="shared" si="11"/>
        <v>1.6999999999999932E-3</v>
      </c>
      <c r="AN57" s="67"/>
      <c r="AO57" s="75">
        <v>34486</v>
      </c>
      <c r="AP57" s="76">
        <v>591176.75</v>
      </c>
      <c r="AQ57" s="80">
        <f t="shared" si="7"/>
        <v>3.8059828357805969E-6</v>
      </c>
      <c r="AR57" s="67"/>
      <c r="AS57" s="94">
        <v>34486</v>
      </c>
      <c r="AT57" s="78">
        <v>0.96475</v>
      </c>
      <c r="AU57" s="67"/>
      <c r="AV57" s="79">
        <v>34486</v>
      </c>
      <c r="AW57" s="76">
        <v>309575.5</v>
      </c>
      <c r="AX57" s="80">
        <f t="shared" si="8"/>
        <v>-2.1284633964363864E-2</v>
      </c>
      <c r="AY57" s="67"/>
      <c r="AZ57" s="81">
        <v>34486</v>
      </c>
      <c r="BA57" s="82">
        <v>120.35224151611328</v>
      </c>
      <c r="BB57" s="82">
        <v>148.29606628417969</v>
      </c>
      <c r="BC57" s="67"/>
      <c r="BD57" s="83">
        <v>34500</v>
      </c>
      <c r="BE57" s="42">
        <v>6611</v>
      </c>
      <c r="BF57" s="41">
        <f t="shared" si="9"/>
        <v>-1.1513157894736836E-2</v>
      </c>
      <c r="BG57" s="67"/>
      <c r="BH57" s="84">
        <v>34486</v>
      </c>
      <c r="BI57" s="85">
        <v>68.626499999999993</v>
      </c>
      <c r="BJ57" s="87">
        <f t="shared" si="10"/>
        <v>6.7511365586805372E-3</v>
      </c>
      <c r="BK57" s="67"/>
      <c r="BL57" s="84">
        <v>34486</v>
      </c>
      <c r="BM57" s="86">
        <v>-9.6375357000000008</v>
      </c>
      <c r="BN57" s="67"/>
      <c r="BO57" s="88">
        <v>34486</v>
      </c>
      <c r="BP57" s="89">
        <v>1.0825</v>
      </c>
      <c r="BQ57" s="89">
        <v>1.024</v>
      </c>
      <c r="BR57" s="90">
        <f t="shared" si="5"/>
        <v>5.712890625E-2</v>
      </c>
    </row>
    <row r="58" spans="1:70">
      <c r="A58" s="62">
        <v>34516</v>
      </c>
      <c r="B58" s="63">
        <v>34516</v>
      </c>
      <c r="C58" s="39">
        <v>20.3</v>
      </c>
      <c r="D58" s="64">
        <v>19.329999999999998</v>
      </c>
      <c r="E58" s="40">
        <f t="shared" si="0"/>
        <v>5.018106570098313E-2</v>
      </c>
      <c r="F58" s="65"/>
      <c r="G58" s="63">
        <v>34516</v>
      </c>
      <c r="H58" s="39">
        <v>11.13</v>
      </c>
      <c r="I58" s="39">
        <v>14.89</v>
      </c>
      <c r="J58" s="40">
        <f t="shared" si="6"/>
        <v>-0.25251846877098727</v>
      </c>
      <c r="K58" s="67"/>
      <c r="L58" s="68">
        <v>34516</v>
      </c>
      <c r="M58" s="69">
        <v>458.3</v>
      </c>
      <c r="N58" s="69">
        <v>444.3</v>
      </c>
      <c r="O58" s="70">
        <f t="shared" si="1"/>
        <v>3.1510240828269254E-2</v>
      </c>
      <c r="P58" s="67"/>
      <c r="Q58" s="38">
        <v>34516</v>
      </c>
      <c r="R58" s="39">
        <v>1.893</v>
      </c>
      <c r="S58" s="39">
        <v>2.21</v>
      </c>
      <c r="T58" s="40">
        <f t="shared" si="12"/>
        <v>-0.14343891402714926</v>
      </c>
      <c r="U58" s="67"/>
      <c r="V58" s="38">
        <v>34516</v>
      </c>
      <c r="W58" s="39">
        <v>0.53249999999999997</v>
      </c>
      <c r="X58" s="39">
        <v>0.50649999999999995</v>
      </c>
      <c r="Y58" s="40">
        <f t="shared" si="2"/>
        <v>5.13326752221126E-2</v>
      </c>
      <c r="Z58" s="67"/>
      <c r="AA58" s="71">
        <v>34516</v>
      </c>
      <c r="AB58" s="72">
        <v>389.2</v>
      </c>
      <c r="AC58" s="72">
        <v>386.8</v>
      </c>
      <c r="AD58" s="73">
        <f t="shared" si="3"/>
        <v>6.2047569803516112E-3</v>
      </c>
      <c r="AE58" s="67"/>
      <c r="AF58" s="71">
        <v>34516</v>
      </c>
      <c r="AG58" s="72">
        <v>89.87</v>
      </c>
      <c r="AH58" s="72">
        <v>89.55</v>
      </c>
      <c r="AI58" s="73">
        <f t="shared" si="4"/>
        <v>3.5734226689001503E-3</v>
      </c>
      <c r="AJ58" s="67"/>
      <c r="AK58" s="74">
        <v>34546</v>
      </c>
      <c r="AL58" s="41">
        <v>7.1199999999999999E-2</v>
      </c>
      <c r="AM58" s="41">
        <f t="shared" si="11"/>
        <v>-2.1999999999999936E-3</v>
      </c>
      <c r="AN58" s="67"/>
      <c r="AO58" s="75">
        <v>34516</v>
      </c>
      <c r="AP58" s="76">
        <v>591571.19999999995</v>
      </c>
      <c r="AQ58" s="80">
        <f t="shared" si="7"/>
        <v>6.672285403646061E-4</v>
      </c>
      <c r="AR58" s="67"/>
      <c r="AS58" s="94">
        <v>34516</v>
      </c>
      <c r="AT58" s="78">
        <v>0.9536</v>
      </c>
      <c r="AU58" s="67"/>
      <c r="AV58" s="79">
        <v>34516</v>
      </c>
      <c r="AW58" s="76">
        <v>313822.8</v>
      </c>
      <c r="AX58" s="80">
        <f t="shared" si="8"/>
        <v>1.3719754954768737E-2</v>
      </c>
      <c r="AY58" s="67"/>
      <c r="AZ58" s="81">
        <v>34516</v>
      </c>
      <c r="BA58" s="82">
        <v>99.640235900878906</v>
      </c>
      <c r="BB58" s="82">
        <v>115.40325927734375</v>
      </c>
      <c r="BC58" s="67"/>
      <c r="BD58" s="83">
        <v>34530</v>
      </c>
      <c r="BE58" s="42">
        <v>6501</v>
      </c>
      <c r="BF58" s="41">
        <f t="shared" si="9"/>
        <v>-1.6638935108153063E-2</v>
      </c>
      <c r="BG58" s="67"/>
      <c r="BH58" s="84">
        <v>34516</v>
      </c>
      <c r="BI58" s="85">
        <v>68.717799999999997</v>
      </c>
      <c r="BJ58" s="87">
        <f t="shared" si="10"/>
        <v>1.3303898639738243E-3</v>
      </c>
      <c r="BK58" s="67"/>
      <c r="BL58" s="84">
        <v>34516</v>
      </c>
      <c r="BM58" s="86">
        <v>-5.6570856999999997</v>
      </c>
      <c r="BN58" s="67"/>
      <c r="BO58" s="88">
        <v>34516</v>
      </c>
      <c r="BP58" s="89">
        <v>1.1134999999999999</v>
      </c>
      <c r="BQ58" s="89">
        <v>1.0945</v>
      </c>
      <c r="BR58" s="90">
        <f t="shared" si="5"/>
        <v>1.7359524897213152E-2</v>
      </c>
    </row>
    <row r="59" spans="1:70">
      <c r="A59" s="62">
        <v>34547</v>
      </c>
      <c r="B59" s="63">
        <v>34547</v>
      </c>
      <c r="C59" s="39">
        <v>17.559999999999999</v>
      </c>
      <c r="D59" s="64">
        <v>20.25</v>
      </c>
      <c r="E59" s="40">
        <f t="shared" si="0"/>
        <v>-0.13283950617283957</v>
      </c>
      <c r="F59" s="65"/>
      <c r="G59" s="63">
        <v>34547</v>
      </c>
      <c r="H59" s="39">
        <v>11.97</v>
      </c>
      <c r="I59" s="39">
        <v>11.71</v>
      </c>
      <c r="J59" s="40">
        <f t="shared" si="6"/>
        <v>2.2203245089666979E-2</v>
      </c>
      <c r="K59" s="67"/>
      <c r="L59" s="68">
        <v>34547</v>
      </c>
      <c r="M59" s="69">
        <v>475.5</v>
      </c>
      <c r="N59" s="69">
        <v>458.3</v>
      </c>
      <c r="O59" s="70">
        <f t="shared" si="1"/>
        <v>3.7530002181976885E-2</v>
      </c>
      <c r="P59" s="67"/>
      <c r="Q59" s="38">
        <v>34547</v>
      </c>
      <c r="R59" s="39">
        <v>1.5860000000000001</v>
      </c>
      <c r="S59" s="39">
        <v>1.91</v>
      </c>
      <c r="T59" s="40">
        <f t="shared" si="12"/>
        <v>-0.16963350785340303</v>
      </c>
      <c r="U59" s="67"/>
      <c r="V59" s="38">
        <v>34547</v>
      </c>
      <c r="W59" s="39">
        <v>0.4924</v>
      </c>
      <c r="X59" s="39">
        <v>0.53549999999999998</v>
      </c>
      <c r="Y59" s="40">
        <f t="shared" si="2"/>
        <v>-8.048552754435101E-2</v>
      </c>
      <c r="Z59" s="67"/>
      <c r="AA59" s="71">
        <v>34547</v>
      </c>
      <c r="AB59" s="72">
        <v>390.8</v>
      </c>
      <c r="AC59" s="72">
        <v>390.1</v>
      </c>
      <c r="AD59" s="73">
        <f t="shared" si="3"/>
        <v>1.7944116893104933E-3</v>
      </c>
      <c r="AE59" s="67"/>
      <c r="AF59" s="71">
        <v>34547</v>
      </c>
      <c r="AG59" s="72">
        <v>89.67</v>
      </c>
      <c r="AH59" s="72">
        <v>89.39</v>
      </c>
      <c r="AI59" s="73">
        <f t="shared" si="4"/>
        <v>3.1323414252153459E-3</v>
      </c>
      <c r="AJ59" s="67"/>
      <c r="AK59" s="74">
        <v>34577</v>
      </c>
      <c r="AL59" s="41">
        <v>7.1900000000000006E-2</v>
      </c>
      <c r="AM59" s="41">
        <f t="shared" si="11"/>
        <v>7.0000000000000617E-4</v>
      </c>
      <c r="AN59" s="67"/>
      <c r="AO59" s="75">
        <v>34547</v>
      </c>
      <c r="AP59" s="76">
        <v>591672.75</v>
      </c>
      <c r="AQ59" s="80">
        <f t="shared" si="7"/>
        <v>1.7166150076275422E-4</v>
      </c>
      <c r="AR59" s="67"/>
      <c r="AS59" s="94">
        <v>34547</v>
      </c>
      <c r="AT59" s="78">
        <v>0.96200000000000008</v>
      </c>
      <c r="AU59" s="67"/>
      <c r="AV59" s="79">
        <v>34547</v>
      </c>
      <c r="AW59" s="76">
        <v>310189.75</v>
      </c>
      <c r="AX59" s="80">
        <f t="shared" si="8"/>
        <v>-1.1576756054690662E-2</v>
      </c>
      <c r="AY59" s="67"/>
      <c r="AZ59" s="81">
        <v>34547</v>
      </c>
      <c r="BA59" s="82">
        <v>98.227027893066406</v>
      </c>
      <c r="BB59" s="82">
        <v>122.92201232910156</v>
      </c>
      <c r="BC59" s="67"/>
      <c r="BD59" s="83">
        <v>34561</v>
      </c>
      <c r="BE59" s="42">
        <v>6544</v>
      </c>
      <c r="BF59" s="41">
        <f t="shared" si="9"/>
        <v>6.6143670204583671E-3</v>
      </c>
      <c r="BG59" s="67"/>
      <c r="BH59" s="84">
        <v>34547</v>
      </c>
      <c r="BI59" s="85">
        <v>69.1785</v>
      </c>
      <c r="BJ59" s="87">
        <f t="shared" si="10"/>
        <v>6.7042309270670675E-3</v>
      </c>
      <c r="BK59" s="67"/>
      <c r="BL59" s="84">
        <v>34547</v>
      </c>
      <c r="BM59" s="86">
        <v>-0.41143996999999999</v>
      </c>
      <c r="BN59" s="67"/>
      <c r="BO59" s="88">
        <v>34547</v>
      </c>
      <c r="BP59" s="89">
        <v>1.1595</v>
      </c>
      <c r="BQ59" s="89">
        <v>1.079</v>
      </c>
      <c r="BR59" s="90">
        <f t="shared" si="5"/>
        <v>7.4606116774791564E-2</v>
      </c>
    </row>
    <row r="60" spans="1:70">
      <c r="A60" s="62">
        <v>34578</v>
      </c>
      <c r="B60" s="63">
        <v>34578</v>
      </c>
      <c r="C60" s="39">
        <v>18.39</v>
      </c>
      <c r="D60" s="64">
        <v>17.53</v>
      </c>
      <c r="E60" s="40">
        <f t="shared" si="0"/>
        <v>4.9058756417569738E-2</v>
      </c>
      <c r="F60" s="65"/>
      <c r="G60" s="63">
        <v>34578</v>
      </c>
      <c r="H60" s="39">
        <v>14.28</v>
      </c>
      <c r="I60" s="39">
        <v>12.17</v>
      </c>
      <c r="J60" s="40">
        <f t="shared" si="6"/>
        <v>0.17337715694330313</v>
      </c>
      <c r="K60" s="67"/>
      <c r="L60" s="68">
        <v>34578</v>
      </c>
      <c r="M60" s="69">
        <v>462.7</v>
      </c>
      <c r="N60" s="69">
        <v>475.5</v>
      </c>
      <c r="O60" s="70">
        <f t="shared" si="1"/>
        <v>-2.6919032597266024E-2</v>
      </c>
      <c r="P60" s="67"/>
      <c r="Q60" s="38">
        <v>34578</v>
      </c>
      <c r="R60" s="39">
        <v>1.657</v>
      </c>
      <c r="S60" s="39">
        <v>1.58</v>
      </c>
      <c r="T60" s="40">
        <f t="shared" si="12"/>
        <v>4.8734177215189911E-2</v>
      </c>
      <c r="U60" s="67"/>
      <c r="V60" s="38">
        <v>34578</v>
      </c>
      <c r="W60" s="39">
        <v>0.51239999999999997</v>
      </c>
      <c r="X60" s="39">
        <v>0.50049999999999994</v>
      </c>
      <c r="Y60" s="40">
        <f t="shared" si="2"/>
        <v>2.3776223776223793E-2</v>
      </c>
      <c r="Z60" s="67"/>
      <c r="AA60" s="71">
        <v>34578</v>
      </c>
      <c r="AB60" s="72">
        <v>397.6</v>
      </c>
      <c r="AC60" s="72">
        <v>390.5</v>
      </c>
      <c r="AD60" s="73">
        <f t="shared" si="3"/>
        <v>1.8181818181818299E-2</v>
      </c>
      <c r="AE60" s="67"/>
      <c r="AF60" s="71">
        <v>34578</v>
      </c>
      <c r="AG60" s="72">
        <v>87.88</v>
      </c>
      <c r="AH60" s="72">
        <v>89.71</v>
      </c>
      <c r="AI60" s="73">
        <f t="shared" si="4"/>
        <v>-2.0399063649537363E-2</v>
      </c>
      <c r="AJ60" s="67"/>
      <c r="AK60" s="74">
        <v>34607</v>
      </c>
      <c r="AL60" s="41">
        <v>7.6200000000000004E-2</v>
      </c>
      <c r="AM60" s="41">
        <f t="shared" si="11"/>
        <v>4.2999999999999983E-3</v>
      </c>
      <c r="AN60" s="67"/>
      <c r="AO60" s="75">
        <v>34578</v>
      </c>
      <c r="AP60" s="76">
        <v>591674.6</v>
      </c>
      <c r="AQ60" s="80">
        <f t="shared" si="7"/>
        <v>3.1267284152924901E-6</v>
      </c>
      <c r="AR60" s="67"/>
      <c r="AS60" s="94">
        <v>34578</v>
      </c>
      <c r="AT60" s="78">
        <v>0.94980000000000009</v>
      </c>
      <c r="AU60" s="67"/>
      <c r="AV60" s="79">
        <v>34578</v>
      </c>
      <c r="AW60" s="76">
        <v>311207.59999999998</v>
      </c>
      <c r="AX60" s="80">
        <f t="shared" si="8"/>
        <v>3.2813785755332336E-3</v>
      </c>
      <c r="AY60" s="67"/>
      <c r="AZ60" s="81">
        <v>34578</v>
      </c>
      <c r="BA60" s="82">
        <v>98.898483276367188</v>
      </c>
      <c r="BB60" s="82">
        <v>131.31796264648438</v>
      </c>
      <c r="BC60" s="67"/>
      <c r="BD60" s="83">
        <v>34592</v>
      </c>
      <c r="BE60" s="42">
        <v>6609</v>
      </c>
      <c r="BF60" s="41">
        <f t="shared" si="9"/>
        <v>9.9327628361858267E-3</v>
      </c>
      <c r="BG60" s="67"/>
      <c r="BH60" s="84">
        <v>34578</v>
      </c>
      <c r="BI60" s="85">
        <v>69.396100000000004</v>
      </c>
      <c r="BJ60" s="87">
        <f t="shared" si="10"/>
        <v>3.1454859530057888E-3</v>
      </c>
      <c r="BK60" s="67"/>
      <c r="BL60" s="84">
        <v>34578</v>
      </c>
      <c r="BM60" s="86">
        <v>3.2662816000000001</v>
      </c>
      <c r="BN60" s="67"/>
      <c r="BO60" s="88">
        <v>34578</v>
      </c>
      <c r="BP60" s="89">
        <v>1.1254999999999999</v>
      </c>
      <c r="BQ60" s="89">
        <v>1.1499999999999999</v>
      </c>
      <c r="BR60" s="90">
        <f t="shared" si="5"/>
        <v>-2.1304347826086922E-2</v>
      </c>
    </row>
    <row r="61" spans="1:70">
      <c r="A61" s="62">
        <v>34608</v>
      </c>
      <c r="B61" s="63">
        <v>34608</v>
      </c>
      <c r="C61" s="39">
        <v>18.190000000000001</v>
      </c>
      <c r="D61" s="64">
        <v>18.39</v>
      </c>
      <c r="E61" s="40">
        <f t="shared" si="0"/>
        <v>-1.087547580206627E-2</v>
      </c>
      <c r="F61" s="65"/>
      <c r="G61" s="63">
        <v>34608</v>
      </c>
      <c r="H61" s="39">
        <v>14.56</v>
      </c>
      <c r="I61" s="39">
        <v>15.69</v>
      </c>
      <c r="J61" s="40">
        <f t="shared" si="6"/>
        <v>-7.202039515615033E-2</v>
      </c>
      <c r="K61" s="67"/>
      <c r="L61" s="68">
        <v>34608</v>
      </c>
      <c r="M61" s="69">
        <v>472.4</v>
      </c>
      <c r="N61" s="69">
        <v>462.7</v>
      </c>
      <c r="O61" s="70">
        <f t="shared" si="1"/>
        <v>2.0963907499459644E-2</v>
      </c>
      <c r="P61" s="67"/>
      <c r="Q61" s="38">
        <v>34608</v>
      </c>
      <c r="R61" s="39">
        <v>1.95</v>
      </c>
      <c r="S61" s="39">
        <v>1.65</v>
      </c>
      <c r="T61" s="40">
        <f t="shared" si="12"/>
        <v>0.18181818181818188</v>
      </c>
      <c r="U61" s="67"/>
      <c r="V61" s="38">
        <v>34608</v>
      </c>
      <c r="W61" s="39">
        <v>0.49399999999999999</v>
      </c>
      <c r="X61" s="39">
        <v>0.51800000000000002</v>
      </c>
      <c r="Y61" s="40">
        <f t="shared" si="2"/>
        <v>-4.633204633204635E-2</v>
      </c>
      <c r="Z61" s="67"/>
      <c r="AA61" s="71">
        <v>34608</v>
      </c>
      <c r="AB61" s="72">
        <v>384.9</v>
      </c>
      <c r="AC61" s="72">
        <v>396.2</v>
      </c>
      <c r="AD61" s="73">
        <f t="shared" si="3"/>
        <v>-2.8520949015648722E-2</v>
      </c>
      <c r="AE61" s="67"/>
      <c r="AF61" s="71">
        <v>34608</v>
      </c>
      <c r="AG61" s="72">
        <v>85.69</v>
      </c>
      <c r="AH61" s="72">
        <v>87.72</v>
      </c>
      <c r="AI61" s="73">
        <f t="shared" si="4"/>
        <v>-2.3141814865481058E-2</v>
      </c>
      <c r="AJ61" s="67"/>
      <c r="AK61" s="74">
        <v>34638</v>
      </c>
      <c r="AL61" s="41">
        <v>7.8100000000000003E-2</v>
      </c>
      <c r="AM61" s="41">
        <f t="shared" si="11"/>
        <v>1.8999999999999989E-3</v>
      </c>
      <c r="AN61" s="67"/>
      <c r="AO61" s="75">
        <v>34608</v>
      </c>
      <c r="AP61" s="76">
        <v>591675.75</v>
      </c>
      <c r="AQ61" s="80">
        <f t="shared" si="7"/>
        <v>1.9436359106617118E-6</v>
      </c>
      <c r="AR61" s="67"/>
      <c r="AS61" s="94">
        <v>34608</v>
      </c>
      <c r="AT61" s="78">
        <v>0.89749999999999996</v>
      </c>
      <c r="AU61" s="67"/>
      <c r="AV61" s="79">
        <v>34608</v>
      </c>
      <c r="AW61" s="76">
        <v>321708.25</v>
      </c>
      <c r="AX61" s="80">
        <f t="shared" si="8"/>
        <v>3.3741624561868022E-2</v>
      </c>
      <c r="AY61" s="67"/>
      <c r="AZ61" s="81">
        <v>34608</v>
      </c>
      <c r="BA61" s="82">
        <v>94.853630065917969</v>
      </c>
      <c r="BB61" s="82">
        <v>118.89933776855469</v>
      </c>
      <c r="BC61" s="67"/>
      <c r="BD61" s="83">
        <v>34622</v>
      </c>
      <c r="BE61" s="42">
        <v>6658</v>
      </c>
      <c r="BF61" s="41">
        <f t="shared" si="9"/>
        <v>7.4141322439098545E-3</v>
      </c>
      <c r="BG61" s="67"/>
      <c r="BH61" s="84">
        <v>34608</v>
      </c>
      <c r="BI61" s="85">
        <v>69.954400000000007</v>
      </c>
      <c r="BJ61" s="87">
        <f t="shared" si="10"/>
        <v>8.0451206912204309E-3</v>
      </c>
      <c r="BK61" s="67"/>
      <c r="BL61" s="84">
        <v>34608</v>
      </c>
      <c r="BM61" s="86">
        <v>19.605573</v>
      </c>
      <c r="BN61" s="67"/>
      <c r="BO61" s="88">
        <v>34608</v>
      </c>
      <c r="BP61" s="89">
        <v>1.2190000000000001</v>
      </c>
      <c r="BQ61" s="89">
        <v>1.1259999999999999</v>
      </c>
      <c r="BR61" s="90">
        <f t="shared" si="5"/>
        <v>8.2593250444049859E-2</v>
      </c>
    </row>
    <row r="62" spans="1:70">
      <c r="A62" s="62">
        <v>34639</v>
      </c>
      <c r="B62" s="63">
        <v>34639</v>
      </c>
      <c r="C62" s="39">
        <v>18.05</v>
      </c>
      <c r="D62" s="64">
        <v>18.18</v>
      </c>
      <c r="E62" s="40">
        <f t="shared" si="0"/>
        <v>-7.1507150715071077E-3</v>
      </c>
      <c r="F62" s="65"/>
      <c r="G62" s="63">
        <v>34639</v>
      </c>
      <c r="H62" s="39">
        <v>15.95</v>
      </c>
      <c r="I62" s="39">
        <v>14.61</v>
      </c>
      <c r="J62" s="40">
        <f t="shared" si="6"/>
        <v>9.1718001368925384E-2</v>
      </c>
      <c r="K62" s="67"/>
      <c r="L62" s="68">
        <v>34639</v>
      </c>
      <c r="M62" s="69">
        <v>453.7</v>
      </c>
      <c r="N62" s="69">
        <v>472.3</v>
      </c>
      <c r="O62" s="70">
        <f t="shared" si="1"/>
        <v>-3.9381748888418389E-2</v>
      </c>
      <c r="P62" s="67"/>
      <c r="Q62" s="38">
        <v>34639</v>
      </c>
      <c r="R62" s="39">
        <v>1.6950000000000001</v>
      </c>
      <c r="S62" s="39">
        <v>1.9410000000000001</v>
      </c>
      <c r="T62" s="40">
        <f t="shared" si="12"/>
        <v>-0.12673879443585778</v>
      </c>
      <c r="U62" s="67"/>
      <c r="V62" s="38">
        <v>34639</v>
      </c>
      <c r="W62" s="39">
        <v>0.4955</v>
      </c>
      <c r="X62" s="39">
        <v>0.498</v>
      </c>
      <c r="Y62" s="40">
        <f t="shared" si="2"/>
        <v>-5.020080321285092E-3</v>
      </c>
      <c r="Z62" s="67"/>
      <c r="AA62" s="71">
        <v>34639</v>
      </c>
      <c r="AB62" s="72">
        <v>384.5</v>
      </c>
      <c r="AC62" s="72">
        <v>384.7</v>
      </c>
      <c r="AD62" s="73">
        <f t="shared" si="3"/>
        <v>-5.1988562516247505E-4</v>
      </c>
      <c r="AE62" s="67"/>
      <c r="AF62" s="71">
        <v>34639</v>
      </c>
      <c r="AG62" s="72">
        <v>89.13</v>
      </c>
      <c r="AH62" s="72">
        <v>85.54</v>
      </c>
      <c r="AI62" s="73">
        <f t="shared" si="4"/>
        <v>4.1968669628243971E-2</v>
      </c>
      <c r="AJ62" s="67"/>
      <c r="AK62" s="74">
        <v>34668</v>
      </c>
      <c r="AL62" s="41">
        <v>7.9100000000000004E-2</v>
      </c>
      <c r="AM62" s="41">
        <f t="shared" si="11"/>
        <v>1.0000000000000009E-3</v>
      </c>
      <c r="AN62" s="67"/>
      <c r="AO62" s="75">
        <v>34639</v>
      </c>
      <c r="AP62" s="76">
        <v>591674.5</v>
      </c>
      <c r="AQ62" s="80">
        <f t="shared" si="7"/>
        <v>-2.112643622820265E-6</v>
      </c>
      <c r="AR62" s="67"/>
      <c r="AS62" s="94">
        <v>34639</v>
      </c>
      <c r="AT62" s="78">
        <v>0.92075000000000007</v>
      </c>
      <c r="AU62" s="67"/>
      <c r="AV62" s="79">
        <v>34639</v>
      </c>
      <c r="AW62" s="76">
        <v>325264</v>
      </c>
      <c r="AX62" s="80">
        <f t="shared" si="8"/>
        <v>1.1052716242123006E-2</v>
      </c>
      <c r="AY62" s="67"/>
      <c r="AZ62" s="81">
        <v>34639</v>
      </c>
      <c r="BA62" s="82">
        <v>86.529808044433594</v>
      </c>
      <c r="BB62" s="82">
        <v>100.79308319091797</v>
      </c>
      <c r="BC62" s="67"/>
      <c r="BD62" s="83">
        <v>34653</v>
      </c>
      <c r="BE62" s="42">
        <v>6628</v>
      </c>
      <c r="BF62" s="41">
        <f t="shared" si="9"/>
        <v>-4.5058576148994112E-3</v>
      </c>
      <c r="BG62" s="67"/>
      <c r="BH62" s="84">
        <v>34639</v>
      </c>
      <c r="BI62" s="85">
        <v>70.432599999999994</v>
      </c>
      <c r="BJ62" s="87">
        <f t="shared" si="10"/>
        <v>6.8358816600526673E-3</v>
      </c>
      <c r="BK62" s="67"/>
      <c r="BL62" s="84">
        <v>34639</v>
      </c>
      <c r="BM62" s="86">
        <v>22.448554000000001</v>
      </c>
      <c r="BN62" s="67"/>
      <c r="BO62" s="88">
        <v>34639</v>
      </c>
      <c r="BP62" s="89">
        <v>1.3365</v>
      </c>
      <c r="BQ62" s="89">
        <v>1.2404999999999999</v>
      </c>
      <c r="BR62" s="90">
        <f t="shared" si="5"/>
        <v>7.7388149939540574E-2</v>
      </c>
    </row>
    <row r="63" spans="1:70">
      <c r="A63" s="62">
        <v>34669</v>
      </c>
      <c r="B63" s="63">
        <v>34669</v>
      </c>
      <c r="C63" s="39">
        <v>17.760000000000002</v>
      </c>
      <c r="D63" s="64">
        <v>18.07</v>
      </c>
      <c r="E63" s="40">
        <f t="shared" si="0"/>
        <v>-1.7155506364139428E-2</v>
      </c>
      <c r="F63" s="65"/>
      <c r="G63" s="63">
        <v>34669</v>
      </c>
      <c r="H63" s="39">
        <v>13.2</v>
      </c>
      <c r="I63" s="39">
        <v>15.49</v>
      </c>
      <c r="J63" s="40">
        <f t="shared" si="6"/>
        <v>-0.14783731439638481</v>
      </c>
      <c r="K63" s="67"/>
      <c r="L63" s="68">
        <v>34669</v>
      </c>
      <c r="M63" s="69">
        <v>459.3</v>
      </c>
      <c r="N63" s="69">
        <v>453.6</v>
      </c>
      <c r="O63" s="70">
        <f t="shared" si="1"/>
        <v>1.2566137566137447E-2</v>
      </c>
      <c r="P63" s="67"/>
      <c r="Q63" s="38">
        <v>34669</v>
      </c>
      <c r="R63" s="39">
        <v>1.7250000000000001</v>
      </c>
      <c r="S63" s="39">
        <v>1.69</v>
      </c>
      <c r="T63" s="40">
        <f t="shared" si="12"/>
        <v>2.0710059171597628E-2</v>
      </c>
      <c r="U63" s="67"/>
      <c r="V63" s="38">
        <v>34669</v>
      </c>
      <c r="W63" s="39">
        <v>0.51229999999999998</v>
      </c>
      <c r="X63" s="39">
        <v>0.50900000000000001</v>
      </c>
      <c r="Y63" s="40">
        <f t="shared" si="2"/>
        <v>6.4833005893909501E-3</v>
      </c>
      <c r="Z63" s="67"/>
      <c r="AA63" s="71">
        <v>34669</v>
      </c>
      <c r="AB63" s="72">
        <v>384.4</v>
      </c>
      <c r="AC63" s="72">
        <v>383.7</v>
      </c>
      <c r="AD63" s="73">
        <f t="shared" si="3"/>
        <v>1.8243419338024314E-3</v>
      </c>
      <c r="AE63" s="67"/>
      <c r="AF63" s="71">
        <v>34669</v>
      </c>
      <c r="AG63" s="72">
        <v>88.73</v>
      </c>
      <c r="AH63" s="72">
        <v>89.02</v>
      </c>
      <c r="AI63" s="73">
        <f t="shared" si="4"/>
        <v>-3.2576949000223676E-3</v>
      </c>
      <c r="AJ63" s="67"/>
      <c r="AK63" s="74">
        <v>34699</v>
      </c>
      <c r="AL63" s="41">
        <v>7.8399999999999997E-2</v>
      </c>
      <c r="AM63" s="41">
        <f t="shared" si="11"/>
        <v>-7.0000000000000617E-4</v>
      </c>
      <c r="AN63" s="67"/>
      <c r="AO63" s="75">
        <v>34669</v>
      </c>
      <c r="AP63" s="76">
        <v>591673.19999999995</v>
      </c>
      <c r="AQ63" s="80">
        <f t="shared" si="7"/>
        <v>-2.1971540096199504E-6</v>
      </c>
      <c r="AR63" s="67"/>
      <c r="AS63" s="94">
        <v>34669</v>
      </c>
      <c r="AT63" s="78">
        <v>0.93279999999999996</v>
      </c>
      <c r="AU63" s="67"/>
      <c r="AV63" s="79">
        <v>34669</v>
      </c>
      <c r="AW63" s="76">
        <v>318906</v>
      </c>
      <c r="AX63" s="80">
        <f t="shared" si="8"/>
        <v>-1.954719858330467E-2</v>
      </c>
      <c r="AY63" s="67"/>
      <c r="AZ63" s="81">
        <v>34669</v>
      </c>
      <c r="BA63" s="82">
        <v>96.047500610351563</v>
      </c>
      <c r="BB63" s="82">
        <v>107.74173736572266</v>
      </c>
      <c r="BC63" s="67"/>
      <c r="BD63" s="83">
        <v>34683</v>
      </c>
      <c r="BE63" s="42">
        <v>6760</v>
      </c>
      <c r="BF63" s="41">
        <f t="shared" si="9"/>
        <v>1.991550995775504E-2</v>
      </c>
      <c r="BG63" s="67"/>
      <c r="BH63" s="84">
        <v>34669</v>
      </c>
      <c r="BI63" s="85">
        <v>71.152299999999997</v>
      </c>
      <c r="BJ63" s="87">
        <f t="shared" si="10"/>
        <v>1.0218279603479097E-2</v>
      </c>
      <c r="BK63" s="67"/>
      <c r="BL63" s="84">
        <v>34669</v>
      </c>
      <c r="BM63" s="86">
        <v>29.214842000000001</v>
      </c>
      <c r="BN63" s="67"/>
      <c r="BO63" s="88">
        <v>34669</v>
      </c>
      <c r="BP63" s="89">
        <v>1.3859999999999999</v>
      </c>
      <c r="BQ63" s="89">
        <v>1.35</v>
      </c>
      <c r="BR63" s="90">
        <f t="shared" si="5"/>
        <v>2.6666666666666616E-2</v>
      </c>
    </row>
    <row r="64" spans="1:70">
      <c r="A64" s="62">
        <v>34700</v>
      </c>
      <c r="B64" s="63">
        <v>34700</v>
      </c>
      <c r="C64" s="39">
        <v>18.39</v>
      </c>
      <c r="D64" s="64">
        <v>17.649999999999999</v>
      </c>
      <c r="E64" s="40">
        <f t="shared" si="0"/>
        <v>4.1926345609065274E-2</v>
      </c>
      <c r="F64" s="65"/>
      <c r="G64" s="63">
        <v>34700</v>
      </c>
      <c r="H64" s="39">
        <v>11.96</v>
      </c>
      <c r="I64" s="39">
        <v>14.09</v>
      </c>
      <c r="J64" s="40">
        <f t="shared" si="6"/>
        <v>-0.15117104329311559</v>
      </c>
      <c r="K64" s="67"/>
      <c r="L64" s="68">
        <v>34700</v>
      </c>
      <c r="M64" s="69">
        <v>470.4</v>
      </c>
      <c r="N64" s="69">
        <v>459.2</v>
      </c>
      <c r="O64" s="70">
        <f t="shared" si="1"/>
        <v>2.4390243902439046E-2</v>
      </c>
      <c r="P64" s="67"/>
      <c r="Q64" s="38">
        <v>34700</v>
      </c>
      <c r="R64" s="39">
        <v>1.3540000000000001</v>
      </c>
      <c r="S64" s="39">
        <v>1.76</v>
      </c>
      <c r="T64" s="40">
        <f t="shared" si="12"/>
        <v>-0.2306818181818181</v>
      </c>
      <c r="U64" s="67"/>
      <c r="V64" s="38">
        <v>34700</v>
      </c>
      <c r="W64" s="39">
        <v>0.47349999999999998</v>
      </c>
      <c r="X64" s="39">
        <v>0.50749999999999995</v>
      </c>
      <c r="Y64" s="40">
        <f t="shared" si="2"/>
        <v>-6.6995073891625623E-2</v>
      </c>
      <c r="Z64" s="67"/>
      <c r="AA64" s="71">
        <v>34700</v>
      </c>
      <c r="AB64" s="72">
        <v>377.7</v>
      </c>
      <c r="AC64" s="72">
        <v>382.4</v>
      </c>
      <c r="AD64" s="73">
        <f t="shared" si="3"/>
        <v>-1.2290794979079478E-2</v>
      </c>
      <c r="AE64" s="67"/>
      <c r="AF64" s="71">
        <v>34700</v>
      </c>
      <c r="AG64" s="72">
        <v>87.99</v>
      </c>
      <c r="AH64" s="72">
        <v>88.84</v>
      </c>
      <c r="AI64" s="73">
        <f t="shared" si="4"/>
        <v>-9.567762269248159E-3</v>
      </c>
      <c r="AJ64" s="67"/>
      <c r="AK64" s="74">
        <v>34730</v>
      </c>
      <c r="AL64" s="41">
        <v>7.5999999999999998E-2</v>
      </c>
      <c r="AM64" s="41">
        <f t="shared" si="11"/>
        <v>-2.3999999999999994E-3</v>
      </c>
      <c r="AN64" s="67"/>
      <c r="AO64" s="75">
        <v>34700</v>
      </c>
      <c r="AP64" s="76">
        <v>591670.75</v>
      </c>
      <c r="AQ64" s="80">
        <f t="shared" si="7"/>
        <v>-4.1407993466302528E-6</v>
      </c>
      <c r="AR64" s="67"/>
      <c r="AS64" s="94">
        <v>34700</v>
      </c>
      <c r="AT64" s="78">
        <v>0.91799999999999993</v>
      </c>
      <c r="AU64" s="67"/>
      <c r="AV64" s="79">
        <v>34700</v>
      </c>
      <c r="AW64" s="76">
        <v>310321.25</v>
      </c>
      <c r="AX64" s="80">
        <f t="shared" si="8"/>
        <v>-2.6919374361097037E-2</v>
      </c>
      <c r="AY64" s="67"/>
      <c r="AZ64" s="81">
        <v>34700</v>
      </c>
      <c r="BA64" s="82">
        <v>80.154678344726563</v>
      </c>
      <c r="BB64" s="82">
        <v>84.899139404296875</v>
      </c>
      <c r="BC64" s="67"/>
      <c r="BD64" s="83">
        <v>34714</v>
      </c>
      <c r="BE64" s="42">
        <v>6682</v>
      </c>
      <c r="BF64" s="41">
        <f t="shared" si="9"/>
        <v>-1.1538461538461497E-2</v>
      </c>
      <c r="BG64" s="67"/>
      <c r="BH64" s="84">
        <v>34700</v>
      </c>
      <c r="BI64" s="85">
        <v>71.273399999999995</v>
      </c>
      <c r="BJ64" s="87">
        <f t="shared" si="10"/>
        <v>1.7019829295750188E-3</v>
      </c>
      <c r="BK64" s="67"/>
      <c r="BL64" s="84">
        <v>34700</v>
      </c>
      <c r="BM64" s="86">
        <v>30.313096999999999</v>
      </c>
      <c r="BN64" s="67"/>
      <c r="BO64" s="88">
        <v>34700</v>
      </c>
      <c r="BP64" s="89">
        <v>1.3514999999999999</v>
      </c>
      <c r="BQ64" s="89">
        <v>1.3754999999999999</v>
      </c>
      <c r="BR64" s="90">
        <f t="shared" si="5"/>
        <v>-1.7448200654307522E-2</v>
      </c>
    </row>
    <row r="65" spans="1:70">
      <c r="A65" s="62">
        <v>34731</v>
      </c>
      <c r="B65" s="63">
        <v>34731</v>
      </c>
      <c r="C65" s="39">
        <v>18.489999999999998</v>
      </c>
      <c r="D65" s="64">
        <v>18.38</v>
      </c>
      <c r="E65" s="40">
        <f t="shared" si="0"/>
        <v>5.9847660500542688E-3</v>
      </c>
      <c r="F65" s="65"/>
      <c r="G65" s="63">
        <v>34731</v>
      </c>
      <c r="H65" s="39">
        <v>11.75</v>
      </c>
      <c r="I65" s="39">
        <v>11.74</v>
      </c>
      <c r="J65" s="40">
        <f t="shared" si="6"/>
        <v>8.5178875638836082E-4</v>
      </c>
      <c r="K65" s="67"/>
      <c r="L65" s="68">
        <v>34731</v>
      </c>
      <c r="M65" s="69">
        <v>487.4</v>
      </c>
      <c r="N65" s="69">
        <v>470.4</v>
      </c>
      <c r="O65" s="70">
        <f t="shared" si="1"/>
        <v>3.6139455782312924E-2</v>
      </c>
      <c r="P65" s="67"/>
      <c r="Q65" s="38">
        <v>34731</v>
      </c>
      <c r="R65" s="39">
        <v>1.4830000000000001</v>
      </c>
      <c r="S65" s="39">
        <v>1.345</v>
      </c>
      <c r="T65" s="40">
        <f t="shared" si="12"/>
        <v>0.10260223048327144</v>
      </c>
      <c r="U65" s="67"/>
      <c r="V65" s="38">
        <v>34731</v>
      </c>
      <c r="W65" s="39">
        <v>0.47199999999999998</v>
      </c>
      <c r="X65" s="39">
        <v>0.47199999999999998</v>
      </c>
      <c r="Y65" s="40">
        <f t="shared" si="2"/>
        <v>0</v>
      </c>
      <c r="Z65" s="67"/>
      <c r="AA65" s="71">
        <v>34731</v>
      </c>
      <c r="AB65" s="72">
        <v>378.3</v>
      </c>
      <c r="AC65" s="72">
        <v>378.7</v>
      </c>
      <c r="AD65" s="73">
        <f t="shared" si="3"/>
        <v>-1.0562450488512676E-3</v>
      </c>
      <c r="AE65" s="67"/>
      <c r="AF65" s="71">
        <v>34731</v>
      </c>
      <c r="AG65" s="72">
        <v>85.93</v>
      </c>
      <c r="AH65" s="72">
        <v>87.93</v>
      </c>
      <c r="AI65" s="73">
        <f t="shared" si="4"/>
        <v>-2.2745365631752557E-2</v>
      </c>
      <c r="AJ65" s="67"/>
      <c r="AK65" s="74">
        <v>34758</v>
      </c>
      <c r="AL65" s="41">
        <v>7.22E-2</v>
      </c>
      <c r="AM65" s="41">
        <f t="shared" si="11"/>
        <v>-3.7999999999999978E-3</v>
      </c>
      <c r="AN65" s="67"/>
      <c r="AO65" s="75">
        <v>34731</v>
      </c>
      <c r="AP65" s="76">
        <v>591670.75</v>
      </c>
      <c r="AQ65" s="80">
        <f t="shared" si="7"/>
        <v>0</v>
      </c>
      <c r="AR65" s="67"/>
      <c r="AS65" s="94">
        <v>34731</v>
      </c>
      <c r="AT65" s="78">
        <v>0.89549999999999996</v>
      </c>
      <c r="AU65" s="67"/>
      <c r="AV65" s="79">
        <v>34731</v>
      </c>
      <c r="AW65" s="76">
        <v>307348.25</v>
      </c>
      <c r="AX65" s="80">
        <f t="shared" si="8"/>
        <v>-9.5803945105273902E-3</v>
      </c>
      <c r="AY65" s="67"/>
      <c r="AZ65" s="81">
        <v>34731</v>
      </c>
      <c r="BA65" s="82">
        <v>76.875328063964844</v>
      </c>
      <c r="BB65" s="82">
        <v>72.594070434570313</v>
      </c>
      <c r="BC65" s="67"/>
      <c r="BD65" s="83">
        <v>34745</v>
      </c>
      <c r="BE65" s="42">
        <v>6794</v>
      </c>
      <c r="BF65" s="41">
        <f t="shared" si="9"/>
        <v>1.6761448668063395E-2</v>
      </c>
      <c r="BG65" s="67"/>
      <c r="BH65" s="84">
        <v>34731</v>
      </c>
      <c r="BI65" s="85">
        <v>71.192999999999998</v>
      </c>
      <c r="BJ65" s="87">
        <f t="shared" si="10"/>
        <v>-1.1280505770735472E-3</v>
      </c>
      <c r="BK65" s="67"/>
      <c r="BL65" s="84">
        <v>34731</v>
      </c>
      <c r="BM65" s="86">
        <v>28.867376</v>
      </c>
      <c r="BN65" s="67"/>
      <c r="BO65" s="88">
        <v>34731</v>
      </c>
      <c r="BP65" s="89">
        <v>1.2855000000000001</v>
      </c>
      <c r="BQ65" s="89">
        <v>1.3360000000000001</v>
      </c>
      <c r="BR65" s="90">
        <f t="shared" si="5"/>
        <v>-3.7799401197604832E-2</v>
      </c>
    </row>
    <row r="66" spans="1:70">
      <c r="A66" s="62">
        <v>34759</v>
      </c>
      <c r="B66" s="63">
        <v>34759</v>
      </c>
      <c r="C66" s="39">
        <v>19.170000000000002</v>
      </c>
      <c r="D66" s="64">
        <v>18.52</v>
      </c>
      <c r="E66" s="40">
        <f t="shared" si="0"/>
        <v>3.5097192224622153E-2</v>
      </c>
      <c r="F66" s="65"/>
      <c r="G66" s="63">
        <v>34759</v>
      </c>
      <c r="H66" s="39">
        <v>13.37</v>
      </c>
      <c r="I66" s="39">
        <v>11.49</v>
      </c>
      <c r="J66" s="40">
        <f t="shared" si="6"/>
        <v>0.16362053959965173</v>
      </c>
      <c r="K66" s="67"/>
      <c r="L66" s="68">
        <v>34759</v>
      </c>
      <c r="M66" s="69">
        <v>500.7</v>
      </c>
      <c r="N66" s="69">
        <v>487.4</v>
      </c>
      <c r="O66" s="70">
        <f t="shared" si="1"/>
        <v>2.7287648748461235E-2</v>
      </c>
      <c r="P66" s="67"/>
      <c r="Q66" s="38">
        <v>34759</v>
      </c>
      <c r="R66" s="39">
        <v>1.6850000000000001</v>
      </c>
      <c r="S66" s="39">
        <v>1.4850000000000001</v>
      </c>
      <c r="T66" s="40">
        <f t="shared" si="12"/>
        <v>0.13468013468013473</v>
      </c>
      <c r="U66" s="67"/>
      <c r="V66" s="38">
        <v>34759</v>
      </c>
      <c r="W66" s="39">
        <v>0.47599999999999998</v>
      </c>
      <c r="X66" s="39">
        <v>0.47299999999999998</v>
      </c>
      <c r="Y66" s="40">
        <f t="shared" si="2"/>
        <v>6.3424947145878097E-3</v>
      </c>
      <c r="Z66" s="67"/>
      <c r="AA66" s="71">
        <v>34759</v>
      </c>
      <c r="AB66" s="72">
        <v>394.3</v>
      </c>
      <c r="AC66" s="72">
        <v>377.4</v>
      </c>
      <c r="AD66" s="73">
        <f t="shared" si="3"/>
        <v>4.4780074191838937E-2</v>
      </c>
      <c r="AE66" s="67"/>
      <c r="AF66" s="71">
        <v>34759</v>
      </c>
      <c r="AG66" s="72">
        <v>81.900000000000006</v>
      </c>
      <c r="AH66" s="72">
        <v>85.87</v>
      </c>
      <c r="AI66" s="73">
        <f t="shared" si="4"/>
        <v>-4.6232677302899705E-2</v>
      </c>
      <c r="AJ66" s="67"/>
      <c r="AK66" s="74">
        <v>34789</v>
      </c>
      <c r="AL66" s="41">
        <v>7.2000000000000008E-2</v>
      </c>
      <c r="AM66" s="41">
        <f t="shared" si="11"/>
        <v>-1.9999999999999185E-4</v>
      </c>
      <c r="AN66" s="67"/>
      <c r="AO66" s="75">
        <v>34759</v>
      </c>
      <c r="AP66" s="76">
        <v>591672.6</v>
      </c>
      <c r="AQ66" s="80">
        <f t="shared" si="7"/>
        <v>3.12673898439364E-6</v>
      </c>
      <c r="AR66" s="67"/>
      <c r="AS66" s="94">
        <v>34759</v>
      </c>
      <c r="AT66" s="78">
        <v>0.89680000000000004</v>
      </c>
      <c r="AU66" s="67"/>
      <c r="AV66" s="79">
        <v>34759</v>
      </c>
      <c r="AW66" s="76">
        <v>312117.59999999998</v>
      </c>
      <c r="AX66" s="80">
        <f t="shared" si="8"/>
        <v>1.5517739242048689E-2</v>
      </c>
      <c r="AY66" s="67"/>
      <c r="AZ66" s="81">
        <v>34759</v>
      </c>
      <c r="BA66" s="82">
        <v>82.24444580078125</v>
      </c>
      <c r="BB66" s="82">
        <v>79.159042358398438</v>
      </c>
      <c r="BC66" s="67"/>
      <c r="BD66" s="83">
        <v>34773</v>
      </c>
      <c r="BE66" s="42">
        <v>6600</v>
      </c>
      <c r="BF66" s="41">
        <f t="shared" si="9"/>
        <v>-2.8554607006181953E-2</v>
      </c>
      <c r="BG66" s="67"/>
      <c r="BH66" s="84">
        <v>34759</v>
      </c>
      <c r="BI66" s="85">
        <v>71.311300000000003</v>
      </c>
      <c r="BJ66" s="87">
        <f t="shared" si="10"/>
        <v>1.6616802213702542E-3</v>
      </c>
      <c r="BK66" s="67"/>
      <c r="BL66" s="84">
        <v>34759</v>
      </c>
      <c r="BM66" s="86">
        <v>38.686422999999998</v>
      </c>
      <c r="BN66" s="67"/>
      <c r="BO66" s="88">
        <v>34759</v>
      </c>
      <c r="BP66" s="89">
        <v>1.3420000000000001</v>
      </c>
      <c r="BQ66" s="89">
        <v>1.276</v>
      </c>
      <c r="BR66" s="90">
        <f t="shared" si="5"/>
        <v>5.1724137931034475E-2</v>
      </c>
    </row>
    <row r="67" spans="1:70">
      <c r="A67" s="62">
        <v>34790</v>
      </c>
      <c r="B67" s="63">
        <v>34790</v>
      </c>
      <c r="C67" s="39">
        <v>20.38</v>
      </c>
      <c r="D67" s="64">
        <v>19.12</v>
      </c>
      <c r="E67" s="40">
        <f t="shared" si="0"/>
        <v>6.5899581589958123E-2</v>
      </c>
      <c r="F67" s="65"/>
      <c r="G67" s="63">
        <v>34790</v>
      </c>
      <c r="H67" s="39">
        <v>11.75</v>
      </c>
      <c r="I67" s="39">
        <v>12.52</v>
      </c>
      <c r="J67" s="40">
        <f t="shared" si="6"/>
        <v>-6.1501597444089451E-2</v>
      </c>
      <c r="K67" s="67"/>
      <c r="L67" s="68">
        <v>34790</v>
      </c>
      <c r="M67" s="69">
        <v>514.70000000000005</v>
      </c>
      <c r="N67" s="69">
        <v>500.7</v>
      </c>
      <c r="O67" s="70">
        <f t="shared" si="1"/>
        <v>2.7960854803275481E-2</v>
      </c>
      <c r="P67" s="67"/>
      <c r="Q67" s="38">
        <v>34790</v>
      </c>
      <c r="R67" s="39">
        <v>1.6619999999999999</v>
      </c>
      <c r="S67" s="39">
        <v>1.7</v>
      </c>
      <c r="T67" s="40">
        <f t="shared" si="12"/>
        <v>-2.2352941176470575E-2</v>
      </c>
      <c r="U67" s="67"/>
      <c r="V67" s="38">
        <v>34790</v>
      </c>
      <c r="W67" s="39">
        <v>0.50790000000000002</v>
      </c>
      <c r="X67" s="39">
        <v>0.48049999999999998</v>
      </c>
      <c r="Y67" s="40">
        <f t="shared" si="2"/>
        <v>5.7023933402705618E-2</v>
      </c>
      <c r="Z67" s="67"/>
      <c r="AA67" s="71">
        <v>34790</v>
      </c>
      <c r="AB67" s="72">
        <v>388.5</v>
      </c>
      <c r="AC67" s="72">
        <v>395.2</v>
      </c>
      <c r="AD67" s="73">
        <f t="shared" si="3"/>
        <v>-1.6953441295546545E-2</v>
      </c>
      <c r="AE67" s="67"/>
      <c r="AF67" s="71">
        <v>34790</v>
      </c>
      <c r="AG67" s="72">
        <v>81.8</v>
      </c>
      <c r="AH67" s="72">
        <v>81.87</v>
      </c>
      <c r="AI67" s="73">
        <f t="shared" si="4"/>
        <v>-8.5501404665944136E-4</v>
      </c>
      <c r="AJ67" s="67"/>
      <c r="AK67" s="74">
        <v>34819</v>
      </c>
      <c r="AL67" s="41">
        <v>7.0699999999999999E-2</v>
      </c>
      <c r="AM67" s="41">
        <f t="shared" si="11"/>
        <v>-1.3000000000000095E-3</v>
      </c>
      <c r="AN67" s="67"/>
      <c r="AO67" s="75">
        <v>34790</v>
      </c>
      <c r="AP67" s="76">
        <v>591672.25</v>
      </c>
      <c r="AQ67" s="80">
        <f t="shared" si="7"/>
        <v>-5.9154336362610138E-7</v>
      </c>
      <c r="AR67" s="67"/>
      <c r="AS67" s="94">
        <v>34790</v>
      </c>
      <c r="AT67" s="78">
        <v>0.91249999999999998</v>
      </c>
      <c r="AU67" s="67"/>
      <c r="AV67" s="79">
        <v>34790</v>
      </c>
      <c r="AW67" s="76">
        <v>319638.25</v>
      </c>
      <c r="AX67" s="80">
        <f t="shared" si="8"/>
        <v>2.4095565261299079E-2</v>
      </c>
      <c r="AY67" s="67"/>
      <c r="AZ67" s="81">
        <v>34790</v>
      </c>
      <c r="BA67" s="82">
        <v>99.190879821777344</v>
      </c>
      <c r="BB67" s="82">
        <v>93.92303466796875</v>
      </c>
      <c r="BC67" s="67"/>
      <c r="BD67" s="83">
        <v>34804</v>
      </c>
      <c r="BE67" s="42">
        <v>6604</v>
      </c>
      <c r="BF67" s="41">
        <f t="shared" si="9"/>
        <v>6.0606060606049894E-4</v>
      </c>
      <c r="BG67" s="67"/>
      <c r="BH67" s="84">
        <v>34790</v>
      </c>
      <c r="BI67" s="85">
        <v>71.188199999999995</v>
      </c>
      <c r="BJ67" s="87">
        <f t="shared" si="10"/>
        <v>-1.7262341311966578E-3</v>
      </c>
      <c r="BK67" s="67"/>
      <c r="BL67" s="84">
        <v>34790</v>
      </c>
      <c r="BM67" s="86">
        <v>41.241945999999999</v>
      </c>
      <c r="BN67" s="67"/>
      <c r="BO67" s="88">
        <v>34790</v>
      </c>
      <c r="BP67" s="89">
        <v>1.2709999999999999</v>
      </c>
      <c r="BQ67" s="89">
        <v>1.3540000000000001</v>
      </c>
      <c r="BR67" s="90">
        <f t="shared" si="5"/>
        <v>-6.1299852289512735E-2</v>
      </c>
    </row>
    <row r="68" spans="1:70">
      <c r="A68" s="62">
        <v>34820</v>
      </c>
      <c r="B68" s="63">
        <v>34820</v>
      </c>
      <c r="C68" s="39">
        <v>18.89</v>
      </c>
      <c r="D68" s="64">
        <v>20.49</v>
      </c>
      <c r="E68" s="40">
        <f t="shared" ref="E68:E131" si="13">C68/D68-1</f>
        <v>-7.8086871644704625E-2</v>
      </c>
      <c r="F68" s="65"/>
      <c r="G68" s="63">
        <v>34820</v>
      </c>
      <c r="H68" s="39">
        <v>12.85</v>
      </c>
      <c r="I68" s="39">
        <v>11.21</v>
      </c>
      <c r="J68" s="40">
        <f t="shared" si="6"/>
        <v>0.14629794826048159</v>
      </c>
      <c r="K68" s="67"/>
      <c r="L68" s="68">
        <v>34820</v>
      </c>
      <c r="M68" s="69">
        <v>533.4</v>
      </c>
      <c r="N68" s="69">
        <v>514.79999999999995</v>
      </c>
      <c r="O68" s="70">
        <f t="shared" ref="O68:O131" si="14">M68/N68-1</f>
        <v>3.6130536130536184E-2</v>
      </c>
      <c r="P68" s="67"/>
      <c r="Q68" s="38">
        <v>34820</v>
      </c>
      <c r="R68" s="39">
        <v>1.718</v>
      </c>
      <c r="S68" s="39">
        <v>1.67</v>
      </c>
      <c r="T68" s="40">
        <f t="shared" si="12"/>
        <v>2.8742514970059974E-2</v>
      </c>
      <c r="U68" s="67"/>
      <c r="V68" s="38">
        <v>34820</v>
      </c>
      <c r="W68" s="39">
        <v>0.49349999999999999</v>
      </c>
      <c r="X68" s="39">
        <v>0.51600000000000001</v>
      </c>
      <c r="Y68" s="40">
        <f t="shared" ref="Y68:Y131" si="15">W68/X68-1</f>
        <v>-4.3604651162790775E-2</v>
      </c>
      <c r="Z68" s="67"/>
      <c r="AA68" s="71">
        <v>34820</v>
      </c>
      <c r="AB68" s="72">
        <v>387.6</v>
      </c>
      <c r="AC68" s="72">
        <v>389.9</v>
      </c>
      <c r="AD68" s="73">
        <f t="shared" ref="AD68:AD131" si="16">AB68/AC68-1</f>
        <v>-5.8989484483199517E-3</v>
      </c>
      <c r="AE68" s="67"/>
      <c r="AF68" s="71">
        <v>34820</v>
      </c>
      <c r="AG68" s="72">
        <v>82.57</v>
      </c>
      <c r="AH68" s="72">
        <v>81.87</v>
      </c>
      <c r="AI68" s="73">
        <f t="shared" ref="AI68:AI131" si="17">AG68/AH68-1</f>
        <v>8.5501404665933034E-3</v>
      </c>
      <c r="AJ68" s="67"/>
      <c r="AK68" s="74">
        <v>34850</v>
      </c>
      <c r="AL68" s="41">
        <v>6.3E-2</v>
      </c>
      <c r="AM68" s="41">
        <f t="shared" si="11"/>
        <v>-7.6999999999999985E-3</v>
      </c>
      <c r="AN68" s="67"/>
      <c r="AO68" s="92">
        <v>34820</v>
      </c>
      <c r="AP68" s="76">
        <v>591671.25</v>
      </c>
      <c r="AQ68" s="80">
        <f t="shared" si="7"/>
        <v>-1.6901248960365933E-6</v>
      </c>
      <c r="AR68" s="67"/>
      <c r="AS68" s="97">
        <v>34820</v>
      </c>
      <c r="AT68" s="78">
        <v>0.93200000000000005</v>
      </c>
      <c r="AU68" s="67"/>
      <c r="AV68" s="93">
        <v>34820</v>
      </c>
      <c r="AW68" s="76">
        <v>314232</v>
      </c>
      <c r="AX68" s="80">
        <f t="shared" si="8"/>
        <v>-1.6913651604587354E-2</v>
      </c>
      <c r="AY68" s="67"/>
      <c r="AZ68" s="81">
        <v>34820</v>
      </c>
      <c r="BA68" s="82">
        <v>87.842529296875</v>
      </c>
      <c r="BB68" s="82">
        <v>96.409194946289063</v>
      </c>
      <c r="BC68" s="67"/>
      <c r="BD68" s="83">
        <v>34834</v>
      </c>
      <c r="BE68" s="42">
        <v>6629</v>
      </c>
      <c r="BF68" s="41">
        <f t="shared" si="9"/>
        <v>3.7855844942458194E-3</v>
      </c>
      <c r="BG68" s="67"/>
      <c r="BH68" s="84">
        <v>34820</v>
      </c>
      <c r="BI68" s="85">
        <v>71.537800000000004</v>
      </c>
      <c r="BJ68" s="87">
        <f t="shared" si="10"/>
        <v>4.9109262490132366E-3</v>
      </c>
      <c r="BK68" s="67"/>
      <c r="BL68" s="84">
        <v>34820</v>
      </c>
      <c r="BM68" s="86">
        <v>40.812500999999997</v>
      </c>
      <c r="BN68" s="67"/>
      <c r="BO68" s="88">
        <v>34820</v>
      </c>
      <c r="BP68" s="89">
        <v>1.2949999999999999</v>
      </c>
      <c r="BQ68" s="89">
        <v>1.2729999999999999</v>
      </c>
      <c r="BR68" s="90">
        <f t="shared" si="5"/>
        <v>1.7282010997643482E-2</v>
      </c>
    </row>
    <row r="69" spans="1:70">
      <c r="A69" s="62">
        <v>34851</v>
      </c>
      <c r="B69" s="63">
        <v>34851</v>
      </c>
      <c r="C69" s="39">
        <v>17.399999999999999</v>
      </c>
      <c r="D69" s="64">
        <v>18.87</v>
      </c>
      <c r="E69" s="40">
        <f t="shared" si="13"/>
        <v>-7.7901430842607478E-2</v>
      </c>
      <c r="F69" s="65"/>
      <c r="G69" s="63">
        <v>34851</v>
      </c>
      <c r="H69" s="39">
        <v>11.38</v>
      </c>
      <c r="I69" s="39">
        <v>12.16</v>
      </c>
      <c r="J69" s="40">
        <f t="shared" ref="J69:J132" si="18">H69/I69-1</f>
        <v>-6.4144736842105199E-2</v>
      </c>
      <c r="K69" s="67"/>
      <c r="L69" s="68">
        <v>34851</v>
      </c>
      <c r="M69" s="69">
        <v>544.79999999999995</v>
      </c>
      <c r="N69" s="69">
        <v>533.4</v>
      </c>
      <c r="O69" s="70">
        <f t="shared" si="14"/>
        <v>2.1372328458942658E-2</v>
      </c>
      <c r="P69" s="67"/>
      <c r="Q69" s="38">
        <v>34851</v>
      </c>
      <c r="R69" s="39">
        <v>1.53</v>
      </c>
      <c r="S69" s="39">
        <v>1.718</v>
      </c>
      <c r="T69" s="40">
        <f t="shared" si="12"/>
        <v>-0.10942956926658898</v>
      </c>
      <c r="U69" s="67"/>
      <c r="V69" s="38">
        <v>34851</v>
      </c>
      <c r="W69" s="39">
        <v>0.46870000000000001</v>
      </c>
      <c r="X69" s="39">
        <v>0.497</v>
      </c>
      <c r="Y69" s="40">
        <f t="shared" si="15"/>
        <v>-5.6941649899396318E-2</v>
      </c>
      <c r="Z69" s="67"/>
      <c r="AA69" s="71">
        <v>34851</v>
      </c>
      <c r="AB69" s="72">
        <v>385.6</v>
      </c>
      <c r="AC69" s="72">
        <v>386.6</v>
      </c>
      <c r="AD69" s="73">
        <f t="shared" si="16"/>
        <v>-2.586652871184647E-3</v>
      </c>
      <c r="AE69" s="67"/>
      <c r="AF69" s="71">
        <v>34851</v>
      </c>
      <c r="AG69" s="72">
        <v>81.58</v>
      </c>
      <c r="AH69" s="72">
        <v>82.71</v>
      </c>
      <c r="AI69" s="73">
        <f t="shared" si="17"/>
        <v>-1.36621932051747E-2</v>
      </c>
      <c r="AJ69" s="67"/>
      <c r="AK69" s="74">
        <v>34880</v>
      </c>
      <c r="AL69" s="41">
        <v>6.2100000000000002E-2</v>
      </c>
      <c r="AM69" s="41">
        <f t="shared" si="11"/>
        <v>-8.9999999999999802E-4</v>
      </c>
      <c r="AN69" s="67"/>
      <c r="AO69" s="75">
        <v>34851</v>
      </c>
      <c r="AP69" s="76">
        <v>591669.4</v>
      </c>
      <c r="AQ69" s="80">
        <f t="shared" si="7"/>
        <v>-3.1267363421738636E-6</v>
      </c>
      <c r="AR69" s="67"/>
      <c r="AS69" s="94">
        <v>34851</v>
      </c>
      <c r="AT69" s="78">
        <v>0.95819999999999994</v>
      </c>
      <c r="AU69" s="67"/>
      <c r="AV69" s="79">
        <v>34851</v>
      </c>
      <c r="AW69" s="76">
        <v>304965.59999999998</v>
      </c>
      <c r="AX69" s="80">
        <f t="shared" si="8"/>
        <v>-2.9489039945008844E-2</v>
      </c>
      <c r="AY69" s="67"/>
      <c r="AZ69" s="81">
        <v>34851</v>
      </c>
      <c r="BA69" s="82">
        <v>104.60775756835938</v>
      </c>
      <c r="BB69" s="82">
        <v>121.57904815673828</v>
      </c>
      <c r="BC69" s="67"/>
      <c r="BD69" s="83">
        <v>34865</v>
      </c>
      <c r="BE69" s="42">
        <v>6579</v>
      </c>
      <c r="BF69" s="41">
        <f t="shared" si="9"/>
        <v>-7.542615779152162E-3</v>
      </c>
      <c r="BG69" s="67"/>
      <c r="BH69" s="84">
        <v>34851</v>
      </c>
      <c r="BI69" s="85">
        <v>71.774900000000002</v>
      </c>
      <c r="BJ69" s="87">
        <f t="shared" si="10"/>
        <v>3.3143317239276993E-3</v>
      </c>
      <c r="BK69" s="67"/>
      <c r="BL69" s="84">
        <v>34851</v>
      </c>
      <c r="BM69" s="86">
        <v>29.348527000000001</v>
      </c>
      <c r="BN69" s="67"/>
      <c r="BO69" s="88">
        <v>34851</v>
      </c>
      <c r="BP69" s="89">
        <v>1.367</v>
      </c>
      <c r="BQ69" s="89">
        <v>1.329</v>
      </c>
      <c r="BR69" s="90">
        <f t="shared" si="5"/>
        <v>2.8592927012791591E-2</v>
      </c>
    </row>
    <row r="70" spans="1:70">
      <c r="A70" s="62">
        <v>34881</v>
      </c>
      <c r="B70" s="63">
        <v>34881</v>
      </c>
      <c r="C70" s="39">
        <v>17.559999999999999</v>
      </c>
      <c r="D70" s="64">
        <v>17.11</v>
      </c>
      <c r="E70" s="40">
        <f t="shared" si="13"/>
        <v>2.6300409117475221E-2</v>
      </c>
      <c r="F70" s="65"/>
      <c r="G70" s="63">
        <v>34881</v>
      </c>
      <c r="H70" s="39">
        <v>13.49</v>
      </c>
      <c r="I70" s="39">
        <v>11.36</v>
      </c>
      <c r="J70" s="40">
        <f t="shared" si="18"/>
        <v>0.1875</v>
      </c>
      <c r="K70" s="67"/>
      <c r="L70" s="68">
        <v>34881</v>
      </c>
      <c r="M70" s="69">
        <v>562.1</v>
      </c>
      <c r="N70" s="69">
        <v>544.79999999999995</v>
      </c>
      <c r="O70" s="70">
        <f t="shared" si="14"/>
        <v>3.1754772393538966E-2</v>
      </c>
      <c r="P70" s="67"/>
      <c r="Q70" s="38">
        <v>34881</v>
      </c>
      <c r="R70" s="39">
        <v>1.6140000000000001</v>
      </c>
      <c r="S70" s="39">
        <v>1.512</v>
      </c>
      <c r="T70" s="40">
        <f t="shared" si="12"/>
        <v>6.7460317460317443E-2</v>
      </c>
      <c r="U70" s="67"/>
      <c r="V70" s="38">
        <v>34881</v>
      </c>
      <c r="W70" s="39">
        <v>0.48630000000000001</v>
      </c>
      <c r="X70" s="39">
        <v>0.47249999999999998</v>
      </c>
      <c r="Y70" s="40">
        <f t="shared" si="15"/>
        <v>2.9206349206349236E-2</v>
      </c>
      <c r="Z70" s="67"/>
      <c r="AA70" s="71">
        <v>34881</v>
      </c>
      <c r="AB70" s="72">
        <v>388.4</v>
      </c>
      <c r="AC70" s="72">
        <v>385.2</v>
      </c>
      <c r="AD70" s="73">
        <f t="shared" si="16"/>
        <v>8.3073727933540287E-3</v>
      </c>
      <c r="AE70" s="67"/>
      <c r="AF70" s="71">
        <v>34881</v>
      </c>
      <c r="AG70" s="72">
        <v>81.569999999999993</v>
      </c>
      <c r="AH70" s="72">
        <v>81.55</v>
      </c>
      <c r="AI70" s="73">
        <f t="shared" si="17"/>
        <v>2.4524831391770086E-4</v>
      </c>
      <c r="AJ70" s="67"/>
      <c r="AK70" s="74">
        <v>34911</v>
      </c>
      <c r="AL70" s="41">
        <v>6.4500000000000002E-2</v>
      </c>
      <c r="AM70" s="41">
        <f t="shared" ref="AM70:AM133" si="19">AL70-AL69</f>
        <v>2.3999999999999994E-3</v>
      </c>
      <c r="AN70" s="67"/>
      <c r="AO70" s="75">
        <v>34881</v>
      </c>
      <c r="AP70" s="76">
        <v>591670.5</v>
      </c>
      <c r="AQ70" s="80">
        <f t="shared" si="7"/>
        <v>1.859146340876805E-6</v>
      </c>
      <c r="AR70" s="67"/>
      <c r="AS70" s="94">
        <v>34881</v>
      </c>
      <c r="AT70" s="78">
        <v>0.9405</v>
      </c>
      <c r="AU70" s="67"/>
      <c r="AV70" s="79">
        <v>34881</v>
      </c>
      <c r="AW70" s="76">
        <v>299268</v>
      </c>
      <c r="AX70" s="80">
        <f t="shared" si="8"/>
        <v>-1.8682762908341033E-2</v>
      </c>
      <c r="AY70" s="67"/>
      <c r="AZ70" s="81">
        <v>34881</v>
      </c>
      <c r="BA70" s="82">
        <v>107.64541625976563</v>
      </c>
      <c r="BB70" s="82">
        <v>115.32476806640625</v>
      </c>
      <c r="BC70" s="67"/>
      <c r="BD70" s="83">
        <v>34895</v>
      </c>
      <c r="BE70" s="42">
        <v>6449</v>
      </c>
      <c r="BF70" s="41">
        <f t="shared" si="9"/>
        <v>-1.9759841921264676E-2</v>
      </c>
      <c r="BG70" s="67"/>
      <c r="BH70" s="84">
        <v>34881</v>
      </c>
      <c r="BI70" s="85">
        <v>71.474800000000002</v>
      </c>
      <c r="BJ70" s="87">
        <f t="shared" si="10"/>
        <v>-4.1811273857573772E-3</v>
      </c>
      <c r="BK70" s="67"/>
      <c r="BL70" s="84">
        <v>34881</v>
      </c>
      <c r="BM70" s="86">
        <v>27.573834000000002</v>
      </c>
      <c r="BN70" s="67"/>
      <c r="BO70" s="88">
        <v>34881</v>
      </c>
      <c r="BP70" s="89">
        <v>1.3334999999999999</v>
      </c>
      <c r="BQ70" s="89">
        <v>1.367</v>
      </c>
      <c r="BR70" s="90">
        <f t="shared" si="5"/>
        <v>-2.4506217995610924E-2</v>
      </c>
    </row>
    <row r="71" spans="1:70">
      <c r="A71" s="62">
        <v>34912</v>
      </c>
      <c r="B71" s="63">
        <v>34912</v>
      </c>
      <c r="C71" s="39">
        <v>17.84</v>
      </c>
      <c r="D71" s="64">
        <v>17.559999999999999</v>
      </c>
      <c r="E71" s="40">
        <f t="shared" si="13"/>
        <v>1.5945330296127658E-2</v>
      </c>
      <c r="F71" s="65"/>
      <c r="G71" s="63">
        <v>34912</v>
      </c>
      <c r="H71" s="39">
        <v>11.52</v>
      </c>
      <c r="I71" s="39">
        <v>13.44</v>
      </c>
      <c r="J71" s="40">
        <f t="shared" si="18"/>
        <v>-0.1428571428571429</v>
      </c>
      <c r="K71" s="67"/>
      <c r="L71" s="68">
        <v>34912</v>
      </c>
      <c r="M71" s="69">
        <v>561.9</v>
      </c>
      <c r="N71" s="69">
        <v>562.1</v>
      </c>
      <c r="O71" s="70">
        <f t="shared" si="14"/>
        <v>-3.558085749867379E-4</v>
      </c>
      <c r="P71" s="67"/>
      <c r="Q71" s="38">
        <v>34912</v>
      </c>
      <c r="R71" s="39">
        <v>1.748</v>
      </c>
      <c r="S71" s="39">
        <v>1.615</v>
      </c>
      <c r="T71" s="40">
        <f t="shared" si="12"/>
        <v>8.2352941176470518E-2</v>
      </c>
      <c r="U71" s="67"/>
      <c r="V71" s="38">
        <v>34912</v>
      </c>
      <c r="W71" s="39">
        <v>0.50670000000000004</v>
      </c>
      <c r="X71" s="39">
        <v>0.4945</v>
      </c>
      <c r="Y71" s="40">
        <f t="shared" si="15"/>
        <v>2.4671385237613919E-2</v>
      </c>
      <c r="Z71" s="67"/>
      <c r="AA71" s="71">
        <v>34912</v>
      </c>
      <c r="AB71" s="72">
        <v>386.9</v>
      </c>
      <c r="AC71" s="72">
        <v>388.2</v>
      </c>
      <c r="AD71" s="73">
        <f t="shared" si="16"/>
        <v>-3.3487892838742761E-3</v>
      </c>
      <c r="AE71" s="67"/>
      <c r="AF71" s="71">
        <v>34912</v>
      </c>
      <c r="AG71" s="72">
        <v>85.57</v>
      </c>
      <c r="AH71" s="72">
        <v>81.67</v>
      </c>
      <c r="AI71" s="73">
        <f t="shared" si="17"/>
        <v>4.7753152932533238E-2</v>
      </c>
      <c r="AJ71" s="67"/>
      <c r="AK71" s="74">
        <v>34942</v>
      </c>
      <c r="AL71" s="41">
        <v>6.2800000000000009E-2</v>
      </c>
      <c r="AM71" s="41">
        <f t="shared" si="19"/>
        <v>-1.6999999999999932E-3</v>
      </c>
      <c r="AN71" s="67"/>
      <c r="AO71" s="75">
        <v>34912</v>
      </c>
      <c r="AP71" s="76">
        <v>591677.5</v>
      </c>
      <c r="AQ71" s="80">
        <f t="shared" si="7"/>
        <v>1.1830909264487488E-5</v>
      </c>
      <c r="AR71" s="67"/>
      <c r="AS71" s="94">
        <v>34912</v>
      </c>
      <c r="AT71" s="78">
        <v>0.9355</v>
      </c>
      <c r="AU71" s="67"/>
      <c r="AV71" s="79">
        <v>34912</v>
      </c>
      <c r="AW71" s="76">
        <v>290087</v>
      </c>
      <c r="AX71" s="80">
        <f t="shared" si="8"/>
        <v>-3.0678188112327365E-2</v>
      </c>
      <c r="AY71" s="67"/>
      <c r="AZ71" s="81">
        <v>34912</v>
      </c>
      <c r="BA71" s="82">
        <v>106.93478393554688</v>
      </c>
      <c r="BB71" s="82">
        <v>118.49733734130859</v>
      </c>
      <c r="BC71" s="67"/>
      <c r="BD71" s="83">
        <v>34926</v>
      </c>
      <c r="BE71" s="42">
        <v>6447</v>
      </c>
      <c r="BF71" s="41">
        <f t="shared" si="9"/>
        <v>-3.1012560086840502E-4</v>
      </c>
      <c r="BG71" s="67"/>
      <c r="BH71" s="84">
        <v>34912</v>
      </c>
      <c r="BI71" s="85">
        <v>72.422300000000007</v>
      </c>
      <c r="BJ71" s="87">
        <f t="shared" si="10"/>
        <v>1.3256420444688333E-2</v>
      </c>
      <c r="BK71" s="67"/>
      <c r="BL71" s="84">
        <v>34912</v>
      </c>
      <c r="BM71" s="86">
        <v>33.409996999999997</v>
      </c>
      <c r="BN71" s="67"/>
      <c r="BO71" s="88">
        <v>34912</v>
      </c>
      <c r="BP71" s="89">
        <v>1.3274999999999999</v>
      </c>
      <c r="BQ71" s="89">
        <v>1.3294999999999999</v>
      </c>
      <c r="BR71" s="90">
        <f t="shared" si="5"/>
        <v>-1.5043249341857301E-3</v>
      </c>
    </row>
    <row r="72" spans="1:70">
      <c r="A72" s="62">
        <v>34943</v>
      </c>
      <c r="B72" s="63">
        <v>34943</v>
      </c>
      <c r="C72" s="39">
        <v>17.54</v>
      </c>
      <c r="D72" s="64">
        <v>17.899999999999999</v>
      </c>
      <c r="E72" s="40">
        <f t="shared" si="13"/>
        <v>-2.0111731843575398E-2</v>
      </c>
      <c r="F72" s="65"/>
      <c r="G72" s="63">
        <v>34943</v>
      </c>
      <c r="H72" s="39">
        <v>12.74</v>
      </c>
      <c r="I72" s="39">
        <v>11.15</v>
      </c>
      <c r="J72" s="40">
        <f t="shared" si="18"/>
        <v>0.14260089686098643</v>
      </c>
      <c r="K72" s="67"/>
      <c r="L72" s="68">
        <v>34943</v>
      </c>
      <c r="M72" s="69">
        <v>584.4</v>
      </c>
      <c r="N72" s="69">
        <v>561.9</v>
      </c>
      <c r="O72" s="70">
        <f t="shared" si="14"/>
        <v>4.0042712226374899E-2</v>
      </c>
      <c r="P72" s="67"/>
      <c r="Q72" s="38">
        <v>34943</v>
      </c>
      <c r="R72" s="39">
        <v>1.75</v>
      </c>
      <c r="S72" s="39">
        <v>1.7450000000000001</v>
      </c>
      <c r="T72" s="40">
        <f t="shared" ref="T72:T135" si="20">R72/S72-1</f>
        <v>2.8653295128939771E-3</v>
      </c>
      <c r="U72" s="67"/>
      <c r="V72" s="38">
        <v>34943</v>
      </c>
      <c r="W72" s="39">
        <v>0.49049999999999999</v>
      </c>
      <c r="X72" s="39">
        <v>0.51300000000000001</v>
      </c>
      <c r="Y72" s="40">
        <f t="shared" si="15"/>
        <v>-4.3859649122807043E-2</v>
      </c>
      <c r="Z72" s="67"/>
      <c r="AA72" s="71">
        <v>34943</v>
      </c>
      <c r="AB72" s="72">
        <v>386.5</v>
      </c>
      <c r="AC72" s="72">
        <v>386.4</v>
      </c>
      <c r="AD72" s="73">
        <f t="shared" si="16"/>
        <v>2.58799171842794E-4</v>
      </c>
      <c r="AE72" s="67"/>
      <c r="AF72" s="71">
        <v>34943</v>
      </c>
      <c r="AG72" s="72">
        <v>84.29</v>
      </c>
      <c r="AH72" s="72">
        <v>85.58</v>
      </c>
      <c r="AI72" s="73">
        <f t="shared" si="17"/>
        <v>-1.5073615330684631E-2</v>
      </c>
      <c r="AJ72" s="67"/>
      <c r="AK72" s="74">
        <v>34972</v>
      </c>
      <c r="AL72" s="41">
        <v>6.1699999999999998E-2</v>
      </c>
      <c r="AM72" s="41">
        <f t="shared" si="19"/>
        <v>-1.1000000000000107E-3</v>
      </c>
      <c r="AN72" s="67"/>
      <c r="AO72" s="75">
        <v>34943</v>
      </c>
      <c r="AP72" s="76">
        <v>591671.80000000005</v>
      </c>
      <c r="AQ72" s="80">
        <f t="shared" si="7"/>
        <v>-9.6336264264751392E-6</v>
      </c>
      <c r="AR72" s="67"/>
      <c r="AS72" s="94">
        <v>34943</v>
      </c>
      <c r="AT72" s="78">
        <v>0.95180000000000009</v>
      </c>
      <c r="AU72" s="67"/>
      <c r="AV72" s="79">
        <v>34943</v>
      </c>
      <c r="AW72" s="76">
        <v>291197.2</v>
      </c>
      <c r="AX72" s="80">
        <f t="shared" si="8"/>
        <v>3.827127723751822E-3</v>
      </c>
      <c r="AY72" s="67"/>
      <c r="AZ72" s="81">
        <v>34943</v>
      </c>
      <c r="BA72" s="82">
        <v>71.205169677734375</v>
      </c>
      <c r="BB72" s="82">
        <v>72.984016418457031</v>
      </c>
      <c r="BC72" s="67"/>
      <c r="BD72" s="83">
        <v>34957</v>
      </c>
      <c r="BE72" s="42">
        <v>6416</v>
      </c>
      <c r="BF72" s="41">
        <f t="shared" si="9"/>
        <v>-4.8084380331937515E-3</v>
      </c>
      <c r="BG72" s="67"/>
      <c r="BH72" s="84">
        <v>34943</v>
      </c>
      <c r="BI72" s="85">
        <v>72.714399999999998</v>
      </c>
      <c r="BJ72" s="87">
        <f t="shared" si="10"/>
        <v>4.0332880894420331E-3</v>
      </c>
      <c r="BK72" s="67"/>
      <c r="BL72" s="84">
        <v>34943</v>
      </c>
      <c r="BM72" s="86">
        <v>29.591570000000001</v>
      </c>
      <c r="BN72" s="67"/>
      <c r="BO72" s="88">
        <v>34943</v>
      </c>
      <c r="BP72" s="89">
        <v>1.3165</v>
      </c>
      <c r="BQ72" s="89">
        <v>1.306</v>
      </c>
      <c r="BR72" s="90">
        <f t="shared" si="5"/>
        <v>8.0398162327717237E-3</v>
      </c>
    </row>
    <row r="73" spans="1:70">
      <c r="A73" s="62">
        <v>34973</v>
      </c>
      <c r="B73" s="63">
        <v>34973</v>
      </c>
      <c r="C73" s="39">
        <v>17.64</v>
      </c>
      <c r="D73" s="64">
        <v>17.53</v>
      </c>
      <c r="E73" s="40">
        <f t="shared" si="13"/>
        <v>6.2749572162008604E-3</v>
      </c>
      <c r="F73" s="65"/>
      <c r="G73" s="63">
        <v>34973</v>
      </c>
      <c r="H73" s="39">
        <v>13.83</v>
      </c>
      <c r="I73" s="39">
        <v>12.4</v>
      </c>
      <c r="J73" s="40">
        <f t="shared" si="18"/>
        <v>0.11532258064516121</v>
      </c>
      <c r="K73" s="67"/>
      <c r="L73" s="68">
        <v>34973</v>
      </c>
      <c r="M73" s="69">
        <v>581.5</v>
      </c>
      <c r="N73" s="69">
        <v>584.4</v>
      </c>
      <c r="O73" s="70">
        <f t="shared" si="14"/>
        <v>-4.9623545516769285E-3</v>
      </c>
      <c r="P73" s="67"/>
      <c r="Q73" s="38">
        <v>34973</v>
      </c>
      <c r="R73" s="39">
        <v>1.8660000000000001</v>
      </c>
      <c r="S73" s="39">
        <v>1.84</v>
      </c>
      <c r="T73" s="40">
        <f t="shared" si="20"/>
        <v>1.4130434782608781E-2</v>
      </c>
      <c r="U73" s="67"/>
      <c r="V73" s="38">
        <v>34973</v>
      </c>
      <c r="W73" s="39">
        <v>0.50649999999999995</v>
      </c>
      <c r="X73" s="39">
        <v>0.50049999999999994</v>
      </c>
      <c r="Y73" s="40">
        <f t="shared" si="15"/>
        <v>1.1988011988012026E-2</v>
      </c>
      <c r="Z73" s="67"/>
      <c r="AA73" s="71">
        <v>34973</v>
      </c>
      <c r="AB73" s="72">
        <v>384.3</v>
      </c>
      <c r="AC73" s="72">
        <v>385.9</v>
      </c>
      <c r="AD73" s="73">
        <f t="shared" si="16"/>
        <v>-4.1461518528115304E-3</v>
      </c>
      <c r="AE73" s="67"/>
      <c r="AF73" s="71">
        <v>34973</v>
      </c>
      <c r="AG73" s="72">
        <v>83.66</v>
      </c>
      <c r="AH73" s="72">
        <v>84.31</v>
      </c>
      <c r="AI73" s="73">
        <f t="shared" si="17"/>
        <v>-7.7096429842249403E-3</v>
      </c>
      <c r="AJ73" s="67"/>
      <c r="AK73" s="74">
        <v>35003</v>
      </c>
      <c r="AL73" s="41">
        <v>6.0299999999999999E-2</v>
      </c>
      <c r="AM73" s="41">
        <f t="shared" si="19"/>
        <v>-1.3999999999999985E-3</v>
      </c>
      <c r="AN73" s="67"/>
      <c r="AO73" s="75">
        <v>34973</v>
      </c>
      <c r="AP73" s="76">
        <v>591670.5</v>
      </c>
      <c r="AQ73" s="80">
        <f t="shared" si="7"/>
        <v>-2.1971640359330635E-6</v>
      </c>
      <c r="AR73" s="67"/>
      <c r="AS73" s="94">
        <v>34973</v>
      </c>
      <c r="AT73" s="78">
        <v>0.90150000000000008</v>
      </c>
      <c r="AU73" s="67"/>
      <c r="AV73" s="79">
        <v>34973</v>
      </c>
      <c r="AW73" s="76">
        <v>282606.25</v>
      </c>
      <c r="AX73" s="80">
        <f t="shared" si="8"/>
        <v>-2.9502172410998506E-2</v>
      </c>
      <c r="AY73" s="67"/>
      <c r="AZ73" s="81">
        <v>34973</v>
      </c>
      <c r="BA73" s="82">
        <v>67.741500854492188</v>
      </c>
      <c r="BB73" s="82">
        <v>64.277809143066406</v>
      </c>
      <c r="BC73" s="67"/>
      <c r="BD73" s="83">
        <v>34987</v>
      </c>
      <c r="BE73" s="42">
        <v>6421</v>
      </c>
      <c r="BF73" s="41">
        <f t="shared" si="9"/>
        <v>7.7930174563589638E-4</v>
      </c>
      <c r="BG73" s="67"/>
      <c r="BH73" s="84">
        <v>34973</v>
      </c>
      <c r="BI73" s="85">
        <v>72.586600000000004</v>
      </c>
      <c r="BJ73" s="87">
        <f t="shared" si="10"/>
        <v>-1.757561088312487E-3</v>
      </c>
      <c r="BK73" s="67"/>
      <c r="BL73" s="84">
        <v>34973</v>
      </c>
      <c r="BM73" s="86">
        <v>13.684139999999999</v>
      </c>
      <c r="BN73" s="67"/>
      <c r="BO73" s="88">
        <v>34973</v>
      </c>
      <c r="BP73" s="89">
        <v>1.2335</v>
      </c>
      <c r="BQ73" s="89">
        <v>1.321</v>
      </c>
      <c r="BR73" s="90">
        <f t="shared" si="5"/>
        <v>-6.6237698713096038E-2</v>
      </c>
    </row>
    <row r="74" spans="1:70">
      <c r="A74" s="62">
        <v>35004</v>
      </c>
      <c r="B74" s="63">
        <v>35004</v>
      </c>
      <c r="C74" s="39">
        <v>18.18</v>
      </c>
      <c r="D74" s="64">
        <v>17.649999999999999</v>
      </c>
      <c r="E74" s="40">
        <f t="shared" si="13"/>
        <v>3.0028328611898081E-2</v>
      </c>
      <c r="F74" s="65"/>
      <c r="G74" s="63">
        <v>35004</v>
      </c>
      <c r="H74" s="39">
        <v>11.58</v>
      </c>
      <c r="I74" s="39">
        <v>13.98</v>
      </c>
      <c r="J74" s="40">
        <f t="shared" si="18"/>
        <v>-0.1716738197424893</v>
      </c>
      <c r="K74" s="67"/>
      <c r="L74" s="68">
        <v>35004</v>
      </c>
      <c r="M74" s="69">
        <v>605.4</v>
      </c>
      <c r="N74" s="69">
        <v>581.5</v>
      </c>
      <c r="O74" s="70">
        <f t="shared" si="14"/>
        <v>4.1100601891659538E-2</v>
      </c>
      <c r="P74" s="67"/>
      <c r="Q74" s="38">
        <v>35004</v>
      </c>
      <c r="R74" s="39">
        <v>2.0179999999999998</v>
      </c>
      <c r="S74" s="39">
        <v>1.865</v>
      </c>
      <c r="T74" s="40">
        <f t="shared" si="20"/>
        <v>8.203753351206422E-2</v>
      </c>
      <c r="U74" s="67"/>
      <c r="V74" s="38">
        <v>35004</v>
      </c>
      <c r="W74" s="39">
        <v>0.51929999999999998</v>
      </c>
      <c r="X74" s="39">
        <v>0.51149999999999995</v>
      </c>
      <c r="Y74" s="40">
        <f t="shared" si="15"/>
        <v>1.5249266862170208E-2</v>
      </c>
      <c r="Z74" s="67"/>
      <c r="AA74" s="71">
        <v>35004</v>
      </c>
      <c r="AB74" s="72">
        <v>388.6</v>
      </c>
      <c r="AC74" s="72">
        <v>384.1</v>
      </c>
      <c r="AD74" s="73">
        <f t="shared" si="16"/>
        <v>1.1715699036709104E-2</v>
      </c>
      <c r="AE74" s="67"/>
      <c r="AF74" s="71">
        <v>35004</v>
      </c>
      <c r="AG74" s="72">
        <v>85.26</v>
      </c>
      <c r="AH74" s="72">
        <v>83.67</v>
      </c>
      <c r="AI74" s="73">
        <f t="shared" si="17"/>
        <v>1.9003226963069331E-2</v>
      </c>
      <c r="AJ74" s="67"/>
      <c r="AK74" s="74">
        <v>35033</v>
      </c>
      <c r="AL74" s="41">
        <v>5.7599999999999998E-2</v>
      </c>
      <c r="AM74" s="41">
        <f t="shared" si="19"/>
        <v>-2.700000000000001E-3</v>
      </c>
      <c r="AN74" s="67"/>
      <c r="AO74" s="75">
        <v>35004</v>
      </c>
      <c r="AP74" s="76">
        <v>591664.25</v>
      </c>
      <c r="AQ74" s="80">
        <f t="shared" si="7"/>
        <v>-1.0563311843347911E-5</v>
      </c>
      <c r="AR74" s="67"/>
      <c r="AS74" s="94">
        <v>35004</v>
      </c>
      <c r="AT74" s="78">
        <v>0.89875000000000005</v>
      </c>
      <c r="AU74" s="67"/>
      <c r="AV74" s="79">
        <v>35004</v>
      </c>
      <c r="AW74" s="76">
        <v>293226.75</v>
      </c>
      <c r="AX74" s="80">
        <f t="shared" si="8"/>
        <v>3.7580555985580633E-2</v>
      </c>
      <c r="AY74" s="67"/>
      <c r="AZ74" s="81">
        <v>35004</v>
      </c>
      <c r="BA74" s="82">
        <v>76.33349609375</v>
      </c>
      <c r="BB74" s="82">
        <v>78.8126220703125</v>
      </c>
      <c r="BC74" s="67"/>
      <c r="BD74" s="83">
        <v>35018</v>
      </c>
      <c r="BE74" s="42">
        <v>6585</v>
      </c>
      <c r="BF74" s="41">
        <f t="shared" si="9"/>
        <v>2.554119296059798E-2</v>
      </c>
      <c r="BG74" s="67"/>
      <c r="BH74" s="84">
        <v>35004</v>
      </c>
      <c r="BI74" s="85">
        <v>72.777900000000002</v>
      </c>
      <c r="BJ74" s="87">
        <f t="shared" si="10"/>
        <v>2.6354726629984615E-3</v>
      </c>
      <c r="BK74" s="67"/>
      <c r="BL74" s="84">
        <v>35004</v>
      </c>
      <c r="BM74" s="86">
        <v>10.041359999999999</v>
      </c>
      <c r="BN74" s="67"/>
      <c r="BO74" s="88">
        <v>35004</v>
      </c>
      <c r="BP74" s="89">
        <v>1.2625</v>
      </c>
      <c r="BQ74" s="89">
        <v>1.244</v>
      </c>
      <c r="BR74" s="90">
        <f t="shared" si="5"/>
        <v>1.4871382636655994E-2</v>
      </c>
    </row>
    <row r="75" spans="1:70">
      <c r="A75" s="62">
        <v>35034</v>
      </c>
      <c r="B75" s="63">
        <v>35034</v>
      </c>
      <c r="C75" s="39">
        <v>19.55</v>
      </c>
      <c r="D75" s="64">
        <v>18.18</v>
      </c>
      <c r="E75" s="40">
        <f t="shared" si="13"/>
        <v>7.53575357535754E-2</v>
      </c>
      <c r="F75" s="65"/>
      <c r="G75" s="63">
        <v>35034</v>
      </c>
      <c r="H75" s="39">
        <v>12.52</v>
      </c>
      <c r="I75" s="39">
        <v>11.12</v>
      </c>
      <c r="J75" s="40">
        <f t="shared" si="18"/>
        <v>0.12589928057553967</v>
      </c>
      <c r="K75" s="67"/>
      <c r="L75" s="68">
        <v>35034</v>
      </c>
      <c r="M75" s="69">
        <v>615.9</v>
      </c>
      <c r="N75" s="69">
        <v>605.4</v>
      </c>
      <c r="O75" s="70">
        <f t="shared" si="14"/>
        <v>1.7343904856293335E-2</v>
      </c>
      <c r="P75" s="67"/>
      <c r="Q75" s="38">
        <v>35034</v>
      </c>
      <c r="R75" s="39">
        <v>2.6190000000000002</v>
      </c>
      <c r="S75" s="39">
        <v>2.02</v>
      </c>
      <c r="T75" s="40">
        <f t="shared" si="20"/>
        <v>0.29653465346534658</v>
      </c>
      <c r="U75" s="67"/>
      <c r="V75" s="38">
        <v>35034</v>
      </c>
      <c r="W75" s="39">
        <v>0.58620000000000005</v>
      </c>
      <c r="X75" s="39">
        <v>0.51749999999999996</v>
      </c>
      <c r="Y75" s="40">
        <f t="shared" si="15"/>
        <v>0.13275362318840589</v>
      </c>
      <c r="Z75" s="67"/>
      <c r="AA75" s="71">
        <v>35034</v>
      </c>
      <c r="AB75" s="72">
        <v>388.1</v>
      </c>
      <c r="AC75" s="72">
        <v>387.6</v>
      </c>
      <c r="AD75" s="73">
        <f t="shared" si="16"/>
        <v>1.2899896800826482E-3</v>
      </c>
      <c r="AE75" s="67"/>
      <c r="AF75" s="71">
        <v>35034</v>
      </c>
      <c r="AG75" s="72">
        <v>84.76</v>
      </c>
      <c r="AH75" s="72">
        <v>85.17</v>
      </c>
      <c r="AI75" s="73">
        <f t="shared" si="17"/>
        <v>-4.813901608547555E-3</v>
      </c>
      <c r="AJ75" s="67"/>
      <c r="AK75" s="74">
        <v>35064</v>
      </c>
      <c r="AL75" s="41">
        <v>5.5800000000000002E-2</v>
      </c>
      <c r="AM75" s="41">
        <f t="shared" si="19"/>
        <v>-1.799999999999996E-3</v>
      </c>
      <c r="AN75" s="67"/>
      <c r="AO75" s="75">
        <v>35034</v>
      </c>
      <c r="AP75" s="76">
        <v>591654.6</v>
      </c>
      <c r="AQ75" s="80">
        <f t="shared" si="7"/>
        <v>-1.6309925772950429E-5</v>
      </c>
      <c r="AR75" s="67"/>
      <c r="AS75" s="94">
        <v>35034</v>
      </c>
      <c r="AT75" s="78">
        <v>0.93319999999999992</v>
      </c>
      <c r="AU75" s="67"/>
      <c r="AV75" s="79">
        <v>35034</v>
      </c>
      <c r="AW75" s="76">
        <v>294793.2</v>
      </c>
      <c r="AX75" s="80">
        <f t="shared" si="8"/>
        <v>5.3421115229084215E-3</v>
      </c>
      <c r="AY75" s="67"/>
      <c r="AZ75" s="81">
        <v>35034</v>
      </c>
      <c r="BA75" s="82">
        <v>65.67205810546875</v>
      </c>
      <c r="BB75" s="82">
        <v>68.982017517089844</v>
      </c>
      <c r="BC75" s="67"/>
      <c r="BD75" s="83">
        <v>35048</v>
      </c>
      <c r="BE75" s="42">
        <v>6530</v>
      </c>
      <c r="BF75" s="41">
        <f t="shared" si="9"/>
        <v>-8.3523158694001065E-3</v>
      </c>
      <c r="BG75" s="67"/>
      <c r="BH75" s="84">
        <v>35034</v>
      </c>
      <c r="BI75" s="85">
        <v>73.030500000000004</v>
      </c>
      <c r="BJ75" s="87">
        <f t="shared" si="10"/>
        <v>3.4708338657751803E-3</v>
      </c>
      <c r="BK75" s="67"/>
      <c r="BL75" s="84">
        <v>35034</v>
      </c>
      <c r="BM75" s="86">
        <v>8.1250254000000002</v>
      </c>
      <c r="BN75" s="67"/>
      <c r="BO75" s="88">
        <v>35034</v>
      </c>
      <c r="BP75" s="89">
        <v>1.2055</v>
      </c>
      <c r="BQ75" s="89">
        <v>1.2649999999999999</v>
      </c>
      <c r="BR75" s="90">
        <f t="shared" si="5"/>
        <v>-4.7035573122529595E-2</v>
      </c>
    </row>
    <row r="76" spans="1:70">
      <c r="A76" s="62">
        <v>35065</v>
      </c>
      <c r="B76" s="63">
        <v>35065</v>
      </c>
      <c r="C76" s="39">
        <v>17.739999999999998</v>
      </c>
      <c r="D76" s="64">
        <v>19.52</v>
      </c>
      <c r="E76" s="40">
        <f t="shared" si="13"/>
        <v>-9.1188524590164022E-2</v>
      </c>
      <c r="F76" s="65"/>
      <c r="G76" s="63">
        <v>35065</v>
      </c>
      <c r="H76" s="39">
        <v>12.53</v>
      </c>
      <c r="I76" s="39">
        <v>13.39</v>
      </c>
      <c r="J76" s="40">
        <f t="shared" si="18"/>
        <v>-6.4227035100821617E-2</v>
      </c>
      <c r="K76" s="67"/>
      <c r="L76" s="68">
        <v>35065</v>
      </c>
      <c r="M76" s="69">
        <v>636</v>
      </c>
      <c r="N76" s="69">
        <v>615.9</v>
      </c>
      <c r="O76" s="70">
        <f t="shared" si="14"/>
        <v>3.2635168046760921E-2</v>
      </c>
      <c r="P76" s="67"/>
      <c r="Q76" s="38">
        <v>35065</v>
      </c>
      <c r="R76" s="39">
        <v>2.6579999999999999</v>
      </c>
      <c r="S76" s="39">
        <v>2.75</v>
      </c>
      <c r="T76" s="40">
        <f t="shared" si="20"/>
        <v>-3.3454545454545515E-2</v>
      </c>
      <c r="U76" s="67"/>
      <c r="V76" s="38">
        <v>35065</v>
      </c>
      <c r="W76" s="39">
        <v>0.52010000000000001</v>
      </c>
      <c r="X76" s="39">
        <v>0.5595</v>
      </c>
      <c r="Y76" s="40">
        <f t="shared" si="15"/>
        <v>-7.0420017873100926E-2</v>
      </c>
      <c r="Z76" s="67"/>
      <c r="AA76" s="71">
        <v>35065</v>
      </c>
      <c r="AB76" s="72">
        <v>408.5</v>
      </c>
      <c r="AC76" s="72">
        <v>392</v>
      </c>
      <c r="AD76" s="73">
        <f t="shared" si="16"/>
        <v>4.2091836734693855E-2</v>
      </c>
      <c r="AE76" s="67"/>
      <c r="AF76" s="71">
        <v>35065</v>
      </c>
      <c r="AG76" s="72">
        <v>87.38</v>
      </c>
      <c r="AH76" s="72">
        <v>84.82</v>
      </c>
      <c r="AI76" s="73">
        <f t="shared" si="17"/>
        <v>3.0181560952605491E-2</v>
      </c>
      <c r="AJ76" s="67"/>
      <c r="AK76" s="74">
        <v>35095</v>
      </c>
      <c r="AL76" s="41">
        <v>5.5999999999999994E-2</v>
      </c>
      <c r="AM76" s="41">
        <f t="shared" si="19"/>
        <v>1.9999999999999185E-4</v>
      </c>
      <c r="AN76" s="67"/>
      <c r="AO76" s="75">
        <v>35065</v>
      </c>
      <c r="AP76" s="76">
        <v>591642</v>
      </c>
      <c r="AQ76" s="80">
        <f t="shared" si="7"/>
        <v>-2.1296208970511543E-5</v>
      </c>
      <c r="AR76" s="67"/>
      <c r="AS76" s="94">
        <v>35065</v>
      </c>
      <c r="AT76" s="78">
        <v>0.91674999999999995</v>
      </c>
      <c r="AU76" s="67"/>
      <c r="AV76" s="79">
        <v>35065</v>
      </c>
      <c r="AW76" s="76">
        <v>289521.75</v>
      </c>
      <c r="AX76" s="80">
        <f t="shared" si="8"/>
        <v>-1.7881857519101541E-2</v>
      </c>
      <c r="AY76" s="67"/>
      <c r="AZ76" s="81">
        <v>35065</v>
      </c>
      <c r="BA76" s="82">
        <v>75.634925842285156</v>
      </c>
      <c r="BB76" s="82">
        <v>73.660079956054688</v>
      </c>
      <c r="BC76" s="67"/>
      <c r="BD76" s="83">
        <v>35079</v>
      </c>
      <c r="BE76" s="42">
        <v>6495</v>
      </c>
      <c r="BF76" s="41">
        <f t="shared" si="9"/>
        <v>-5.3598774885145195E-3</v>
      </c>
      <c r="BG76" s="67"/>
      <c r="BH76" s="84">
        <v>35065</v>
      </c>
      <c r="BI76" s="85">
        <v>72.612499999999997</v>
      </c>
      <c r="BJ76" s="87">
        <f t="shared" si="10"/>
        <v>-5.7236360150896282E-3</v>
      </c>
      <c r="BK76" s="67"/>
      <c r="BL76" s="84">
        <v>35065</v>
      </c>
      <c r="BM76" s="86">
        <v>3.1043042000000001</v>
      </c>
      <c r="BN76" s="67"/>
      <c r="BO76" s="88">
        <v>35065</v>
      </c>
      <c r="BP76" s="89">
        <v>1.1339999999999999</v>
      </c>
      <c r="BQ76" s="89">
        <v>1.198</v>
      </c>
      <c r="BR76" s="90">
        <f t="shared" si="5"/>
        <v>-5.3422370617696169E-2</v>
      </c>
    </row>
    <row r="77" spans="1:70">
      <c r="A77" s="62">
        <v>35096</v>
      </c>
      <c r="B77" s="63">
        <v>35096</v>
      </c>
      <c r="C77" s="39">
        <v>19.54</v>
      </c>
      <c r="D77" s="64">
        <v>17.72</v>
      </c>
      <c r="E77" s="40">
        <f t="shared" si="13"/>
        <v>0.10270880361173806</v>
      </c>
      <c r="F77" s="65"/>
      <c r="G77" s="63">
        <v>35096</v>
      </c>
      <c r="H77" s="39">
        <v>17.04</v>
      </c>
      <c r="I77" s="39">
        <v>11.44</v>
      </c>
      <c r="J77" s="40">
        <f t="shared" si="18"/>
        <v>0.48951048951048959</v>
      </c>
      <c r="K77" s="67"/>
      <c r="L77" s="68">
        <v>35096</v>
      </c>
      <c r="M77" s="69">
        <v>640.4</v>
      </c>
      <c r="N77" s="69">
        <v>636</v>
      </c>
      <c r="O77" s="70">
        <f t="shared" si="14"/>
        <v>6.9182389937105793E-3</v>
      </c>
      <c r="P77" s="67"/>
      <c r="Q77" s="38">
        <v>35096</v>
      </c>
      <c r="R77" s="39">
        <v>2.2360000000000002</v>
      </c>
      <c r="S77" s="39">
        <v>2.66</v>
      </c>
      <c r="T77" s="40">
        <f t="shared" si="20"/>
        <v>-0.15939849624060143</v>
      </c>
      <c r="U77" s="67"/>
      <c r="V77" s="38">
        <v>35096</v>
      </c>
      <c r="W77" s="39">
        <v>0.54390000000000005</v>
      </c>
      <c r="X77" s="39">
        <v>0.4945</v>
      </c>
      <c r="Y77" s="40">
        <f t="shared" si="15"/>
        <v>9.9898887765419664E-2</v>
      </c>
      <c r="Z77" s="67"/>
      <c r="AA77" s="71">
        <v>35096</v>
      </c>
      <c r="AB77" s="72">
        <v>401.2</v>
      </c>
      <c r="AC77" s="72">
        <v>409.2</v>
      </c>
      <c r="AD77" s="73">
        <f t="shared" si="16"/>
        <v>-1.9550342130987275E-2</v>
      </c>
      <c r="AE77" s="67"/>
      <c r="AF77" s="71">
        <v>35096</v>
      </c>
      <c r="AG77" s="72">
        <v>86.29</v>
      </c>
      <c r="AH77" s="72">
        <v>87.25</v>
      </c>
      <c r="AI77" s="73">
        <f t="shared" si="17"/>
        <v>-1.1002865329512779E-2</v>
      </c>
      <c r="AJ77" s="67"/>
      <c r="AK77" s="74">
        <v>35124</v>
      </c>
      <c r="AL77" s="41">
        <v>6.13E-2</v>
      </c>
      <c r="AM77" s="41">
        <f t="shared" si="19"/>
        <v>5.3000000000000061E-3</v>
      </c>
      <c r="AN77" s="67"/>
      <c r="AO77" s="75">
        <v>35096</v>
      </c>
      <c r="AP77" s="76">
        <v>591635</v>
      </c>
      <c r="AQ77" s="80">
        <f t="shared" si="7"/>
        <v>-1.1831479171497961E-5</v>
      </c>
      <c r="AR77" s="67"/>
      <c r="AS77" s="94">
        <v>35096</v>
      </c>
      <c r="AT77" s="78">
        <v>0.90275000000000005</v>
      </c>
      <c r="AU77" s="67"/>
      <c r="AV77" s="79">
        <v>35096</v>
      </c>
      <c r="AW77" s="76">
        <v>285554.25</v>
      </c>
      <c r="AX77" s="80">
        <f t="shared" si="8"/>
        <v>-1.3703633664828296E-2</v>
      </c>
      <c r="AY77" s="67"/>
      <c r="AZ77" s="81">
        <v>35096</v>
      </c>
      <c r="BA77" s="82">
        <v>80.420921325683594</v>
      </c>
      <c r="BB77" s="82">
        <v>85.975975036621094</v>
      </c>
      <c r="BC77" s="67"/>
      <c r="BD77" s="83">
        <v>35110</v>
      </c>
      <c r="BE77" s="42">
        <v>6577</v>
      </c>
      <c r="BF77" s="41">
        <f t="shared" si="9"/>
        <v>1.262509622786756E-2</v>
      </c>
      <c r="BG77" s="67"/>
      <c r="BH77" s="84">
        <v>35096</v>
      </c>
      <c r="BI77" s="85">
        <v>73.675200000000004</v>
      </c>
      <c r="BJ77" s="87">
        <f t="shared" si="10"/>
        <v>1.4635221208469718E-2</v>
      </c>
      <c r="BK77" s="67"/>
      <c r="BL77" s="84">
        <v>35096</v>
      </c>
      <c r="BM77" s="86">
        <v>-4.5019558000000002</v>
      </c>
      <c r="BN77" s="67"/>
      <c r="BO77" s="88">
        <v>35096</v>
      </c>
      <c r="BP77" s="89">
        <v>1.153</v>
      </c>
      <c r="BQ77" s="89">
        <v>1.1639999999999999</v>
      </c>
      <c r="BR77" s="90">
        <f t="shared" si="5"/>
        <v>-9.4501718213058084E-3</v>
      </c>
    </row>
    <row r="78" spans="1:70">
      <c r="A78" s="62">
        <v>35125</v>
      </c>
      <c r="B78" s="63">
        <v>35125</v>
      </c>
      <c r="C78" s="39">
        <v>21.47</v>
      </c>
      <c r="D78" s="64">
        <v>19.55</v>
      </c>
      <c r="E78" s="40">
        <f t="shared" si="13"/>
        <v>9.8209718670076551E-2</v>
      </c>
      <c r="F78" s="65"/>
      <c r="G78" s="63">
        <v>35125</v>
      </c>
      <c r="H78" s="39">
        <v>18.88</v>
      </c>
      <c r="I78" s="39">
        <v>17.13</v>
      </c>
      <c r="J78" s="40">
        <f t="shared" si="18"/>
        <v>0.10215995329830707</v>
      </c>
      <c r="K78" s="67"/>
      <c r="L78" s="68">
        <v>35125</v>
      </c>
      <c r="M78" s="69">
        <v>645.5</v>
      </c>
      <c r="N78" s="69">
        <v>640.4</v>
      </c>
      <c r="O78" s="70">
        <f t="shared" si="14"/>
        <v>7.9637726420986876E-3</v>
      </c>
      <c r="P78" s="67"/>
      <c r="Q78" s="38">
        <v>35125</v>
      </c>
      <c r="R78" s="39">
        <v>2.3359999999999999</v>
      </c>
      <c r="S78" s="39">
        <v>2.2450000000000001</v>
      </c>
      <c r="T78" s="40">
        <f t="shared" si="20"/>
        <v>4.0534521158129166E-2</v>
      </c>
      <c r="U78" s="67"/>
      <c r="V78" s="38">
        <v>35125</v>
      </c>
      <c r="W78" s="39">
        <v>0.5675</v>
      </c>
      <c r="X78" s="39">
        <v>0.50800000000000001</v>
      </c>
      <c r="Y78" s="40">
        <f t="shared" si="15"/>
        <v>0.11712598425196852</v>
      </c>
      <c r="Z78" s="67"/>
      <c r="AA78" s="71">
        <v>35125</v>
      </c>
      <c r="AB78" s="72">
        <v>398.4</v>
      </c>
      <c r="AC78" s="72">
        <v>401.1</v>
      </c>
      <c r="AD78" s="73">
        <f t="shared" si="16"/>
        <v>-6.7314884068812031E-3</v>
      </c>
      <c r="AE78" s="67"/>
      <c r="AF78" s="71">
        <v>35125</v>
      </c>
      <c r="AG78" s="72">
        <v>86.52</v>
      </c>
      <c r="AH78" s="72">
        <v>86.25</v>
      </c>
      <c r="AI78" s="73">
        <f t="shared" si="17"/>
        <v>3.1304347826086598E-3</v>
      </c>
      <c r="AJ78" s="67"/>
      <c r="AK78" s="74">
        <v>35155</v>
      </c>
      <c r="AL78" s="41">
        <v>6.3399999999999998E-2</v>
      </c>
      <c r="AM78" s="41">
        <f t="shared" si="19"/>
        <v>2.0999999999999977E-3</v>
      </c>
      <c r="AN78" s="67"/>
      <c r="AO78" s="75">
        <v>35125</v>
      </c>
      <c r="AP78" s="76">
        <v>591123.19999999995</v>
      </c>
      <c r="AQ78" s="80">
        <f t="shared" si="7"/>
        <v>-8.6506038351352732E-4</v>
      </c>
      <c r="AR78" s="67"/>
      <c r="AS78" s="94">
        <v>35125</v>
      </c>
      <c r="AT78" s="78">
        <v>0.91159999999999997</v>
      </c>
      <c r="AU78" s="67"/>
      <c r="AV78" s="79">
        <v>35125</v>
      </c>
      <c r="AW78" s="76">
        <v>282967.2</v>
      </c>
      <c r="AX78" s="80">
        <f t="shared" si="8"/>
        <v>-9.0597495922403182E-3</v>
      </c>
      <c r="AY78" s="67"/>
      <c r="AZ78" s="81">
        <v>35125</v>
      </c>
      <c r="BA78" s="82">
        <v>82.147613525390625</v>
      </c>
      <c r="BB78" s="82">
        <v>77.891006469726563</v>
      </c>
      <c r="BC78" s="67"/>
      <c r="BD78" s="83">
        <v>35139</v>
      </c>
      <c r="BE78" s="42">
        <v>6571</v>
      </c>
      <c r="BF78" s="41">
        <f t="shared" si="9"/>
        <v>-9.1227003192939637E-4</v>
      </c>
      <c r="BG78" s="67"/>
      <c r="BH78" s="84">
        <v>35125</v>
      </c>
      <c r="BI78" s="85">
        <v>73.584999999999994</v>
      </c>
      <c r="BJ78" s="87">
        <f t="shared" si="10"/>
        <v>-1.2242925706344998E-3</v>
      </c>
      <c r="BK78" s="67"/>
      <c r="BL78" s="84">
        <v>35125</v>
      </c>
      <c r="BM78" s="86">
        <v>-8.2753478999999999</v>
      </c>
      <c r="BN78" s="67"/>
      <c r="BO78" s="88">
        <v>35125</v>
      </c>
      <c r="BP78" s="89">
        <v>1.1505000000000001</v>
      </c>
      <c r="BQ78" s="89">
        <v>1.1539999999999999</v>
      </c>
      <c r="BR78" s="90">
        <f t="shared" si="5"/>
        <v>-3.032928942807489E-3</v>
      </c>
    </row>
    <row r="79" spans="1:70">
      <c r="A79" s="62">
        <v>35156</v>
      </c>
      <c r="B79" s="63">
        <v>35156</v>
      </c>
      <c r="C79" s="39">
        <v>21.2</v>
      </c>
      <c r="D79" s="64">
        <v>21.38</v>
      </c>
      <c r="E79" s="40">
        <f t="shared" si="13"/>
        <v>-8.4190832553788786E-3</v>
      </c>
      <c r="F79" s="65"/>
      <c r="G79" s="63">
        <v>35156</v>
      </c>
      <c r="H79" s="39">
        <v>15.83</v>
      </c>
      <c r="I79" s="39">
        <v>18.420000000000002</v>
      </c>
      <c r="J79" s="40">
        <f t="shared" si="18"/>
        <v>-0.14060803474484262</v>
      </c>
      <c r="K79" s="67"/>
      <c r="L79" s="68">
        <v>35156</v>
      </c>
      <c r="M79" s="69">
        <v>654.20000000000005</v>
      </c>
      <c r="N79" s="69">
        <v>645.5</v>
      </c>
      <c r="O79" s="70">
        <f t="shared" si="14"/>
        <v>1.3477924089852822E-2</v>
      </c>
      <c r="P79" s="67"/>
      <c r="Q79" s="38">
        <v>35156</v>
      </c>
      <c r="R79" s="39">
        <v>2.2240000000000002</v>
      </c>
      <c r="S79" s="39">
        <v>2.3050000000000002</v>
      </c>
      <c r="T79" s="40">
        <f t="shared" si="20"/>
        <v>-3.5140997830802601E-2</v>
      </c>
      <c r="U79" s="67"/>
      <c r="V79" s="38">
        <v>35156</v>
      </c>
      <c r="W79" s="39">
        <v>0.55089999999999995</v>
      </c>
      <c r="X79" s="39">
        <v>0.52900000000000003</v>
      </c>
      <c r="Y79" s="40">
        <f t="shared" si="15"/>
        <v>4.1398865784498806E-2</v>
      </c>
      <c r="Z79" s="67"/>
      <c r="AA79" s="71">
        <v>35156</v>
      </c>
      <c r="AB79" s="72">
        <v>393.5</v>
      </c>
      <c r="AC79" s="72">
        <v>398.1</v>
      </c>
      <c r="AD79" s="73">
        <f t="shared" si="16"/>
        <v>-1.1554885707108831E-2</v>
      </c>
      <c r="AE79" s="67"/>
      <c r="AF79" s="71">
        <v>35156</v>
      </c>
      <c r="AG79" s="72">
        <v>88.02</v>
      </c>
      <c r="AH79" s="72">
        <v>86.58</v>
      </c>
      <c r="AI79" s="73">
        <f t="shared" si="17"/>
        <v>1.6632016632016633E-2</v>
      </c>
      <c r="AJ79" s="67"/>
      <c r="AK79" s="74">
        <v>35185</v>
      </c>
      <c r="AL79" s="41">
        <v>6.6600000000000006E-2</v>
      </c>
      <c r="AM79" s="41">
        <f t="shared" si="19"/>
        <v>3.2000000000000084E-3</v>
      </c>
      <c r="AN79" s="67"/>
      <c r="AO79" s="75">
        <v>35156</v>
      </c>
      <c r="AP79" s="76">
        <v>587565</v>
      </c>
      <c r="AQ79" s="80">
        <f t="shared" si="7"/>
        <v>-6.0193881749184275E-3</v>
      </c>
      <c r="AR79" s="67"/>
      <c r="AS79" s="94">
        <v>35156</v>
      </c>
      <c r="AT79" s="78">
        <v>0.9335</v>
      </c>
      <c r="AU79" s="67"/>
      <c r="AV79" s="79">
        <v>35156</v>
      </c>
      <c r="AW79" s="76">
        <v>281366.25</v>
      </c>
      <c r="AX79" s="80">
        <f t="shared" si="8"/>
        <v>-5.6577228738878826E-3</v>
      </c>
      <c r="AY79" s="67"/>
      <c r="AZ79" s="81">
        <v>35156</v>
      </c>
      <c r="BA79" s="82">
        <v>84.828620910644531</v>
      </c>
      <c r="BB79" s="82">
        <v>71.231971740722656</v>
      </c>
      <c r="BC79" s="67"/>
      <c r="BD79" s="83">
        <v>35170</v>
      </c>
      <c r="BE79" s="42">
        <v>6444</v>
      </c>
      <c r="BF79" s="41">
        <f t="shared" si="9"/>
        <v>-1.9327347435702302E-2</v>
      </c>
      <c r="BG79" s="67"/>
      <c r="BH79" s="84">
        <v>35156</v>
      </c>
      <c r="BI79" s="85">
        <v>74.3172</v>
      </c>
      <c r="BJ79" s="87">
        <f t="shared" si="10"/>
        <v>9.9503974994905597E-3</v>
      </c>
      <c r="BK79" s="67"/>
      <c r="BL79" s="84">
        <v>35156</v>
      </c>
      <c r="BM79" s="86">
        <v>-3.4902845999999998</v>
      </c>
      <c r="BN79" s="67"/>
      <c r="BO79" s="88">
        <v>35156</v>
      </c>
      <c r="BP79" s="89">
        <v>1.1915</v>
      </c>
      <c r="BQ79" s="89">
        <v>1.135</v>
      </c>
      <c r="BR79" s="90">
        <f t="shared" si="5"/>
        <v>4.9779735682819348E-2</v>
      </c>
    </row>
    <row r="80" spans="1:70">
      <c r="A80" s="62">
        <v>35186</v>
      </c>
      <c r="B80" s="63">
        <v>35186</v>
      </c>
      <c r="C80" s="39">
        <v>19.760000000000002</v>
      </c>
      <c r="D80" s="64">
        <v>20.9</v>
      </c>
      <c r="E80" s="40">
        <f t="shared" si="13"/>
        <v>-5.4545454545454453E-2</v>
      </c>
      <c r="F80" s="65"/>
      <c r="G80" s="63">
        <v>35186</v>
      </c>
      <c r="H80" s="39">
        <v>16.07</v>
      </c>
      <c r="I80" s="39">
        <v>15.89</v>
      </c>
      <c r="J80" s="40">
        <f t="shared" si="18"/>
        <v>1.132787916928879E-2</v>
      </c>
      <c r="K80" s="67"/>
      <c r="L80" s="68">
        <v>35186</v>
      </c>
      <c r="M80" s="69">
        <v>669.1</v>
      </c>
      <c r="N80" s="69">
        <v>654.20000000000005</v>
      </c>
      <c r="O80" s="70">
        <f t="shared" si="14"/>
        <v>2.2775909507795733E-2</v>
      </c>
      <c r="P80" s="67"/>
      <c r="Q80" s="38">
        <v>35186</v>
      </c>
      <c r="R80" s="39">
        <v>2.4060000000000001</v>
      </c>
      <c r="S80" s="39">
        <v>2.2200000000000002</v>
      </c>
      <c r="T80" s="40">
        <f t="shared" si="20"/>
        <v>8.3783783783783816E-2</v>
      </c>
      <c r="U80" s="67"/>
      <c r="V80" s="38">
        <v>35186</v>
      </c>
      <c r="W80" s="39">
        <v>0.51070000000000004</v>
      </c>
      <c r="X80" s="39">
        <v>0.52800000000000002</v>
      </c>
      <c r="Y80" s="40">
        <f t="shared" si="15"/>
        <v>-3.2765151515151469E-2</v>
      </c>
      <c r="Z80" s="67"/>
      <c r="AA80" s="71">
        <v>35186</v>
      </c>
      <c r="AB80" s="72">
        <v>394.4</v>
      </c>
      <c r="AC80" s="72">
        <v>393.5</v>
      </c>
      <c r="AD80" s="73">
        <f t="shared" si="16"/>
        <v>2.2871664548920201E-3</v>
      </c>
      <c r="AE80" s="67"/>
      <c r="AF80" s="71">
        <v>35186</v>
      </c>
      <c r="AG80" s="72">
        <v>87.78</v>
      </c>
      <c r="AH80" s="72">
        <v>88.05</v>
      </c>
      <c r="AI80" s="73">
        <f t="shared" si="17"/>
        <v>-3.0664395229982322E-3</v>
      </c>
      <c r="AJ80" s="67"/>
      <c r="AK80" s="74">
        <v>35216</v>
      </c>
      <c r="AL80" s="41">
        <v>6.8499999999999991E-2</v>
      </c>
      <c r="AM80" s="41">
        <f t="shared" si="19"/>
        <v>1.899999999999985E-3</v>
      </c>
      <c r="AN80" s="67"/>
      <c r="AO80" s="92">
        <v>35186</v>
      </c>
      <c r="AP80" s="76">
        <v>586354.19999999995</v>
      </c>
      <c r="AQ80" s="80">
        <f t="shared" si="7"/>
        <v>-2.0607081769676849E-3</v>
      </c>
      <c r="AR80" s="67"/>
      <c r="AS80" s="97">
        <v>35186</v>
      </c>
      <c r="AT80" s="78">
        <v>0.94180000000000008</v>
      </c>
      <c r="AU80" s="67"/>
      <c r="AV80" s="93">
        <v>35186</v>
      </c>
      <c r="AW80" s="76">
        <v>285409.8</v>
      </c>
      <c r="AX80" s="80">
        <f t="shared" si="8"/>
        <v>1.4371126601004924E-2</v>
      </c>
      <c r="AY80" s="67"/>
      <c r="AZ80" s="81">
        <v>35186</v>
      </c>
      <c r="BA80" s="82">
        <v>65.53082275390625</v>
      </c>
      <c r="BB80" s="82">
        <v>59.1929931640625</v>
      </c>
      <c r="BC80" s="67"/>
      <c r="BD80" s="83">
        <v>35200</v>
      </c>
      <c r="BE80" s="42">
        <v>6394</v>
      </c>
      <c r="BF80" s="41">
        <f t="shared" si="9"/>
        <v>-7.7591558038485609E-3</v>
      </c>
      <c r="BG80" s="67"/>
      <c r="BH80" s="84">
        <v>35186</v>
      </c>
      <c r="BI80" s="85">
        <v>74.872600000000006</v>
      </c>
      <c r="BJ80" s="87">
        <f t="shared" si="10"/>
        <v>7.473370902025378E-3</v>
      </c>
      <c r="BK80" s="67"/>
      <c r="BL80" s="84">
        <v>35186</v>
      </c>
      <c r="BM80" s="86">
        <v>-6.3025530999999999</v>
      </c>
      <c r="BN80" s="67"/>
      <c r="BO80" s="88">
        <v>35186</v>
      </c>
      <c r="BP80" s="89">
        <v>1.131</v>
      </c>
      <c r="BQ80" s="89">
        <v>1.1875</v>
      </c>
      <c r="BR80" s="90">
        <f t="shared" si="5"/>
        <v>-4.7578947368421054E-2</v>
      </c>
    </row>
    <row r="81" spans="1:70">
      <c r="A81" s="62">
        <v>35217</v>
      </c>
      <c r="B81" s="63">
        <v>35217</v>
      </c>
      <c r="C81" s="39">
        <v>20.92</v>
      </c>
      <c r="D81" s="64">
        <v>19.760000000000002</v>
      </c>
      <c r="E81" s="40">
        <f t="shared" si="13"/>
        <v>5.870445344129549E-2</v>
      </c>
      <c r="F81" s="65"/>
      <c r="G81" s="63">
        <v>35217</v>
      </c>
      <c r="H81" s="39">
        <v>13.68</v>
      </c>
      <c r="I81" s="39">
        <v>16.8</v>
      </c>
      <c r="J81" s="40">
        <f t="shared" si="18"/>
        <v>-0.18571428571428572</v>
      </c>
      <c r="K81" s="67"/>
      <c r="L81" s="68">
        <v>35217</v>
      </c>
      <c r="M81" s="69">
        <v>670.6</v>
      </c>
      <c r="N81" s="69">
        <v>669.1</v>
      </c>
      <c r="O81" s="70">
        <f t="shared" si="14"/>
        <v>2.2418173666118868E-3</v>
      </c>
      <c r="P81" s="67"/>
      <c r="Q81" s="38">
        <v>35217</v>
      </c>
      <c r="R81" s="39">
        <v>2.911</v>
      </c>
      <c r="S81" s="39">
        <v>2.38</v>
      </c>
      <c r="T81" s="40">
        <f t="shared" si="20"/>
        <v>0.22310924369747909</v>
      </c>
      <c r="U81" s="67"/>
      <c r="V81" s="38">
        <v>35217</v>
      </c>
      <c r="W81" s="39">
        <v>0.53900000000000003</v>
      </c>
      <c r="X81" s="39">
        <v>0.51249999999999996</v>
      </c>
      <c r="Y81" s="40">
        <f t="shared" si="15"/>
        <v>5.1707317073171E-2</v>
      </c>
      <c r="Z81" s="67"/>
      <c r="AA81" s="71">
        <v>35217</v>
      </c>
      <c r="AB81" s="72">
        <v>381.6</v>
      </c>
      <c r="AC81" s="72">
        <v>394.3</v>
      </c>
      <c r="AD81" s="73">
        <f t="shared" si="16"/>
        <v>-3.2208977935581973E-2</v>
      </c>
      <c r="AE81" s="67"/>
      <c r="AF81" s="71">
        <v>35217</v>
      </c>
      <c r="AG81" s="72">
        <v>87.82</v>
      </c>
      <c r="AH81" s="72">
        <v>87.78</v>
      </c>
      <c r="AI81" s="73">
        <f t="shared" si="17"/>
        <v>4.5568466621093151E-4</v>
      </c>
      <c r="AJ81" s="67"/>
      <c r="AK81" s="74">
        <v>35246</v>
      </c>
      <c r="AL81" s="41">
        <v>6.7299999999999999E-2</v>
      </c>
      <c r="AM81" s="41">
        <f t="shared" si="19"/>
        <v>-1.1999999999999927E-3</v>
      </c>
      <c r="AN81" s="67"/>
      <c r="AO81" s="75">
        <v>35217</v>
      </c>
      <c r="AP81" s="76">
        <v>585136</v>
      </c>
      <c r="AQ81" s="80">
        <f t="shared" si="7"/>
        <v>-2.0775838222015786E-3</v>
      </c>
      <c r="AR81" s="67"/>
      <c r="AS81" s="94">
        <v>35217</v>
      </c>
      <c r="AT81" s="78">
        <v>0.95450000000000002</v>
      </c>
      <c r="AU81" s="67"/>
      <c r="AV81" s="79">
        <v>35217</v>
      </c>
      <c r="AW81" s="76">
        <v>291746.75</v>
      </c>
      <c r="AX81" s="80">
        <f t="shared" si="8"/>
        <v>2.2202986722950735E-2</v>
      </c>
      <c r="AY81" s="67"/>
      <c r="AZ81" s="81">
        <v>35217</v>
      </c>
      <c r="BA81" s="82">
        <v>69.088584899902344</v>
      </c>
      <c r="BB81" s="82">
        <v>72.525932312011719</v>
      </c>
      <c r="BC81" s="67"/>
      <c r="BD81" s="83">
        <v>35231</v>
      </c>
      <c r="BE81" s="42">
        <v>6458</v>
      </c>
      <c r="BF81" s="41">
        <f t="shared" si="9"/>
        <v>1.0009383797309868E-2</v>
      </c>
      <c r="BG81" s="67"/>
      <c r="BH81" s="84">
        <v>35217</v>
      </c>
      <c r="BI81" s="85">
        <v>75.443299999999994</v>
      </c>
      <c r="BJ81" s="87">
        <f t="shared" si="10"/>
        <v>7.6222810480734982E-3</v>
      </c>
      <c r="BK81" s="67"/>
      <c r="BL81" s="84">
        <v>35217</v>
      </c>
      <c r="BM81" s="86">
        <v>-16.980723000000001</v>
      </c>
      <c r="BN81" s="67"/>
      <c r="BO81" s="88">
        <v>35217</v>
      </c>
      <c r="BP81" s="89">
        <v>0.90400000000000003</v>
      </c>
      <c r="BQ81" s="89">
        <v>1.129</v>
      </c>
      <c r="BR81" s="90">
        <f t="shared" si="5"/>
        <v>-0.19929140832595216</v>
      </c>
    </row>
    <row r="82" spans="1:70">
      <c r="A82" s="62">
        <v>35247</v>
      </c>
      <c r="B82" s="63">
        <v>35247</v>
      </c>
      <c r="C82" s="39">
        <v>20.420000000000002</v>
      </c>
      <c r="D82" s="64">
        <v>20.95</v>
      </c>
      <c r="E82" s="40">
        <f t="shared" si="13"/>
        <v>-2.5298329355608495E-2</v>
      </c>
      <c r="F82" s="65"/>
      <c r="G82" s="63">
        <v>35247</v>
      </c>
      <c r="H82" s="39">
        <v>19.46</v>
      </c>
      <c r="I82" s="39">
        <v>13.83</v>
      </c>
      <c r="J82" s="40">
        <f t="shared" si="18"/>
        <v>0.40708604483007949</v>
      </c>
      <c r="K82" s="67"/>
      <c r="L82" s="68">
        <v>35247</v>
      </c>
      <c r="M82" s="69">
        <v>640</v>
      </c>
      <c r="N82" s="69">
        <v>670.6</v>
      </c>
      <c r="O82" s="70">
        <f t="shared" si="14"/>
        <v>-4.5630778407396377E-2</v>
      </c>
      <c r="P82" s="67"/>
      <c r="Q82" s="38">
        <v>35247</v>
      </c>
      <c r="R82" s="39">
        <v>2.1629999999999998</v>
      </c>
      <c r="S82" s="39">
        <v>2.7850000000000001</v>
      </c>
      <c r="T82" s="40">
        <f t="shared" si="20"/>
        <v>-0.22333931777378824</v>
      </c>
      <c r="U82" s="67"/>
      <c r="V82" s="38">
        <v>35247</v>
      </c>
      <c r="W82" s="39">
        <v>0.56710000000000005</v>
      </c>
      <c r="X82" s="39">
        <v>0.54069999999999996</v>
      </c>
      <c r="Y82" s="40">
        <f t="shared" si="15"/>
        <v>4.8825596449047604E-2</v>
      </c>
      <c r="Z82" s="67"/>
      <c r="AA82" s="71">
        <v>35247</v>
      </c>
      <c r="AB82" s="72">
        <v>393.1</v>
      </c>
      <c r="AC82" s="72">
        <v>382.3</v>
      </c>
      <c r="AD82" s="73">
        <f t="shared" si="16"/>
        <v>2.8250065393669921E-2</v>
      </c>
      <c r="AE82" s="67"/>
      <c r="AF82" s="71">
        <v>35247</v>
      </c>
      <c r="AG82" s="72">
        <v>85.9</v>
      </c>
      <c r="AH82" s="72">
        <v>87.94</v>
      </c>
      <c r="AI82" s="73">
        <f t="shared" si="17"/>
        <v>-2.3197634750966478E-2</v>
      </c>
      <c r="AJ82" s="67"/>
      <c r="AK82" s="74">
        <v>35277</v>
      </c>
      <c r="AL82" s="41">
        <v>6.8000000000000005E-2</v>
      </c>
      <c r="AM82" s="41">
        <f t="shared" si="19"/>
        <v>7.0000000000000617E-4</v>
      </c>
      <c r="AN82" s="67"/>
      <c r="AO82" s="75">
        <v>35247</v>
      </c>
      <c r="AP82" s="76">
        <v>583786.5</v>
      </c>
      <c r="AQ82" s="80">
        <f t="shared" si="7"/>
        <v>-2.3063014410324989E-3</v>
      </c>
      <c r="AR82" s="67"/>
      <c r="AS82" s="94">
        <v>35247</v>
      </c>
      <c r="AT82" s="78">
        <v>0.94125000000000003</v>
      </c>
      <c r="AU82" s="67"/>
      <c r="AV82" s="79">
        <v>35247</v>
      </c>
      <c r="AW82" s="76">
        <v>294686.5</v>
      </c>
      <c r="AX82" s="80">
        <f t="shared" si="8"/>
        <v>1.007637617214252E-2</v>
      </c>
      <c r="AY82" s="67"/>
      <c r="AZ82" s="81">
        <v>35247</v>
      </c>
      <c r="BA82" s="82">
        <v>80.644317626953125</v>
      </c>
      <c r="BB82" s="82">
        <v>74.906936645507813</v>
      </c>
      <c r="BC82" s="67"/>
      <c r="BD82" s="83">
        <v>35261</v>
      </c>
      <c r="BE82" s="42">
        <v>6338</v>
      </c>
      <c r="BF82" s="41">
        <f t="shared" si="9"/>
        <v>-1.8581604211830305E-2</v>
      </c>
      <c r="BG82" s="67"/>
      <c r="BH82" s="84">
        <v>35247</v>
      </c>
      <c r="BI82" s="85">
        <v>75.454899999999995</v>
      </c>
      <c r="BJ82" s="87">
        <f t="shared" si="10"/>
        <v>1.5375785523707997E-4</v>
      </c>
      <c r="BK82" s="67"/>
      <c r="BL82" s="84">
        <v>35247</v>
      </c>
      <c r="BM82" s="86">
        <v>-29.909528999999999</v>
      </c>
      <c r="BN82" s="67"/>
      <c r="BO82" s="88">
        <v>35247</v>
      </c>
      <c r="BP82" s="89">
        <v>0.92549999999999999</v>
      </c>
      <c r="BQ82" s="89">
        <v>0.90100000000000002</v>
      </c>
      <c r="BR82" s="90">
        <f t="shared" si="5"/>
        <v>2.7192008879023177E-2</v>
      </c>
    </row>
    <row r="83" spans="1:70">
      <c r="A83" s="62">
        <v>35278</v>
      </c>
      <c r="B83" s="63">
        <v>35278</v>
      </c>
      <c r="C83" s="39">
        <v>22.25</v>
      </c>
      <c r="D83" s="64">
        <v>20.399999999999999</v>
      </c>
      <c r="E83" s="40">
        <f t="shared" si="13"/>
        <v>9.0686274509804043E-2</v>
      </c>
      <c r="F83" s="65"/>
      <c r="G83" s="63">
        <v>35278</v>
      </c>
      <c r="H83" s="39">
        <v>17.010000000000002</v>
      </c>
      <c r="I83" s="39">
        <v>19.39</v>
      </c>
      <c r="J83" s="40">
        <f t="shared" si="18"/>
        <v>-0.12274368231046928</v>
      </c>
      <c r="K83" s="67"/>
      <c r="L83" s="68">
        <v>35278</v>
      </c>
      <c r="M83" s="69">
        <v>652</v>
      </c>
      <c r="N83" s="69">
        <v>640</v>
      </c>
      <c r="O83" s="70">
        <f t="shared" si="14"/>
        <v>1.8750000000000044E-2</v>
      </c>
      <c r="P83" s="67"/>
      <c r="Q83" s="38">
        <v>35278</v>
      </c>
      <c r="R83" s="39">
        <v>1.859</v>
      </c>
      <c r="S83" s="39">
        <v>2.17</v>
      </c>
      <c r="T83" s="40">
        <f t="shared" si="20"/>
        <v>-0.14331797235023036</v>
      </c>
      <c r="U83" s="67"/>
      <c r="V83" s="38">
        <v>35278</v>
      </c>
      <c r="W83" s="39">
        <v>0.63119999999999998</v>
      </c>
      <c r="X83" s="39">
        <v>0.56950000000000001</v>
      </c>
      <c r="Y83" s="40">
        <f t="shared" si="15"/>
        <v>0.10834064969271284</v>
      </c>
      <c r="Z83" s="67"/>
      <c r="AA83" s="71">
        <v>35278</v>
      </c>
      <c r="AB83" s="72">
        <v>391.3</v>
      </c>
      <c r="AC83" s="72">
        <v>392.9</v>
      </c>
      <c r="AD83" s="73">
        <f t="shared" si="16"/>
        <v>-4.0722830236700203E-3</v>
      </c>
      <c r="AE83" s="67"/>
      <c r="AF83" s="71">
        <v>35278</v>
      </c>
      <c r="AG83" s="72">
        <v>86.36</v>
      </c>
      <c r="AH83" s="72">
        <v>85.91</v>
      </c>
      <c r="AI83" s="73">
        <f t="shared" si="17"/>
        <v>5.2380398091025349E-3</v>
      </c>
      <c r="AJ83" s="67"/>
      <c r="AK83" s="74">
        <v>35308</v>
      </c>
      <c r="AL83" s="41">
        <v>6.9599999999999995E-2</v>
      </c>
      <c r="AM83" s="41">
        <f t="shared" si="19"/>
        <v>1.5999999999999903E-3</v>
      </c>
      <c r="AN83" s="67"/>
      <c r="AO83" s="75">
        <v>35278</v>
      </c>
      <c r="AP83" s="76">
        <v>580822.6</v>
      </c>
      <c r="AQ83" s="80">
        <f t="shared" si="7"/>
        <v>-5.07702730364612E-3</v>
      </c>
      <c r="AR83" s="67"/>
      <c r="AS83" s="94">
        <v>35278</v>
      </c>
      <c r="AT83" s="78">
        <v>0.94459999999999988</v>
      </c>
      <c r="AU83" s="67"/>
      <c r="AV83" s="79">
        <v>35278</v>
      </c>
      <c r="AW83" s="76">
        <v>293361.59999999998</v>
      </c>
      <c r="AX83" s="80">
        <f t="shared" si="8"/>
        <v>-4.4959643553403872E-3</v>
      </c>
      <c r="AY83" s="67"/>
      <c r="AZ83" s="81">
        <v>35278</v>
      </c>
      <c r="BA83" s="82">
        <v>81.687644958496094</v>
      </c>
      <c r="BB83" s="82">
        <v>81.733741760253906</v>
      </c>
      <c r="BC83" s="67"/>
      <c r="BD83" s="83">
        <v>35292</v>
      </c>
      <c r="BE83" s="42">
        <v>6360</v>
      </c>
      <c r="BF83" s="41">
        <f t="shared" si="9"/>
        <v>3.4711265383402523E-3</v>
      </c>
      <c r="BG83" s="67"/>
      <c r="BH83" s="84">
        <v>35278</v>
      </c>
      <c r="BI83" s="85">
        <v>75.841099999999997</v>
      </c>
      <c r="BJ83" s="87">
        <f t="shared" si="10"/>
        <v>5.1182892032193283E-3</v>
      </c>
      <c r="BK83" s="67"/>
      <c r="BL83" s="84">
        <v>35278</v>
      </c>
      <c r="BM83" s="86">
        <v>-32.773484000000003</v>
      </c>
      <c r="BN83" s="67"/>
      <c r="BO83" s="88">
        <v>35278</v>
      </c>
      <c r="BP83" s="89">
        <v>0.95650000000000002</v>
      </c>
      <c r="BQ83" s="89">
        <v>0.92400000000000004</v>
      </c>
      <c r="BR83" s="90">
        <f t="shared" si="5"/>
        <v>3.517316017316019E-2</v>
      </c>
    </row>
    <row r="84" spans="1:70">
      <c r="A84" s="62">
        <v>35309</v>
      </c>
      <c r="B84" s="63">
        <v>35309</v>
      </c>
      <c r="C84" s="39">
        <v>24.38</v>
      </c>
      <c r="D84" s="64">
        <v>23.4</v>
      </c>
      <c r="E84" s="40">
        <f t="shared" si="13"/>
        <v>4.1880341880341954E-2</v>
      </c>
      <c r="F84" s="65"/>
      <c r="G84" s="63">
        <v>35309</v>
      </c>
      <c r="H84" s="39">
        <v>16.95</v>
      </c>
      <c r="I84" s="39">
        <v>19.78</v>
      </c>
      <c r="J84" s="40">
        <f t="shared" si="18"/>
        <v>-0.1430738119312438</v>
      </c>
      <c r="K84" s="67"/>
      <c r="L84" s="68">
        <v>35309</v>
      </c>
      <c r="M84" s="69">
        <v>687.3</v>
      </c>
      <c r="N84" s="69">
        <v>652</v>
      </c>
      <c r="O84" s="70">
        <f t="shared" si="14"/>
        <v>5.4141104294478382E-2</v>
      </c>
      <c r="P84" s="67"/>
      <c r="Q84" s="38">
        <v>35309</v>
      </c>
      <c r="R84" s="39">
        <v>2.214</v>
      </c>
      <c r="S84" s="39">
        <v>1.86</v>
      </c>
      <c r="T84" s="40">
        <f t="shared" si="20"/>
        <v>0.19032258064516117</v>
      </c>
      <c r="U84" s="67"/>
      <c r="V84" s="38">
        <v>35309</v>
      </c>
      <c r="W84" s="39">
        <v>0.70750000000000002</v>
      </c>
      <c r="X84" s="39">
        <v>0.64749999999999996</v>
      </c>
      <c r="Y84" s="40">
        <f t="shared" si="15"/>
        <v>9.2664092664092701E-2</v>
      </c>
      <c r="Z84" s="67"/>
      <c r="AA84" s="71">
        <v>35309</v>
      </c>
      <c r="AB84" s="72">
        <v>380.5</v>
      </c>
      <c r="AC84" s="72">
        <v>391.5</v>
      </c>
      <c r="AD84" s="73">
        <f t="shared" si="16"/>
        <v>-2.8097062579821253E-2</v>
      </c>
      <c r="AE84" s="67"/>
      <c r="AF84" s="71">
        <v>35309</v>
      </c>
      <c r="AG84" s="72">
        <v>87.94</v>
      </c>
      <c r="AH84" s="72">
        <v>86.49</v>
      </c>
      <c r="AI84" s="73">
        <f t="shared" si="17"/>
        <v>1.6764943924153064E-2</v>
      </c>
      <c r="AJ84" s="67"/>
      <c r="AK84" s="74">
        <v>35338</v>
      </c>
      <c r="AL84" s="41">
        <v>6.7199999999999996E-2</v>
      </c>
      <c r="AM84" s="41">
        <f t="shared" si="19"/>
        <v>-2.3999999999999994E-3</v>
      </c>
      <c r="AN84" s="67"/>
      <c r="AO84" s="75">
        <v>35309</v>
      </c>
      <c r="AP84" s="76">
        <v>575801</v>
      </c>
      <c r="AQ84" s="80">
        <f t="shared" si="7"/>
        <v>-8.64566909069997E-3</v>
      </c>
      <c r="AR84" s="67"/>
      <c r="AS84" s="94">
        <v>35309</v>
      </c>
      <c r="AT84" s="78">
        <v>0.9527500000000001</v>
      </c>
      <c r="AU84" s="67"/>
      <c r="AV84" s="79">
        <v>35309</v>
      </c>
      <c r="AW84" s="76">
        <v>290381.5</v>
      </c>
      <c r="AX84" s="80">
        <f t="shared" si="8"/>
        <v>-1.0158452912719218E-2</v>
      </c>
      <c r="AY84" s="67"/>
      <c r="AZ84" s="81">
        <v>35309</v>
      </c>
      <c r="BA84" s="82">
        <v>88.196975708007813</v>
      </c>
      <c r="BB84" s="82">
        <v>87.048286437988281</v>
      </c>
      <c r="BC84" s="67"/>
      <c r="BD84" s="83">
        <v>35323</v>
      </c>
      <c r="BE84" s="42">
        <v>6482</v>
      </c>
      <c r="BF84" s="41">
        <f t="shared" si="9"/>
        <v>1.9182389937106858E-2</v>
      </c>
      <c r="BG84" s="67"/>
      <c r="BH84" s="84">
        <v>35309</v>
      </c>
      <c r="BI84" s="85">
        <v>76.315799999999996</v>
      </c>
      <c r="BJ84" s="87">
        <f t="shared" si="10"/>
        <v>6.2591391738779922E-3</v>
      </c>
      <c r="BK84" s="67"/>
      <c r="BL84" s="84">
        <v>35309</v>
      </c>
      <c r="BM84" s="86">
        <v>-38.217917999999997</v>
      </c>
      <c r="BN84" s="67"/>
      <c r="BO84" s="88">
        <v>35309</v>
      </c>
      <c r="BP84" s="89">
        <v>0.90100000000000002</v>
      </c>
      <c r="BQ84" s="89">
        <v>0.94399999999999995</v>
      </c>
      <c r="BR84" s="90">
        <f t="shared" si="5"/>
        <v>-4.5550847457627053E-2</v>
      </c>
    </row>
    <row r="85" spans="1:70">
      <c r="A85" s="62">
        <v>35339</v>
      </c>
      <c r="B85" s="63">
        <v>35339</v>
      </c>
      <c r="C85" s="39">
        <v>23.35</v>
      </c>
      <c r="D85" s="64">
        <v>24.1</v>
      </c>
      <c r="E85" s="40">
        <f t="shared" si="13"/>
        <v>-3.1120331950207469E-2</v>
      </c>
      <c r="F85" s="65"/>
      <c r="G85" s="63">
        <v>35339</v>
      </c>
      <c r="H85" s="39">
        <v>18.11</v>
      </c>
      <c r="I85" s="39">
        <v>16.899999999999999</v>
      </c>
      <c r="J85" s="40">
        <f t="shared" si="18"/>
        <v>7.1597633136094796E-2</v>
      </c>
      <c r="K85" s="67"/>
      <c r="L85" s="68">
        <v>35339</v>
      </c>
      <c r="M85" s="69">
        <v>705.3</v>
      </c>
      <c r="N85" s="69">
        <v>687.3</v>
      </c>
      <c r="O85" s="70">
        <f t="shared" si="14"/>
        <v>2.6189436927106069E-2</v>
      </c>
      <c r="P85" s="67"/>
      <c r="Q85" s="38">
        <v>35339</v>
      </c>
      <c r="R85" s="39">
        <v>2.7280000000000002</v>
      </c>
      <c r="S85" s="39">
        <v>2.2050000000000001</v>
      </c>
      <c r="T85" s="40">
        <f t="shared" si="20"/>
        <v>0.23718820861678003</v>
      </c>
      <c r="U85" s="67"/>
      <c r="V85" s="38">
        <v>35339</v>
      </c>
      <c r="W85" s="39">
        <v>0.66849999999999998</v>
      </c>
      <c r="X85" s="39">
        <v>0.69599999999999995</v>
      </c>
      <c r="Y85" s="40">
        <f t="shared" si="15"/>
        <v>-3.951149425287348E-2</v>
      </c>
      <c r="Z85" s="67"/>
      <c r="AA85" s="71">
        <v>35339</v>
      </c>
      <c r="AB85" s="72">
        <v>379.1</v>
      </c>
      <c r="AC85" s="72">
        <v>380.8</v>
      </c>
      <c r="AD85" s="73">
        <f t="shared" si="16"/>
        <v>-4.4642857142856984E-3</v>
      </c>
      <c r="AE85" s="67"/>
      <c r="AF85" s="71">
        <v>35339</v>
      </c>
      <c r="AG85" s="72">
        <v>87.43</v>
      </c>
      <c r="AH85" s="72">
        <v>87.88</v>
      </c>
      <c r="AI85" s="73">
        <f t="shared" si="17"/>
        <v>-5.1206190259442952E-3</v>
      </c>
      <c r="AJ85" s="67"/>
      <c r="AK85" s="74">
        <v>35369</v>
      </c>
      <c r="AL85" s="41">
        <v>6.3700000000000007E-2</v>
      </c>
      <c r="AM85" s="41">
        <f t="shared" si="19"/>
        <v>-3.4999999999999892E-3</v>
      </c>
      <c r="AN85" s="67"/>
      <c r="AO85" s="75">
        <v>35339</v>
      </c>
      <c r="AP85" s="76">
        <v>573660.5</v>
      </c>
      <c r="AQ85" s="80">
        <f t="shared" si="7"/>
        <v>-3.7174301538205334E-3</v>
      </c>
      <c r="AR85" s="67"/>
      <c r="AS85" s="94">
        <v>35339</v>
      </c>
      <c r="AT85" s="78">
        <v>0.93799999999999994</v>
      </c>
      <c r="AU85" s="67"/>
      <c r="AV85" s="79">
        <v>35339</v>
      </c>
      <c r="AW85" s="76">
        <v>285891</v>
      </c>
      <c r="AX85" s="80">
        <f t="shared" si="8"/>
        <v>-1.546413941659508E-2</v>
      </c>
      <c r="AY85" s="67"/>
      <c r="AZ85" s="81">
        <v>35339</v>
      </c>
      <c r="BA85" s="82">
        <v>55.586830139160156</v>
      </c>
      <c r="BB85" s="82">
        <v>56.879756927490234</v>
      </c>
      <c r="BC85" s="67"/>
      <c r="BD85" s="83">
        <v>35353</v>
      </c>
      <c r="BE85" s="42">
        <v>6481</v>
      </c>
      <c r="BF85" s="41">
        <f t="shared" si="9"/>
        <v>-1.5427337241591399E-4</v>
      </c>
      <c r="BG85" s="67"/>
      <c r="BH85" s="84">
        <v>35339</v>
      </c>
      <c r="BI85" s="85">
        <v>76.338399999999993</v>
      </c>
      <c r="BJ85" s="87">
        <f t="shared" si="10"/>
        <v>2.9613789018778647E-4</v>
      </c>
      <c r="BK85" s="67"/>
      <c r="BL85" s="84">
        <v>35339</v>
      </c>
      <c r="BM85" s="86">
        <v>-28.924388</v>
      </c>
      <c r="BN85" s="67"/>
      <c r="BO85" s="88">
        <v>35339</v>
      </c>
      <c r="BP85" s="89">
        <v>0.90500000000000003</v>
      </c>
      <c r="BQ85" s="89">
        <v>0.90100000000000002</v>
      </c>
      <c r="BR85" s="90">
        <f t="shared" si="5"/>
        <v>4.4395116537181423E-3</v>
      </c>
    </row>
    <row r="86" spans="1:70">
      <c r="A86" s="62">
        <v>35370</v>
      </c>
      <c r="B86" s="63">
        <v>35370</v>
      </c>
      <c r="C86" s="39">
        <v>23.75</v>
      </c>
      <c r="D86" s="64">
        <v>23.2</v>
      </c>
      <c r="E86" s="40">
        <f t="shared" si="13"/>
        <v>2.3706896551724199E-2</v>
      </c>
      <c r="F86" s="65"/>
      <c r="G86" s="63">
        <v>35370</v>
      </c>
      <c r="H86" s="39">
        <v>17.14</v>
      </c>
      <c r="I86" s="39">
        <v>17.29</v>
      </c>
      <c r="J86" s="40">
        <f t="shared" si="18"/>
        <v>-8.6755349913243407E-3</v>
      </c>
      <c r="K86" s="67"/>
      <c r="L86" s="68">
        <v>35370</v>
      </c>
      <c r="M86" s="69">
        <v>757</v>
      </c>
      <c r="N86" s="69">
        <v>705.3</v>
      </c>
      <c r="O86" s="70">
        <f t="shared" si="14"/>
        <v>7.330214093293641E-2</v>
      </c>
      <c r="P86" s="67"/>
      <c r="Q86" s="38">
        <v>35370</v>
      </c>
      <c r="R86" s="39">
        <v>3.4969999999999999</v>
      </c>
      <c r="S86" s="39">
        <v>2.72</v>
      </c>
      <c r="T86" s="40">
        <f t="shared" si="20"/>
        <v>0.28566176470588212</v>
      </c>
      <c r="U86" s="67"/>
      <c r="V86" s="38">
        <v>35370</v>
      </c>
      <c r="W86" s="39">
        <v>0.71679999999999999</v>
      </c>
      <c r="X86" s="39">
        <v>0.66400000000000003</v>
      </c>
      <c r="Y86" s="40">
        <f t="shared" si="15"/>
        <v>7.9518072289156638E-2</v>
      </c>
      <c r="Z86" s="67"/>
      <c r="AA86" s="71">
        <v>35370</v>
      </c>
      <c r="AB86" s="72">
        <v>373</v>
      </c>
      <c r="AC86" s="72">
        <v>378.8</v>
      </c>
      <c r="AD86" s="73">
        <f t="shared" si="16"/>
        <v>-1.5311510031678965E-2</v>
      </c>
      <c r="AE86" s="67"/>
      <c r="AF86" s="71">
        <v>35370</v>
      </c>
      <c r="AG86" s="72">
        <v>87.92</v>
      </c>
      <c r="AH86" s="72">
        <v>87.41</v>
      </c>
      <c r="AI86" s="73">
        <f t="shared" si="17"/>
        <v>5.8345727033519701E-3</v>
      </c>
      <c r="AJ86" s="67"/>
      <c r="AK86" s="74">
        <v>35399</v>
      </c>
      <c r="AL86" s="41">
        <v>6.0599999999999994E-2</v>
      </c>
      <c r="AM86" s="41">
        <f t="shared" si="19"/>
        <v>-3.1000000000000125E-3</v>
      </c>
      <c r="AN86" s="67"/>
      <c r="AO86" s="75">
        <v>35370</v>
      </c>
      <c r="AP86" s="76">
        <v>572770.4</v>
      </c>
      <c r="AQ86" s="80">
        <f t="shared" si="7"/>
        <v>-1.5516145873735177E-3</v>
      </c>
      <c r="AR86" s="67"/>
      <c r="AS86" s="94">
        <v>35370</v>
      </c>
      <c r="AT86" s="78">
        <v>0.93659999999999999</v>
      </c>
      <c r="AU86" s="67"/>
      <c r="AV86" s="79">
        <v>35370</v>
      </c>
      <c r="AW86" s="76">
        <v>288436</v>
      </c>
      <c r="AX86" s="80">
        <f t="shared" si="8"/>
        <v>8.9019941166388339E-3</v>
      </c>
      <c r="AY86" s="67"/>
      <c r="AZ86" s="81">
        <v>35370</v>
      </c>
      <c r="BA86" s="82">
        <v>57.344612121582031</v>
      </c>
      <c r="BB86" s="82">
        <v>58.0576171875</v>
      </c>
      <c r="BC86" s="67"/>
      <c r="BD86" s="83">
        <v>35384</v>
      </c>
      <c r="BE86" s="42">
        <v>6476</v>
      </c>
      <c r="BF86" s="41">
        <f t="shared" si="9"/>
        <v>-7.7148588180830924E-4</v>
      </c>
      <c r="BG86" s="67"/>
      <c r="BH86" s="84">
        <v>35370</v>
      </c>
      <c r="BI86" s="85">
        <v>77.039699999999996</v>
      </c>
      <c r="BJ86" s="87">
        <f t="shared" si="10"/>
        <v>9.1867264705574048E-3</v>
      </c>
      <c r="BK86" s="67"/>
      <c r="BL86" s="84">
        <v>35370</v>
      </c>
      <c r="BM86" s="86">
        <v>-4.4528454000000002</v>
      </c>
      <c r="BN86" s="67"/>
      <c r="BO86" s="88">
        <v>35370</v>
      </c>
      <c r="BP86" s="89">
        <v>1.0680000000000001</v>
      </c>
      <c r="BQ86" s="89">
        <v>0.90100000000000002</v>
      </c>
      <c r="BR86" s="90">
        <f t="shared" si="5"/>
        <v>0.18534961154273044</v>
      </c>
    </row>
    <row r="87" spans="1:70">
      <c r="A87" s="62">
        <v>35400</v>
      </c>
      <c r="B87" s="63">
        <v>35400</v>
      </c>
      <c r="C87" s="39">
        <v>25.92</v>
      </c>
      <c r="D87" s="64">
        <v>23.9</v>
      </c>
      <c r="E87" s="40">
        <f t="shared" si="13"/>
        <v>8.4518828451882966E-2</v>
      </c>
      <c r="F87" s="65"/>
      <c r="G87" s="63">
        <v>35400</v>
      </c>
      <c r="H87" s="39">
        <v>20.92</v>
      </c>
      <c r="I87" s="39">
        <v>18.66</v>
      </c>
      <c r="J87" s="40">
        <f t="shared" si="18"/>
        <v>0.12111468381564849</v>
      </c>
      <c r="K87" s="67"/>
      <c r="L87" s="68">
        <v>35400</v>
      </c>
      <c r="M87" s="69">
        <v>740.7</v>
      </c>
      <c r="N87" s="69">
        <v>757</v>
      </c>
      <c r="O87" s="70">
        <f t="shared" si="14"/>
        <v>-2.1532364597093734E-2</v>
      </c>
      <c r="P87" s="67"/>
      <c r="Q87" s="38">
        <v>35400</v>
      </c>
      <c r="R87" s="39">
        <v>2.7570000000000001</v>
      </c>
      <c r="S87" s="39">
        <v>3.37</v>
      </c>
      <c r="T87" s="40">
        <f t="shared" si="20"/>
        <v>-0.18189910979228485</v>
      </c>
      <c r="U87" s="67"/>
      <c r="V87" s="38">
        <v>35400</v>
      </c>
      <c r="W87" s="39">
        <v>0.72070000000000001</v>
      </c>
      <c r="X87" s="39">
        <v>0.69550000000000001</v>
      </c>
      <c r="Y87" s="40">
        <f t="shared" si="15"/>
        <v>3.6232925952552231E-2</v>
      </c>
      <c r="Z87" s="67"/>
      <c r="AA87" s="71">
        <v>35400</v>
      </c>
      <c r="AB87" s="72">
        <v>369.2</v>
      </c>
      <c r="AC87" s="72">
        <v>373.9</v>
      </c>
      <c r="AD87" s="73">
        <f t="shared" si="16"/>
        <v>-1.2570205937416423E-2</v>
      </c>
      <c r="AE87" s="67"/>
      <c r="AF87" s="71">
        <v>35400</v>
      </c>
      <c r="AG87" s="72">
        <v>88.18</v>
      </c>
      <c r="AH87" s="72">
        <v>87.95</v>
      </c>
      <c r="AI87" s="73">
        <f t="shared" si="17"/>
        <v>2.6151222285388798E-3</v>
      </c>
      <c r="AJ87" s="67"/>
      <c r="AK87" s="74">
        <v>35430</v>
      </c>
      <c r="AL87" s="41">
        <v>6.4299999999999996E-2</v>
      </c>
      <c r="AM87" s="41">
        <f t="shared" si="19"/>
        <v>3.7000000000000019E-3</v>
      </c>
      <c r="AN87" s="67"/>
      <c r="AO87" s="75">
        <v>35400</v>
      </c>
      <c r="AP87" s="76">
        <v>568870.25</v>
      </c>
      <c r="AQ87" s="80">
        <f t="shared" si="7"/>
        <v>-6.8092729652231565E-3</v>
      </c>
      <c r="AR87" s="67"/>
      <c r="AS87" s="94">
        <v>35400</v>
      </c>
      <c r="AT87" s="78">
        <v>0.94174999999999998</v>
      </c>
      <c r="AU87" s="67"/>
      <c r="AV87" s="79">
        <v>35400</v>
      </c>
      <c r="AW87" s="76">
        <v>278083.75</v>
      </c>
      <c r="AX87" s="80">
        <f t="shared" si="8"/>
        <v>-3.5890977547878955E-2</v>
      </c>
      <c r="AY87" s="67"/>
      <c r="AZ87" s="81">
        <v>35400</v>
      </c>
      <c r="BA87" s="82">
        <v>74.982635498046875</v>
      </c>
      <c r="BB87" s="82">
        <v>80.178627014160156</v>
      </c>
      <c r="BC87" s="67"/>
      <c r="BD87" s="83">
        <v>35414</v>
      </c>
      <c r="BE87" s="42">
        <v>6506</v>
      </c>
      <c r="BF87" s="41">
        <f t="shared" si="9"/>
        <v>4.6324891908584576E-3</v>
      </c>
      <c r="BG87" s="67"/>
      <c r="BH87" s="84">
        <v>35400</v>
      </c>
      <c r="BI87" s="85">
        <v>77.533299999999997</v>
      </c>
      <c r="BJ87" s="87">
        <f t="shared" si="10"/>
        <v>6.4070862165870324E-3</v>
      </c>
      <c r="BK87" s="67"/>
      <c r="BL87" s="84">
        <v>35400</v>
      </c>
      <c r="BM87" s="86">
        <v>-2.0140598000000001</v>
      </c>
      <c r="BN87" s="67"/>
      <c r="BO87" s="88">
        <v>35400</v>
      </c>
      <c r="BP87" s="89">
        <v>1.0024999999999999</v>
      </c>
      <c r="BQ87" s="89">
        <v>1.044</v>
      </c>
      <c r="BR87" s="90">
        <f t="shared" si="5"/>
        <v>-3.9750957854406188E-2</v>
      </c>
    </row>
    <row r="88" spans="1:70">
      <c r="A88" s="62">
        <v>35431</v>
      </c>
      <c r="B88" s="63">
        <v>35431</v>
      </c>
      <c r="C88" s="39">
        <v>24.15</v>
      </c>
      <c r="D88" s="64">
        <v>25.88</v>
      </c>
      <c r="E88" s="40">
        <f t="shared" si="13"/>
        <v>-6.6846986089644567E-2</v>
      </c>
      <c r="F88" s="65"/>
      <c r="G88" s="63">
        <v>35431</v>
      </c>
      <c r="H88" s="39">
        <v>19.47</v>
      </c>
      <c r="I88" s="39">
        <v>21.54</v>
      </c>
      <c r="J88" s="40">
        <f t="shared" si="18"/>
        <v>-9.6100278551532026E-2</v>
      </c>
      <c r="K88" s="67"/>
      <c r="L88" s="68">
        <v>35431</v>
      </c>
      <c r="M88" s="69">
        <v>786.2</v>
      </c>
      <c r="N88" s="69">
        <v>740.7</v>
      </c>
      <c r="O88" s="70">
        <f t="shared" si="14"/>
        <v>6.1428378560820951E-2</v>
      </c>
      <c r="P88" s="67"/>
      <c r="Q88" s="38">
        <v>35431</v>
      </c>
      <c r="R88" s="39">
        <v>2.3849999999999998</v>
      </c>
      <c r="S88" s="39">
        <v>2.75</v>
      </c>
      <c r="T88" s="40">
        <f t="shared" si="20"/>
        <v>-0.1327272727272728</v>
      </c>
      <c r="U88" s="67"/>
      <c r="V88" s="38">
        <v>35431</v>
      </c>
      <c r="W88" s="39">
        <v>0.66159999999999997</v>
      </c>
      <c r="X88" s="39">
        <v>0.69499999999999995</v>
      </c>
      <c r="Y88" s="40">
        <f t="shared" si="15"/>
        <v>-4.8057553956834531E-2</v>
      </c>
      <c r="Z88" s="67"/>
      <c r="AA88" s="71">
        <v>35431</v>
      </c>
      <c r="AB88" s="72">
        <v>346</v>
      </c>
      <c r="AC88" s="72">
        <v>369.2</v>
      </c>
      <c r="AD88" s="73">
        <f t="shared" si="16"/>
        <v>-6.2838569880823369E-2</v>
      </c>
      <c r="AE88" s="67"/>
      <c r="AF88" s="71">
        <v>35431</v>
      </c>
      <c r="AG88" s="72">
        <v>93.04</v>
      </c>
      <c r="AH88" s="72">
        <v>88.85</v>
      </c>
      <c r="AI88" s="73">
        <f t="shared" si="17"/>
        <v>4.7158131682611293E-2</v>
      </c>
      <c r="AJ88" s="67"/>
      <c r="AK88" s="74">
        <v>35461</v>
      </c>
      <c r="AL88" s="41">
        <v>6.5299999999999997E-2</v>
      </c>
      <c r="AM88" s="41">
        <f t="shared" si="19"/>
        <v>1.0000000000000009E-3</v>
      </c>
      <c r="AN88" s="67"/>
      <c r="AO88" s="75">
        <v>35431</v>
      </c>
      <c r="AP88" s="76">
        <v>565268.4</v>
      </c>
      <c r="AQ88" s="80">
        <f t="shared" si="7"/>
        <v>-6.3315843990786602E-3</v>
      </c>
      <c r="AR88" s="67"/>
      <c r="AS88" s="94">
        <v>35431</v>
      </c>
      <c r="AT88" s="78">
        <v>0.91280000000000006</v>
      </c>
      <c r="AU88" s="67"/>
      <c r="AV88" s="79">
        <v>35431</v>
      </c>
      <c r="AW88" s="76">
        <v>273622.40000000002</v>
      </c>
      <c r="AX88" s="80">
        <f t="shared" si="8"/>
        <v>-1.6043188427946498E-2</v>
      </c>
      <c r="AY88" s="67"/>
      <c r="AZ88" s="81">
        <v>35431</v>
      </c>
      <c r="BA88" s="82">
        <v>54.062435150146484</v>
      </c>
      <c r="BB88" s="82">
        <v>53.257827758789063</v>
      </c>
      <c r="BC88" s="67"/>
      <c r="BD88" s="83">
        <v>35445</v>
      </c>
      <c r="BE88" s="42">
        <v>6402</v>
      </c>
      <c r="BF88" s="41">
        <f t="shared" si="9"/>
        <v>-1.5985244389793984E-2</v>
      </c>
      <c r="BG88" s="67"/>
      <c r="BH88" s="84">
        <v>35431</v>
      </c>
      <c r="BI88" s="85">
        <v>77.656199999999998</v>
      </c>
      <c r="BJ88" s="87">
        <f t="shared" si="10"/>
        <v>1.5851253590393188E-3</v>
      </c>
      <c r="BK88" s="67"/>
      <c r="BL88" s="84">
        <v>35431</v>
      </c>
      <c r="BM88" s="86">
        <v>-3.6644383</v>
      </c>
      <c r="BN88" s="67"/>
      <c r="BO88" s="88">
        <v>35431</v>
      </c>
      <c r="BP88" s="89">
        <v>1.0195000000000001</v>
      </c>
      <c r="BQ88" s="89">
        <v>1.002</v>
      </c>
      <c r="BR88" s="90">
        <f t="shared" si="5"/>
        <v>1.7465069860279403E-2</v>
      </c>
    </row>
    <row r="89" spans="1:70">
      <c r="A89" s="62">
        <v>35462</v>
      </c>
      <c r="B89" s="63">
        <v>35462</v>
      </c>
      <c r="C89" s="39">
        <v>20.3</v>
      </c>
      <c r="D89" s="64">
        <v>24.09</v>
      </c>
      <c r="E89" s="40">
        <f t="shared" si="13"/>
        <v>-0.15732669157326684</v>
      </c>
      <c r="F89" s="65"/>
      <c r="G89" s="63">
        <v>35462</v>
      </c>
      <c r="H89" s="39">
        <v>21.1</v>
      </c>
      <c r="I89" s="39">
        <v>19.89</v>
      </c>
      <c r="J89" s="40">
        <f t="shared" si="18"/>
        <v>6.0834590246354958E-2</v>
      </c>
      <c r="K89" s="67"/>
      <c r="L89" s="68">
        <v>35462</v>
      </c>
      <c r="M89" s="69">
        <v>790.8</v>
      </c>
      <c r="N89" s="69">
        <v>786.2</v>
      </c>
      <c r="O89" s="70">
        <f t="shared" si="14"/>
        <v>5.8509285169165981E-3</v>
      </c>
      <c r="P89" s="67"/>
      <c r="Q89" s="38">
        <v>35462</v>
      </c>
      <c r="R89" s="39">
        <v>1.821</v>
      </c>
      <c r="S89" s="39">
        <v>2.2949999999999999</v>
      </c>
      <c r="T89" s="40">
        <f t="shared" si="20"/>
        <v>-0.20653594771241834</v>
      </c>
      <c r="U89" s="67"/>
      <c r="V89" s="38">
        <v>35462</v>
      </c>
      <c r="W89" s="39">
        <v>0.53439999999999999</v>
      </c>
      <c r="X89" s="39">
        <v>0.63</v>
      </c>
      <c r="Y89" s="40">
        <f t="shared" si="15"/>
        <v>-0.15174603174603174</v>
      </c>
      <c r="Z89" s="67"/>
      <c r="AA89" s="71">
        <v>35462</v>
      </c>
      <c r="AB89" s="72">
        <v>365.1</v>
      </c>
      <c r="AC89" s="72">
        <v>346.3</v>
      </c>
      <c r="AD89" s="73">
        <f t="shared" si="16"/>
        <v>5.4288189431129119E-2</v>
      </c>
      <c r="AE89" s="67"/>
      <c r="AF89" s="71">
        <v>35462</v>
      </c>
      <c r="AG89" s="72">
        <v>94.89</v>
      </c>
      <c r="AH89" s="72">
        <v>93.04</v>
      </c>
      <c r="AI89" s="73">
        <f t="shared" si="17"/>
        <v>1.988392089423896E-2</v>
      </c>
      <c r="AJ89" s="67"/>
      <c r="AK89" s="74">
        <v>35489</v>
      </c>
      <c r="AL89" s="41">
        <v>6.5599999999999992E-2</v>
      </c>
      <c r="AM89" s="41">
        <f t="shared" si="19"/>
        <v>2.9999999999999472E-4</v>
      </c>
      <c r="AN89" s="67"/>
      <c r="AO89" s="75">
        <v>35462</v>
      </c>
      <c r="AP89" s="76">
        <v>563482.5</v>
      </c>
      <c r="AQ89" s="80">
        <f t="shared" si="7"/>
        <v>-3.1593841085049146E-3</v>
      </c>
      <c r="AR89" s="67"/>
      <c r="AS89" s="94">
        <v>35462</v>
      </c>
      <c r="AT89" s="78">
        <v>0.88474999999999993</v>
      </c>
      <c r="AU89" s="67"/>
      <c r="AV89" s="79">
        <v>35462</v>
      </c>
      <c r="AW89" s="76">
        <v>286173</v>
      </c>
      <c r="AX89" s="80">
        <f t="shared" si="8"/>
        <v>4.5868320722279865E-2</v>
      </c>
      <c r="AY89" s="67"/>
      <c r="AZ89" s="81">
        <v>35462</v>
      </c>
      <c r="BA89" s="82">
        <v>50.559940338134766</v>
      </c>
      <c r="BB89" s="82">
        <v>54.501365661621094</v>
      </c>
      <c r="BC89" s="67"/>
      <c r="BD89" s="83">
        <v>35476</v>
      </c>
      <c r="BE89" s="42">
        <v>6514</v>
      </c>
      <c r="BF89" s="41">
        <f t="shared" si="9"/>
        <v>1.7494532958450382E-2</v>
      </c>
      <c r="BG89" s="67"/>
      <c r="BH89" s="84">
        <v>35462</v>
      </c>
      <c r="BI89" s="85">
        <v>78.583299999999994</v>
      </c>
      <c r="BJ89" s="87">
        <f t="shared" si="10"/>
        <v>1.1938518753170868E-2</v>
      </c>
      <c r="BK89" s="67"/>
      <c r="BL89" s="84">
        <v>35462</v>
      </c>
      <c r="BM89" s="86">
        <v>-5.3414513000000001</v>
      </c>
      <c r="BN89" s="67"/>
      <c r="BO89" s="88">
        <v>35462</v>
      </c>
      <c r="BP89" s="89">
        <v>1.109</v>
      </c>
      <c r="BQ89" s="89">
        <v>1.0109999999999999</v>
      </c>
      <c r="BR89" s="90">
        <f t="shared" si="5"/>
        <v>9.693372898120689E-2</v>
      </c>
    </row>
    <row r="90" spans="1:70">
      <c r="A90" s="62">
        <v>35490</v>
      </c>
      <c r="B90" s="63">
        <v>35490</v>
      </c>
      <c r="C90" s="39">
        <v>20.41</v>
      </c>
      <c r="D90" s="64">
        <v>20.29</v>
      </c>
      <c r="E90" s="40">
        <f t="shared" si="13"/>
        <v>5.9142434696894952E-3</v>
      </c>
      <c r="F90" s="65"/>
      <c r="G90" s="63">
        <v>35490</v>
      </c>
      <c r="H90" s="39">
        <v>22.14</v>
      </c>
      <c r="I90" s="39">
        <v>21.89</v>
      </c>
      <c r="J90" s="40">
        <f t="shared" si="18"/>
        <v>1.1420740063956103E-2</v>
      </c>
      <c r="K90" s="67"/>
      <c r="L90" s="68">
        <v>35490</v>
      </c>
      <c r="M90" s="69">
        <v>757.1</v>
      </c>
      <c r="N90" s="69">
        <v>790.8</v>
      </c>
      <c r="O90" s="70">
        <f t="shared" si="14"/>
        <v>-4.2615073343449605E-2</v>
      </c>
      <c r="P90" s="67"/>
      <c r="Q90" s="38">
        <v>35490</v>
      </c>
      <c r="R90" s="39">
        <v>1.9259999999999999</v>
      </c>
      <c r="S90" s="39">
        <v>1.83</v>
      </c>
      <c r="T90" s="40">
        <f t="shared" si="20"/>
        <v>5.2459016393442637E-2</v>
      </c>
      <c r="U90" s="67"/>
      <c r="V90" s="38">
        <v>35490</v>
      </c>
      <c r="W90" s="39">
        <v>0.54420000000000002</v>
      </c>
      <c r="X90" s="39">
        <v>0.53100000000000003</v>
      </c>
      <c r="Y90" s="40">
        <f t="shared" si="15"/>
        <v>2.4858757062146797E-2</v>
      </c>
      <c r="Z90" s="67"/>
      <c r="AA90" s="71">
        <v>35490</v>
      </c>
      <c r="AB90" s="72">
        <v>354</v>
      </c>
      <c r="AC90" s="72">
        <v>365.1</v>
      </c>
      <c r="AD90" s="73">
        <f t="shared" si="16"/>
        <v>-3.0402629416598215E-2</v>
      </c>
      <c r="AE90" s="67"/>
      <c r="AF90" s="71">
        <v>35490</v>
      </c>
      <c r="AG90" s="72">
        <v>94.72</v>
      </c>
      <c r="AH90" s="72">
        <v>94.98</v>
      </c>
      <c r="AI90" s="73">
        <f t="shared" si="17"/>
        <v>-2.7374184038745364E-3</v>
      </c>
      <c r="AJ90" s="67"/>
      <c r="AK90" s="74">
        <v>35520</v>
      </c>
      <c r="AL90" s="41">
        <v>6.9199999999999998E-2</v>
      </c>
      <c r="AM90" s="41">
        <f t="shared" si="19"/>
        <v>3.600000000000006E-3</v>
      </c>
      <c r="AN90" s="67"/>
      <c r="AO90" s="75">
        <v>35490</v>
      </c>
      <c r="AP90" s="76">
        <v>563476</v>
      </c>
      <c r="AQ90" s="80">
        <f t="shared" si="7"/>
        <v>-1.1535407044571677E-5</v>
      </c>
      <c r="AR90" s="67"/>
      <c r="AS90" s="94">
        <v>35490</v>
      </c>
      <c r="AT90" s="78">
        <v>0.91974999999999996</v>
      </c>
      <c r="AU90" s="67"/>
      <c r="AV90" s="79">
        <v>35490</v>
      </c>
      <c r="AW90" s="76">
        <v>289600</v>
      </c>
      <c r="AX90" s="80">
        <f t="shared" si="8"/>
        <v>1.1975273698077826E-2</v>
      </c>
      <c r="AY90" s="67"/>
      <c r="AZ90" s="81">
        <v>35490</v>
      </c>
      <c r="BA90" s="82">
        <v>58.480060577392578</v>
      </c>
      <c r="BB90" s="82">
        <v>56.366298675537109</v>
      </c>
      <c r="BC90" s="67"/>
      <c r="BD90" s="83">
        <v>35504</v>
      </c>
      <c r="BE90" s="42">
        <v>6452</v>
      </c>
      <c r="BF90" s="41">
        <f t="shared" si="9"/>
        <v>-9.517961314092771E-3</v>
      </c>
      <c r="BG90" s="67"/>
      <c r="BH90" s="84">
        <v>35490</v>
      </c>
      <c r="BI90" s="85">
        <v>79.081999999999994</v>
      </c>
      <c r="BJ90" s="87">
        <f t="shared" si="10"/>
        <v>6.3461320662279164E-3</v>
      </c>
      <c r="BK90" s="67"/>
      <c r="BL90" s="84">
        <v>35490</v>
      </c>
      <c r="BM90" s="86">
        <v>-2.8981971</v>
      </c>
      <c r="BN90" s="67"/>
      <c r="BO90" s="88">
        <v>35490</v>
      </c>
      <c r="BP90" s="89">
        <v>1.1080000000000001</v>
      </c>
      <c r="BQ90" s="89">
        <v>1.1100000000000001</v>
      </c>
      <c r="BR90" s="90">
        <f t="shared" si="5"/>
        <v>-1.8018018018017834E-3</v>
      </c>
    </row>
    <row r="91" spans="1:70">
      <c r="A91" s="62">
        <v>35521</v>
      </c>
      <c r="B91" s="63">
        <v>35521</v>
      </c>
      <c r="C91" s="39">
        <v>20.21</v>
      </c>
      <c r="D91" s="64">
        <v>20.41</v>
      </c>
      <c r="E91" s="40">
        <f t="shared" si="13"/>
        <v>-9.7991180793728372E-3</v>
      </c>
      <c r="F91" s="65"/>
      <c r="G91" s="63">
        <v>35521</v>
      </c>
      <c r="H91" s="39">
        <v>20.059999999999999</v>
      </c>
      <c r="I91" s="39">
        <v>22.85</v>
      </c>
      <c r="J91" s="40">
        <f t="shared" si="18"/>
        <v>-0.12210065645514234</v>
      </c>
      <c r="K91" s="67"/>
      <c r="L91" s="68">
        <v>35521</v>
      </c>
      <c r="M91" s="69">
        <v>801.3</v>
      </c>
      <c r="N91" s="69">
        <v>757.1</v>
      </c>
      <c r="O91" s="70">
        <f t="shared" si="14"/>
        <v>5.8380663056399218E-2</v>
      </c>
      <c r="P91" s="67"/>
      <c r="Q91" s="38">
        <v>35521</v>
      </c>
      <c r="R91" s="39">
        <v>2.1840000000000002</v>
      </c>
      <c r="S91" s="39">
        <v>1.929</v>
      </c>
      <c r="T91" s="40">
        <f t="shared" si="20"/>
        <v>0.13219284603421477</v>
      </c>
      <c r="U91" s="67"/>
      <c r="V91" s="38">
        <v>35521</v>
      </c>
      <c r="W91" s="39">
        <v>0.54920000000000002</v>
      </c>
      <c r="X91" s="39">
        <v>0.54400000000000004</v>
      </c>
      <c r="Y91" s="40">
        <f t="shared" si="15"/>
        <v>9.5588235294117307E-3</v>
      </c>
      <c r="Z91" s="67"/>
      <c r="AA91" s="71">
        <v>35521</v>
      </c>
      <c r="AB91" s="72">
        <v>341.2</v>
      </c>
      <c r="AC91" s="72">
        <v>354.3</v>
      </c>
      <c r="AD91" s="73">
        <f t="shared" si="16"/>
        <v>-3.6974315551792314E-2</v>
      </c>
      <c r="AE91" s="67"/>
      <c r="AF91" s="71">
        <v>35521</v>
      </c>
      <c r="AG91" s="72">
        <v>97.18</v>
      </c>
      <c r="AH91" s="72">
        <v>94.73</v>
      </c>
      <c r="AI91" s="73">
        <f t="shared" si="17"/>
        <v>2.5862978992927221E-2</v>
      </c>
      <c r="AJ91" s="67"/>
      <c r="AK91" s="74">
        <v>35550</v>
      </c>
      <c r="AL91" s="41">
        <v>6.7199999999999996E-2</v>
      </c>
      <c r="AM91" s="41">
        <f t="shared" si="19"/>
        <v>-2.0000000000000018E-3</v>
      </c>
      <c r="AN91" s="67"/>
      <c r="AO91" s="75">
        <v>35521</v>
      </c>
      <c r="AP91" s="76">
        <v>563475.25</v>
      </c>
      <c r="AQ91" s="80">
        <f t="shared" si="7"/>
        <v>-1.3310238590191759E-6</v>
      </c>
      <c r="AR91" s="67"/>
      <c r="AS91" s="94">
        <v>35521</v>
      </c>
      <c r="AT91" s="78">
        <v>0.92874999999999996</v>
      </c>
      <c r="AU91" s="67"/>
      <c r="AV91" s="79">
        <v>35521</v>
      </c>
      <c r="AW91" s="76">
        <v>297440.5</v>
      </c>
      <c r="AX91" s="80">
        <f t="shared" si="8"/>
        <v>2.7073549723756862E-2</v>
      </c>
      <c r="AY91" s="67"/>
      <c r="AZ91" s="81">
        <v>35521</v>
      </c>
      <c r="BA91" s="82">
        <v>62.844486236572266</v>
      </c>
      <c r="BB91" s="82">
        <v>62.376056671142578</v>
      </c>
      <c r="BC91" s="67"/>
      <c r="BD91" s="83">
        <v>35535</v>
      </c>
      <c r="BE91" s="42">
        <v>6441</v>
      </c>
      <c r="BF91" s="41">
        <f t="shared" si="9"/>
        <v>-1.7048977061376869E-3</v>
      </c>
      <c r="BG91" s="67"/>
      <c r="BH91" s="84">
        <v>35521</v>
      </c>
      <c r="BI91" s="85">
        <v>79.174700000000001</v>
      </c>
      <c r="BJ91" s="87">
        <f t="shared" si="10"/>
        <v>1.1722010065502442E-3</v>
      </c>
      <c r="BK91" s="67"/>
      <c r="BL91" s="84">
        <v>35521</v>
      </c>
      <c r="BM91" s="86">
        <v>-9.1792814000000007</v>
      </c>
      <c r="BN91" s="67"/>
      <c r="BO91" s="88">
        <v>35521</v>
      </c>
      <c r="BP91" s="89">
        <v>1.1134999999999999</v>
      </c>
      <c r="BQ91" s="89">
        <v>1.0920000000000001</v>
      </c>
      <c r="BR91" s="90">
        <f t="shared" si="5"/>
        <v>1.9688644688644619E-2</v>
      </c>
    </row>
    <row r="92" spans="1:70">
      <c r="A92" s="62">
        <v>35551</v>
      </c>
      <c r="B92" s="63">
        <v>35551</v>
      </c>
      <c r="C92" s="39">
        <v>20.88</v>
      </c>
      <c r="D92" s="64">
        <v>20.079999999999998</v>
      </c>
      <c r="E92" s="40">
        <f t="shared" si="13"/>
        <v>3.9840637450199168E-2</v>
      </c>
      <c r="F92" s="65"/>
      <c r="G92" s="63">
        <v>35551</v>
      </c>
      <c r="H92" s="39">
        <v>19.190000000000001</v>
      </c>
      <c r="I92" s="39">
        <v>20.18</v>
      </c>
      <c r="J92" s="40">
        <f t="shared" si="18"/>
        <v>-4.9058473736372621E-2</v>
      </c>
      <c r="K92" s="67"/>
      <c r="L92" s="68">
        <v>35551</v>
      </c>
      <c r="M92" s="69">
        <v>848.3</v>
      </c>
      <c r="N92" s="69">
        <v>801.3</v>
      </c>
      <c r="O92" s="70">
        <f t="shared" si="14"/>
        <v>5.8654686135030554E-2</v>
      </c>
      <c r="P92" s="67"/>
      <c r="Q92" s="38">
        <v>35551</v>
      </c>
      <c r="R92" s="39">
        <v>2.2389999999999999</v>
      </c>
      <c r="S92" s="39">
        <v>2.1800000000000002</v>
      </c>
      <c r="T92" s="40">
        <f t="shared" si="20"/>
        <v>2.7064220183486087E-2</v>
      </c>
      <c r="U92" s="67"/>
      <c r="V92" s="38">
        <v>35551</v>
      </c>
      <c r="W92" s="39">
        <v>0.55840000000000001</v>
      </c>
      <c r="X92" s="39">
        <v>0.54749999999999999</v>
      </c>
      <c r="Y92" s="40">
        <f t="shared" si="15"/>
        <v>1.9908675799086728E-2</v>
      </c>
      <c r="Z92" s="67"/>
      <c r="AA92" s="71">
        <v>35551</v>
      </c>
      <c r="AB92" s="72">
        <v>347.5</v>
      </c>
      <c r="AC92" s="72">
        <v>341.1</v>
      </c>
      <c r="AD92" s="73">
        <f t="shared" si="16"/>
        <v>1.8762826150688916E-2</v>
      </c>
      <c r="AE92" s="67"/>
      <c r="AF92" s="71">
        <v>35551</v>
      </c>
      <c r="AG92" s="72">
        <v>94.85</v>
      </c>
      <c r="AH92" s="72">
        <v>97.23</v>
      </c>
      <c r="AI92" s="73">
        <f t="shared" si="17"/>
        <v>-2.4478041756659574E-2</v>
      </c>
      <c r="AJ92" s="67"/>
      <c r="AK92" s="74">
        <v>35581</v>
      </c>
      <c r="AL92" s="41">
        <v>6.6699999999999995E-2</v>
      </c>
      <c r="AM92" s="41">
        <f t="shared" si="19"/>
        <v>-5.0000000000000044E-4</v>
      </c>
      <c r="AN92" s="67"/>
      <c r="AO92" s="92">
        <v>35551</v>
      </c>
      <c r="AP92" s="76">
        <v>563464.19999999995</v>
      </c>
      <c r="AQ92" s="80">
        <f t="shared" si="7"/>
        <v>-1.9610444291995321E-5</v>
      </c>
      <c r="AR92" s="67"/>
      <c r="AS92" s="97">
        <v>35551</v>
      </c>
      <c r="AT92" s="78">
        <v>0.97160000000000002</v>
      </c>
      <c r="AU92" s="67"/>
      <c r="AV92" s="93">
        <v>35551</v>
      </c>
      <c r="AW92" s="76">
        <v>304866</v>
      </c>
      <c r="AX92" s="80">
        <f t="shared" si="8"/>
        <v>2.4964656796905516E-2</v>
      </c>
      <c r="AY92" s="67"/>
      <c r="AZ92" s="81">
        <v>35551</v>
      </c>
      <c r="BA92" s="82">
        <v>53.576015472412109</v>
      </c>
      <c r="BB92" s="82">
        <v>53.544284820556641</v>
      </c>
      <c r="BC92" s="67"/>
      <c r="BD92" s="83">
        <v>35565</v>
      </c>
      <c r="BE92" s="42">
        <v>6474</v>
      </c>
      <c r="BF92" s="41">
        <f t="shared" si="9"/>
        <v>5.1234280391243558E-3</v>
      </c>
      <c r="BG92" s="67"/>
      <c r="BH92" s="84">
        <v>35551</v>
      </c>
      <c r="BI92" s="85">
        <v>79.613299999999995</v>
      </c>
      <c r="BJ92" s="87">
        <f t="shared" si="10"/>
        <v>5.5396483977836475E-3</v>
      </c>
      <c r="BK92" s="67"/>
      <c r="BL92" s="84">
        <v>35551</v>
      </c>
      <c r="BM92" s="86">
        <v>-16.612411000000002</v>
      </c>
      <c r="BN92" s="67"/>
      <c r="BO92" s="88">
        <v>35551</v>
      </c>
      <c r="BP92" s="89">
        <v>1.165</v>
      </c>
      <c r="BQ92" s="89">
        <v>1.1174999999999999</v>
      </c>
      <c r="BR92" s="90">
        <f t="shared" si="5"/>
        <v>4.2505592841163509E-2</v>
      </c>
    </row>
    <row r="93" spans="1:70">
      <c r="A93" s="62">
        <v>35582</v>
      </c>
      <c r="B93" s="63">
        <v>35582</v>
      </c>
      <c r="C93" s="39">
        <v>19.8</v>
      </c>
      <c r="D93" s="64">
        <v>20.64</v>
      </c>
      <c r="E93" s="40">
        <f t="shared" si="13"/>
        <v>-4.0697674418604612E-2</v>
      </c>
      <c r="F93" s="65"/>
      <c r="G93" s="63">
        <v>35582</v>
      </c>
      <c r="H93" s="39">
        <v>21.53</v>
      </c>
      <c r="I93" s="39">
        <v>21.08</v>
      </c>
      <c r="J93" s="40">
        <f t="shared" si="18"/>
        <v>2.134724857685022E-2</v>
      </c>
      <c r="K93" s="67"/>
      <c r="L93" s="68">
        <v>35582</v>
      </c>
      <c r="M93" s="69">
        <v>885.1</v>
      </c>
      <c r="N93" s="69">
        <v>848.3</v>
      </c>
      <c r="O93" s="70">
        <f t="shared" si="14"/>
        <v>4.3380879405870543E-2</v>
      </c>
      <c r="P93" s="67"/>
      <c r="Q93" s="38">
        <v>35582</v>
      </c>
      <c r="R93" s="39">
        <v>2.1389999999999998</v>
      </c>
      <c r="S93" s="39">
        <v>2.21</v>
      </c>
      <c r="T93" s="40">
        <f t="shared" si="20"/>
        <v>-3.2126696832579293E-2</v>
      </c>
      <c r="U93" s="67"/>
      <c r="V93" s="38">
        <v>35582</v>
      </c>
      <c r="W93" s="39">
        <v>0.53849999999999998</v>
      </c>
      <c r="X93" s="39">
        <v>0.56100000000000005</v>
      </c>
      <c r="Y93" s="40">
        <f t="shared" si="15"/>
        <v>-4.0106951871657914E-2</v>
      </c>
      <c r="Z93" s="67"/>
      <c r="AA93" s="71">
        <v>35582</v>
      </c>
      <c r="AB93" s="72">
        <v>335.3</v>
      </c>
      <c r="AC93" s="72">
        <v>347.3</v>
      </c>
      <c r="AD93" s="73">
        <f t="shared" si="16"/>
        <v>-3.4552260293694181E-2</v>
      </c>
      <c r="AE93" s="67"/>
      <c r="AF93" s="71">
        <v>35582</v>
      </c>
      <c r="AG93" s="72">
        <v>95.67</v>
      </c>
      <c r="AH93" s="72">
        <v>95.06</v>
      </c>
      <c r="AI93" s="73">
        <f t="shared" si="17"/>
        <v>6.4169997896066366E-3</v>
      </c>
      <c r="AJ93" s="67"/>
      <c r="AK93" s="74">
        <v>35611</v>
      </c>
      <c r="AL93" s="41">
        <v>6.5099999999999991E-2</v>
      </c>
      <c r="AM93" s="41">
        <f t="shared" si="19"/>
        <v>-1.6000000000000042E-3</v>
      </c>
      <c r="AN93" s="67"/>
      <c r="AO93" s="75">
        <v>35582</v>
      </c>
      <c r="AP93" s="76">
        <v>563460</v>
      </c>
      <c r="AQ93" s="80">
        <f t="shared" si="7"/>
        <v>-7.4538897057996323E-6</v>
      </c>
      <c r="AR93" s="67"/>
      <c r="AS93" s="94">
        <v>35582</v>
      </c>
      <c r="AT93" s="78">
        <v>0.97799999999999998</v>
      </c>
      <c r="AU93" s="67"/>
      <c r="AV93" s="79">
        <v>35582</v>
      </c>
      <c r="AW93" s="76">
        <v>306239.75</v>
      </c>
      <c r="AX93" s="80">
        <f t="shared" si="8"/>
        <v>4.5060780802057554E-3</v>
      </c>
      <c r="AY93" s="67"/>
      <c r="AZ93" s="81">
        <v>35582</v>
      </c>
      <c r="BA93" s="82">
        <v>39.045623779296875</v>
      </c>
      <c r="BB93" s="82">
        <v>36.685634613037109</v>
      </c>
      <c r="BC93" s="67"/>
      <c r="BD93" s="83">
        <v>35596</v>
      </c>
      <c r="BE93" s="42">
        <v>6442</v>
      </c>
      <c r="BF93" s="41">
        <f t="shared" si="9"/>
        <v>-4.9428483163422854E-3</v>
      </c>
      <c r="BG93" s="67"/>
      <c r="BH93" s="84">
        <v>35582</v>
      </c>
      <c r="BI93" s="85">
        <v>79.979200000000006</v>
      </c>
      <c r="BJ93" s="87">
        <f t="shared" si="10"/>
        <v>4.595965749441433E-3</v>
      </c>
      <c r="BK93" s="67"/>
      <c r="BL93" s="84">
        <v>35582</v>
      </c>
      <c r="BM93" s="86">
        <v>-17.102703999999999</v>
      </c>
      <c r="BN93" s="67"/>
      <c r="BO93" s="88">
        <v>35582</v>
      </c>
      <c r="BP93" s="89">
        <v>1.1214999999999999</v>
      </c>
      <c r="BQ93" s="89">
        <v>1.1425000000000001</v>
      </c>
      <c r="BR93" s="90">
        <f t="shared" si="5"/>
        <v>-1.8380743982494674E-2</v>
      </c>
    </row>
    <row r="94" spans="1:70">
      <c r="A94" s="62">
        <v>35612</v>
      </c>
      <c r="B94" s="63">
        <v>35612</v>
      </c>
      <c r="C94" s="39">
        <v>20.14</v>
      </c>
      <c r="D94" s="64">
        <v>19.82</v>
      </c>
      <c r="E94" s="40">
        <f t="shared" si="13"/>
        <v>1.6145307769929396E-2</v>
      </c>
      <c r="F94" s="65"/>
      <c r="G94" s="63">
        <v>35612</v>
      </c>
      <c r="H94" s="39">
        <v>21.48</v>
      </c>
      <c r="I94" s="39">
        <v>21.54</v>
      </c>
      <c r="J94" s="40">
        <f t="shared" si="18"/>
        <v>-2.7855153203342198E-3</v>
      </c>
      <c r="K94" s="67"/>
      <c r="L94" s="68">
        <v>35612</v>
      </c>
      <c r="M94" s="69">
        <v>954.3</v>
      </c>
      <c r="N94" s="69">
        <v>885.1</v>
      </c>
      <c r="O94" s="70">
        <f t="shared" si="14"/>
        <v>7.8183256129250811E-2</v>
      </c>
      <c r="P94" s="67"/>
      <c r="Q94" s="38">
        <v>35612</v>
      </c>
      <c r="R94" s="39">
        <v>2.177</v>
      </c>
      <c r="S94" s="39">
        <v>2.13</v>
      </c>
      <c r="T94" s="40">
        <f t="shared" si="20"/>
        <v>2.2065727699530635E-2</v>
      </c>
      <c r="U94" s="67"/>
      <c r="V94" s="38">
        <v>35612</v>
      </c>
      <c r="W94" s="39">
        <v>0.56189999999999996</v>
      </c>
      <c r="X94" s="39">
        <v>0.54800000000000004</v>
      </c>
      <c r="Y94" s="40">
        <f t="shared" si="15"/>
        <v>2.5364963503649474E-2</v>
      </c>
      <c r="Z94" s="67"/>
      <c r="AA94" s="71">
        <v>35612</v>
      </c>
      <c r="AB94" s="72">
        <v>328.6</v>
      </c>
      <c r="AC94" s="72">
        <v>334.9</v>
      </c>
      <c r="AD94" s="73">
        <f t="shared" si="16"/>
        <v>-1.8811585547924614E-2</v>
      </c>
      <c r="AE94" s="67"/>
      <c r="AF94" s="71">
        <v>35612</v>
      </c>
      <c r="AG94" s="72">
        <v>99.64</v>
      </c>
      <c r="AH94" s="72">
        <v>95.66</v>
      </c>
      <c r="AI94" s="73">
        <f t="shared" si="17"/>
        <v>4.1605686807443032E-2</v>
      </c>
      <c r="AJ94" s="67"/>
      <c r="AK94" s="74">
        <v>35642</v>
      </c>
      <c r="AL94" s="41">
        <v>6.0199999999999997E-2</v>
      </c>
      <c r="AM94" s="41">
        <f t="shared" si="19"/>
        <v>-4.8999999999999946E-3</v>
      </c>
      <c r="AN94" s="67"/>
      <c r="AO94" s="75">
        <v>35612</v>
      </c>
      <c r="AP94" s="76">
        <v>563456</v>
      </c>
      <c r="AQ94" s="80">
        <f t="shared" si="7"/>
        <v>-7.0989954921163445E-6</v>
      </c>
      <c r="AR94" s="67"/>
      <c r="AS94" s="94">
        <v>35612</v>
      </c>
      <c r="AT94" s="78">
        <v>0.96724999999999994</v>
      </c>
      <c r="AU94" s="67"/>
      <c r="AV94" s="79">
        <v>35612</v>
      </c>
      <c r="AW94" s="76">
        <v>300908.75</v>
      </c>
      <c r="AX94" s="80">
        <f t="shared" si="8"/>
        <v>-1.7407929571520375E-2</v>
      </c>
      <c r="AY94" s="67"/>
      <c r="AZ94" s="81">
        <v>35612</v>
      </c>
      <c r="BA94" s="82">
        <v>47.69842529296875</v>
      </c>
      <c r="BB94" s="82">
        <v>47.428409576416016</v>
      </c>
      <c r="BC94" s="67"/>
      <c r="BD94" s="83">
        <v>35626</v>
      </c>
      <c r="BE94" s="42">
        <v>6409</v>
      </c>
      <c r="BF94" s="41">
        <f t="shared" si="9"/>
        <v>-5.1226327227569257E-3</v>
      </c>
      <c r="BG94" s="67"/>
      <c r="BH94" s="84">
        <v>35612</v>
      </c>
      <c r="BI94" s="85">
        <v>80.662400000000005</v>
      </c>
      <c r="BJ94" s="87">
        <f t="shared" si="10"/>
        <v>8.5422209774541624E-3</v>
      </c>
      <c r="BK94" s="67"/>
      <c r="BL94" s="84">
        <v>35612</v>
      </c>
      <c r="BM94" s="86">
        <v>-11.930771999999999</v>
      </c>
      <c r="BN94" s="67"/>
      <c r="BO94" s="88">
        <v>35612</v>
      </c>
      <c r="BP94" s="89">
        <v>1.075</v>
      </c>
      <c r="BQ94" s="89">
        <v>1.121</v>
      </c>
      <c r="BR94" s="90">
        <f t="shared" si="5"/>
        <v>-4.1034790365744866E-2</v>
      </c>
    </row>
    <row r="95" spans="1:70">
      <c r="A95" s="62">
        <v>35643</v>
      </c>
      <c r="B95" s="63">
        <v>35643</v>
      </c>
      <c r="C95" s="39">
        <v>19.61</v>
      </c>
      <c r="D95" s="64">
        <v>20.149999999999999</v>
      </c>
      <c r="E95" s="40">
        <f t="shared" si="13"/>
        <v>-2.6799007444168743E-2</v>
      </c>
      <c r="F95" s="65"/>
      <c r="G95" s="63">
        <v>35643</v>
      </c>
      <c r="H95" s="39">
        <v>24.76</v>
      </c>
      <c r="I95" s="39">
        <v>21.29</v>
      </c>
      <c r="J95" s="40">
        <f t="shared" si="18"/>
        <v>0.16298731798966659</v>
      </c>
      <c r="K95" s="67"/>
      <c r="L95" s="68">
        <v>35643</v>
      </c>
      <c r="M95" s="69">
        <v>899.5</v>
      </c>
      <c r="N95" s="69">
        <v>954.3</v>
      </c>
      <c r="O95" s="70">
        <f t="shared" si="14"/>
        <v>-5.7424290055538063E-2</v>
      </c>
      <c r="P95" s="67"/>
      <c r="Q95" s="38">
        <v>35643</v>
      </c>
      <c r="R95" s="39">
        <v>2.714</v>
      </c>
      <c r="S95" s="39">
        <v>2.1800000000000002</v>
      </c>
      <c r="T95" s="40">
        <f t="shared" si="20"/>
        <v>0.2449541284403669</v>
      </c>
      <c r="U95" s="67"/>
      <c r="V95" s="38">
        <v>35643</v>
      </c>
      <c r="W95" s="39">
        <v>0.53220000000000001</v>
      </c>
      <c r="X95" s="39">
        <v>0.56799999999999995</v>
      </c>
      <c r="Y95" s="40">
        <f t="shared" si="15"/>
        <v>-6.3028169014084368E-2</v>
      </c>
      <c r="Z95" s="67"/>
      <c r="AA95" s="71">
        <v>35643</v>
      </c>
      <c r="AB95" s="72">
        <v>327.39999999999998</v>
      </c>
      <c r="AC95" s="72">
        <v>328.9</v>
      </c>
      <c r="AD95" s="73">
        <f t="shared" si="16"/>
        <v>-4.5606567345697346E-3</v>
      </c>
      <c r="AE95" s="67"/>
      <c r="AF95" s="71">
        <v>35643</v>
      </c>
      <c r="AG95" s="72">
        <v>99</v>
      </c>
      <c r="AH95" s="72">
        <v>99.59</v>
      </c>
      <c r="AI95" s="73">
        <f t="shared" si="17"/>
        <v>-5.9242895873079515E-3</v>
      </c>
      <c r="AJ95" s="67"/>
      <c r="AK95" s="74">
        <v>35673</v>
      </c>
      <c r="AL95" s="41">
        <v>6.3399999999999998E-2</v>
      </c>
      <c r="AM95" s="41">
        <f t="shared" si="19"/>
        <v>3.2000000000000015E-3</v>
      </c>
      <c r="AN95" s="67"/>
      <c r="AO95" s="75">
        <v>35643</v>
      </c>
      <c r="AP95" s="76">
        <v>563452.6</v>
      </c>
      <c r="AQ95" s="80">
        <f t="shared" si="7"/>
        <v>-6.0341890050219504E-6</v>
      </c>
      <c r="AR95" s="67"/>
      <c r="AS95" s="94">
        <v>35643</v>
      </c>
      <c r="AT95" s="78">
        <v>0.98040000000000005</v>
      </c>
      <c r="AU95" s="67"/>
      <c r="AV95" s="79">
        <v>35643</v>
      </c>
      <c r="AW95" s="76">
        <v>293182.8</v>
      </c>
      <c r="AX95" s="80">
        <f t="shared" si="8"/>
        <v>-2.5675391626199029E-2</v>
      </c>
      <c r="AY95" s="67"/>
      <c r="AZ95" s="81">
        <v>35643</v>
      </c>
      <c r="BA95" s="82">
        <v>48.582298278808594</v>
      </c>
      <c r="BB95" s="82">
        <v>46.308628082275391</v>
      </c>
      <c r="BC95" s="67"/>
      <c r="BD95" s="83">
        <v>35657</v>
      </c>
      <c r="BE95" s="42">
        <v>6347</v>
      </c>
      <c r="BF95" s="41">
        <f t="shared" si="9"/>
        <v>-9.6738960836323384E-3</v>
      </c>
      <c r="BG95" s="67"/>
      <c r="BH95" s="84">
        <v>35643</v>
      </c>
      <c r="BI95" s="85">
        <v>81.469399999999993</v>
      </c>
      <c r="BJ95" s="87">
        <f t="shared" si="10"/>
        <v>1.0004661403578252E-2</v>
      </c>
      <c r="BK95" s="67"/>
      <c r="BL95" s="84">
        <v>35643</v>
      </c>
      <c r="BM95" s="86">
        <v>-15.505611</v>
      </c>
      <c r="BN95" s="67"/>
      <c r="BO95" s="88">
        <v>35643</v>
      </c>
      <c r="BP95" s="89">
        <v>0.99450000000000005</v>
      </c>
      <c r="BQ95" s="89">
        <v>1.0620000000000001</v>
      </c>
      <c r="BR95" s="90">
        <f t="shared" si="5"/>
        <v>-6.3559322033898358E-2</v>
      </c>
    </row>
    <row r="96" spans="1:70">
      <c r="A96" s="62">
        <v>35674</v>
      </c>
      <c r="B96" s="63">
        <v>35674</v>
      </c>
      <c r="C96" s="39">
        <v>21.18</v>
      </c>
      <c r="D96" s="64">
        <v>19.600000000000001</v>
      </c>
      <c r="E96" s="40">
        <f t="shared" si="13"/>
        <v>8.0612244897959151E-2</v>
      </c>
      <c r="F96" s="65"/>
      <c r="G96" s="63">
        <v>35674</v>
      </c>
      <c r="H96" s="39">
        <v>22.91</v>
      </c>
      <c r="I96" s="39">
        <v>25.85</v>
      </c>
      <c r="J96" s="40">
        <f t="shared" si="18"/>
        <v>-0.11373307543520317</v>
      </c>
      <c r="K96" s="67"/>
      <c r="L96" s="68">
        <v>35674</v>
      </c>
      <c r="M96" s="69">
        <v>947.3</v>
      </c>
      <c r="N96" s="69">
        <v>899.5</v>
      </c>
      <c r="O96" s="70">
        <f t="shared" si="14"/>
        <v>5.31406336853808E-2</v>
      </c>
      <c r="P96" s="67"/>
      <c r="Q96" s="38">
        <v>35674</v>
      </c>
      <c r="R96" s="39">
        <v>3.0819999999999999</v>
      </c>
      <c r="S96" s="39">
        <v>2.7</v>
      </c>
      <c r="T96" s="40">
        <f t="shared" si="20"/>
        <v>0.14148148148148132</v>
      </c>
      <c r="U96" s="67"/>
      <c r="V96" s="38">
        <v>35674</v>
      </c>
      <c r="W96" s="39">
        <v>0.5877</v>
      </c>
      <c r="X96" s="39">
        <v>0.54049999999999998</v>
      </c>
      <c r="Y96" s="40">
        <f t="shared" si="15"/>
        <v>8.732654949121188E-2</v>
      </c>
      <c r="Z96" s="67"/>
      <c r="AA96" s="71">
        <v>35674</v>
      </c>
      <c r="AB96" s="72">
        <v>336.9</v>
      </c>
      <c r="AC96" s="72">
        <v>327</v>
      </c>
      <c r="AD96" s="73">
        <f t="shared" si="16"/>
        <v>3.0275229357798139E-2</v>
      </c>
      <c r="AE96" s="67"/>
      <c r="AF96" s="71">
        <v>35674</v>
      </c>
      <c r="AG96" s="72">
        <v>97.11</v>
      </c>
      <c r="AH96" s="72">
        <v>98.22</v>
      </c>
      <c r="AI96" s="73">
        <f t="shared" si="17"/>
        <v>-1.1301160659743403E-2</v>
      </c>
      <c r="AJ96" s="67"/>
      <c r="AK96" s="74">
        <v>35703</v>
      </c>
      <c r="AL96" s="41">
        <v>6.1200000000000004E-2</v>
      </c>
      <c r="AM96" s="41">
        <f t="shared" si="19"/>
        <v>-2.1999999999999936E-3</v>
      </c>
      <c r="AN96" s="67"/>
      <c r="AO96" s="75">
        <v>35674</v>
      </c>
      <c r="AP96" s="76">
        <v>563449.75</v>
      </c>
      <c r="AQ96" s="80">
        <f t="shared" si="7"/>
        <v>-5.0581007168259973E-6</v>
      </c>
      <c r="AR96" s="67"/>
      <c r="AS96" s="94">
        <v>35674</v>
      </c>
      <c r="AT96" s="78">
        <v>0.98750000000000004</v>
      </c>
      <c r="AU96" s="67"/>
      <c r="AV96" s="79">
        <v>35674</v>
      </c>
      <c r="AW96" s="76">
        <v>285161.5</v>
      </c>
      <c r="AX96" s="80">
        <f t="shared" si="8"/>
        <v>-2.7359381246103043E-2</v>
      </c>
      <c r="AY96" s="67"/>
      <c r="AZ96" s="81">
        <v>35674</v>
      </c>
      <c r="BA96" s="82">
        <v>42.6890869140625</v>
      </c>
      <c r="BB96" s="82">
        <v>41.63934326171875</v>
      </c>
      <c r="BC96" s="67"/>
      <c r="BD96" s="83">
        <v>35688</v>
      </c>
      <c r="BE96" s="42">
        <v>6486</v>
      </c>
      <c r="BF96" s="41">
        <f t="shared" si="9"/>
        <v>2.190011028832517E-2</v>
      </c>
      <c r="BG96" s="67"/>
      <c r="BH96" s="84">
        <v>35674</v>
      </c>
      <c r="BI96" s="85">
        <v>82.215599999999995</v>
      </c>
      <c r="BJ96" s="87">
        <f t="shared" si="10"/>
        <v>9.1592671604308062E-3</v>
      </c>
      <c r="BK96" s="67"/>
      <c r="BL96" s="84">
        <v>35674</v>
      </c>
      <c r="BM96" s="86">
        <v>-15.355119</v>
      </c>
      <c r="BN96" s="67"/>
      <c r="BO96" s="88">
        <v>35674</v>
      </c>
      <c r="BP96" s="89">
        <v>0.97</v>
      </c>
      <c r="BQ96" s="89">
        <v>0.97</v>
      </c>
      <c r="BR96" s="90">
        <f t="shared" si="5"/>
        <v>0</v>
      </c>
    </row>
    <row r="97" spans="1:70">
      <c r="A97" s="62">
        <v>35704</v>
      </c>
      <c r="B97" s="63">
        <v>35704</v>
      </c>
      <c r="C97" s="39">
        <v>21.08</v>
      </c>
      <c r="D97" s="64">
        <v>21.16</v>
      </c>
      <c r="E97" s="40">
        <f t="shared" si="13"/>
        <v>-3.780718336483968E-3</v>
      </c>
      <c r="F97" s="65"/>
      <c r="G97" s="63">
        <v>35704</v>
      </c>
      <c r="H97" s="39">
        <v>35.090000000000003</v>
      </c>
      <c r="I97" s="39">
        <v>22.95</v>
      </c>
      <c r="J97" s="40">
        <f t="shared" si="18"/>
        <v>0.52897603485838807</v>
      </c>
      <c r="K97" s="67"/>
      <c r="L97" s="68">
        <v>35704</v>
      </c>
      <c r="M97" s="69">
        <v>914.6</v>
      </c>
      <c r="N97" s="69">
        <v>950.9</v>
      </c>
      <c r="O97" s="70">
        <f t="shared" si="14"/>
        <v>-3.8174361131559476E-2</v>
      </c>
      <c r="P97" s="67"/>
      <c r="Q97" s="38">
        <v>35704</v>
      </c>
      <c r="R97" s="39">
        <v>3.552</v>
      </c>
      <c r="S97" s="39">
        <v>3.08</v>
      </c>
      <c r="T97" s="40">
        <f t="shared" si="20"/>
        <v>0.15324675324675319</v>
      </c>
      <c r="U97" s="67"/>
      <c r="V97" s="38">
        <v>35704</v>
      </c>
      <c r="W97" s="39">
        <v>0.58930000000000005</v>
      </c>
      <c r="X97" s="39">
        <v>0.59599999999999997</v>
      </c>
      <c r="Y97" s="40">
        <f t="shared" si="15"/>
        <v>-1.1241610738254915E-2</v>
      </c>
      <c r="Z97" s="67"/>
      <c r="AA97" s="71">
        <v>35704</v>
      </c>
      <c r="AB97" s="72">
        <v>312.10000000000002</v>
      </c>
      <c r="AC97" s="72">
        <v>336.6</v>
      </c>
      <c r="AD97" s="73">
        <f t="shared" si="16"/>
        <v>-7.2786690433749301E-2</v>
      </c>
      <c r="AE97" s="67"/>
      <c r="AF97" s="71">
        <v>35704</v>
      </c>
      <c r="AG97" s="72">
        <v>95.64</v>
      </c>
      <c r="AH97" s="72">
        <v>97.19</v>
      </c>
      <c r="AI97" s="73">
        <f t="shared" si="17"/>
        <v>-1.5948142813046573E-2</v>
      </c>
      <c r="AJ97" s="67"/>
      <c r="AK97" s="74">
        <v>35734</v>
      </c>
      <c r="AL97" s="41">
        <v>5.8400000000000001E-2</v>
      </c>
      <c r="AM97" s="41">
        <f t="shared" si="19"/>
        <v>-2.8000000000000039E-3</v>
      </c>
      <c r="AN97" s="67"/>
      <c r="AO97" s="75">
        <v>35704</v>
      </c>
      <c r="AP97" s="76">
        <v>563445</v>
      </c>
      <c r="AQ97" s="80">
        <f t="shared" si="7"/>
        <v>-8.4302105023414953E-6</v>
      </c>
      <c r="AR97" s="67"/>
      <c r="AS97" s="94">
        <v>35704</v>
      </c>
      <c r="AT97" s="78">
        <v>0.96219999999999994</v>
      </c>
      <c r="AU97" s="67"/>
      <c r="AV97" s="79">
        <v>35704</v>
      </c>
      <c r="AW97" s="76">
        <v>289273.40000000002</v>
      </c>
      <c r="AX97" s="80">
        <f t="shared" si="8"/>
        <v>1.4419548220920397E-2</v>
      </c>
      <c r="AY97" s="67"/>
      <c r="AZ97" s="81">
        <v>35704</v>
      </c>
      <c r="BA97" s="82">
        <v>49.746307373046875</v>
      </c>
      <c r="BB97" s="82">
        <v>58.689460754394531</v>
      </c>
      <c r="BC97" s="67"/>
      <c r="BD97" s="83">
        <v>35718</v>
      </c>
      <c r="BE97" s="42">
        <v>6467</v>
      </c>
      <c r="BF97" s="41">
        <f t="shared" si="9"/>
        <v>-2.9293863706444379E-3</v>
      </c>
      <c r="BG97" s="67"/>
      <c r="BH97" s="84">
        <v>35704</v>
      </c>
      <c r="BI97" s="85">
        <v>82.944599999999994</v>
      </c>
      <c r="BJ97" s="87">
        <f t="shared" si="10"/>
        <v>8.8669303635806607E-3</v>
      </c>
      <c r="BK97" s="67"/>
      <c r="BL97" s="84">
        <v>35704</v>
      </c>
      <c r="BM97" s="86">
        <v>-13.313326999999999</v>
      </c>
      <c r="BN97" s="67"/>
      <c r="BO97" s="88">
        <v>35704</v>
      </c>
      <c r="BP97" s="89">
        <v>0.91</v>
      </c>
      <c r="BQ97" s="89">
        <v>0.97</v>
      </c>
      <c r="BR97" s="90">
        <f t="shared" si="5"/>
        <v>-6.1855670103092675E-2</v>
      </c>
    </row>
    <row r="98" spans="1:70">
      <c r="A98" s="62">
        <v>35735</v>
      </c>
      <c r="B98" s="63">
        <v>35735</v>
      </c>
      <c r="C98" s="39">
        <v>19.149999999999999</v>
      </c>
      <c r="D98" s="64">
        <v>21.3</v>
      </c>
      <c r="E98" s="40">
        <f t="shared" si="13"/>
        <v>-0.10093896713615036</v>
      </c>
      <c r="F98" s="65"/>
      <c r="G98" s="63">
        <v>35735</v>
      </c>
      <c r="H98" s="39">
        <v>27.43</v>
      </c>
      <c r="I98" s="39">
        <v>32.18</v>
      </c>
      <c r="J98" s="40">
        <f t="shared" si="18"/>
        <v>-0.14760720944686145</v>
      </c>
      <c r="K98" s="67"/>
      <c r="L98" s="68">
        <v>35735</v>
      </c>
      <c r="M98" s="69">
        <v>955.4</v>
      </c>
      <c r="N98" s="69">
        <v>914.6</v>
      </c>
      <c r="O98" s="70">
        <f t="shared" si="14"/>
        <v>4.4609665427509215E-2</v>
      </c>
      <c r="P98" s="67"/>
      <c r="Q98" s="38">
        <v>35735</v>
      </c>
      <c r="R98" s="39">
        <v>2.5779999999999998</v>
      </c>
      <c r="S98" s="39">
        <v>3.57</v>
      </c>
      <c r="T98" s="40">
        <f t="shared" si="20"/>
        <v>-0.27787114845938377</v>
      </c>
      <c r="U98" s="67"/>
      <c r="V98" s="38">
        <v>35735</v>
      </c>
      <c r="W98" s="39">
        <v>0.54290000000000005</v>
      </c>
      <c r="X98" s="39">
        <v>0.60350000000000004</v>
      </c>
      <c r="Y98" s="40">
        <f t="shared" si="15"/>
        <v>-0.10041425020712502</v>
      </c>
      <c r="Z98" s="67"/>
      <c r="AA98" s="71">
        <v>35735</v>
      </c>
      <c r="AB98" s="72">
        <v>296.89999999999998</v>
      </c>
      <c r="AC98" s="72">
        <v>312.10000000000002</v>
      </c>
      <c r="AD98" s="73">
        <f t="shared" si="16"/>
        <v>-4.8702338993912297E-2</v>
      </c>
      <c r="AE98" s="67"/>
      <c r="AF98" s="71">
        <v>35735</v>
      </c>
      <c r="AG98" s="72">
        <v>97.79</v>
      </c>
      <c r="AH98" s="72">
        <v>95.57</v>
      </c>
      <c r="AI98" s="73">
        <f t="shared" si="17"/>
        <v>2.3229046771999773E-2</v>
      </c>
      <c r="AJ98" s="67"/>
      <c r="AK98" s="74">
        <v>35764</v>
      </c>
      <c r="AL98" s="41">
        <v>5.8600000000000006E-2</v>
      </c>
      <c r="AM98" s="41">
        <f t="shared" si="19"/>
        <v>2.0000000000000573E-4</v>
      </c>
      <c r="AN98" s="67"/>
      <c r="AO98" s="75">
        <v>35735</v>
      </c>
      <c r="AP98" s="76">
        <v>563440.25</v>
      </c>
      <c r="AQ98" s="80">
        <f t="shared" si="7"/>
        <v>-8.4302815713810375E-6</v>
      </c>
      <c r="AR98" s="67"/>
      <c r="AS98" s="94">
        <v>35735</v>
      </c>
      <c r="AT98" s="78">
        <v>0.94275000000000009</v>
      </c>
      <c r="AU98" s="67"/>
      <c r="AV98" s="79">
        <v>35735</v>
      </c>
      <c r="AW98" s="76">
        <v>300345.5</v>
      </c>
      <c r="AX98" s="80">
        <f t="shared" si="8"/>
        <v>3.8275555235980807E-2</v>
      </c>
      <c r="AY98" s="67"/>
      <c r="AZ98" s="81">
        <v>35735</v>
      </c>
      <c r="BA98" s="82">
        <v>59.693370819091797</v>
      </c>
      <c r="BB98" s="82">
        <v>79.036308288574219</v>
      </c>
      <c r="BC98" s="67"/>
      <c r="BD98" s="83">
        <v>35749</v>
      </c>
      <c r="BE98" s="42">
        <v>6459</v>
      </c>
      <c r="BF98" s="41">
        <f t="shared" si="9"/>
        <v>-1.2370496366166384E-3</v>
      </c>
      <c r="BG98" s="67"/>
      <c r="BH98" s="84">
        <v>35735</v>
      </c>
      <c r="BI98" s="85">
        <v>83.597800000000007</v>
      </c>
      <c r="BJ98" s="87">
        <f t="shared" si="10"/>
        <v>7.8751359341056038E-3</v>
      </c>
      <c r="BK98" s="67"/>
      <c r="BL98" s="84">
        <v>35735</v>
      </c>
      <c r="BM98" s="86">
        <v>-20.066557</v>
      </c>
      <c r="BN98" s="67"/>
      <c r="BO98" s="88">
        <v>35735</v>
      </c>
      <c r="BP98" s="89">
        <v>0.85650000000000004</v>
      </c>
      <c r="BQ98" s="89">
        <v>0.91</v>
      </c>
      <c r="BR98" s="90">
        <f t="shared" si="5"/>
        <v>-5.8791208791208804E-2</v>
      </c>
    </row>
    <row r="99" spans="1:70">
      <c r="A99" s="62">
        <v>35765</v>
      </c>
      <c r="B99" s="63">
        <v>35765</v>
      </c>
      <c r="C99" s="39">
        <v>17.64</v>
      </c>
      <c r="D99" s="64">
        <v>19.07</v>
      </c>
      <c r="E99" s="40">
        <f t="shared" si="13"/>
        <v>-7.4986890403775597E-2</v>
      </c>
      <c r="F99" s="65"/>
      <c r="G99" s="63">
        <v>35765</v>
      </c>
      <c r="H99" s="39">
        <v>24.01</v>
      </c>
      <c r="I99" s="39">
        <v>27.86</v>
      </c>
      <c r="J99" s="40">
        <f t="shared" si="18"/>
        <v>-0.13819095477386922</v>
      </c>
      <c r="K99" s="67"/>
      <c r="L99" s="68">
        <v>35765</v>
      </c>
      <c r="M99" s="69">
        <v>970.4</v>
      </c>
      <c r="N99" s="69">
        <v>955.4</v>
      </c>
      <c r="O99" s="70">
        <f t="shared" si="14"/>
        <v>1.5700230270043969E-2</v>
      </c>
      <c r="P99" s="67"/>
      <c r="Q99" s="38">
        <v>35765</v>
      </c>
      <c r="R99" s="39">
        <v>2.2639999999999998</v>
      </c>
      <c r="S99" s="39">
        <v>2.66</v>
      </c>
      <c r="T99" s="40">
        <f t="shared" si="20"/>
        <v>-0.14887218045112793</v>
      </c>
      <c r="U99" s="67"/>
      <c r="V99" s="38">
        <v>35765</v>
      </c>
      <c r="W99" s="39">
        <v>0.49719999999999998</v>
      </c>
      <c r="X99" s="39">
        <v>0.54959999999999998</v>
      </c>
      <c r="Y99" s="40">
        <f t="shared" si="15"/>
        <v>-9.5342066957787464E-2</v>
      </c>
      <c r="Z99" s="67"/>
      <c r="AA99" s="71">
        <v>35765</v>
      </c>
      <c r="AB99" s="72">
        <v>289.89999999999998</v>
      </c>
      <c r="AC99" s="72">
        <v>298.5</v>
      </c>
      <c r="AD99" s="73">
        <f t="shared" si="16"/>
        <v>-2.8810720268006795E-2</v>
      </c>
      <c r="AE99" s="67"/>
      <c r="AF99" s="71">
        <v>35765</v>
      </c>
      <c r="AG99" s="72">
        <v>99.65</v>
      </c>
      <c r="AH99" s="72">
        <v>97.69</v>
      </c>
      <c r="AI99" s="73">
        <f t="shared" si="17"/>
        <v>2.0063466066127633E-2</v>
      </c>
      <c r="AJ99" s="67"/>
      <c r="AK99" s="74">
        <v>35795</v>
      </c>
      <c r="AL99" s="41">
        <v>5.7500000000000002E-2</v>
      </c>
      <c r="AM99" s="41">
        <f t="shared" si="19"/>
        <v>-1.1000000000000038E-3</v>
      </c>
      <c r="AN99" s="67"/>
      <c r="AO99" s="75">
        <v>35765</v>
      </c>
      <c r="AP99" s="76">
        <v>563434.5</v>
      </c>
      <c r="AQ99" s="80">
        <f t="shared" si="7"/>
        <v>-1.0205163724075206E-5</v>
      </c>
      <c r="AR99" s="67"/>
      <c r="AS99" s="94">
        <v>35765</v>
      </c>
      <c r="AT99" s="78">
        <v>0.96424999999999994</v>
      </c>
      <c r="AU99" s="67"/>
      <c r="AV99" s="79">
        <v>35765</v>
      </c>
      <c r="AW99" s="76">
        <v>300018.5</v>
      </c>
      <c r="AX99" s="80">
        <f t="shared" si="8"/>
        <v>-1.0887461273766386E-3</v>
      </c>
      <c r="AY99" s="67"/>
      <c r="AZ99" s="81">
        <v>35765</v>
      </c>
      <c r="BA99" s="82">
        <v>43.998268127441406</v>
      </c>
      <c r="BB99" s="82">
        <v>48.362331390380859</v>
      </c>
      <c r="BC99" s="67"/>
      <c r="BD99" s="83">
        <v>35779</v>
      </c>
      <c r="BE99" s="42">
        <v>6531</v>
      </c>
      <c r="BF99" s="41">
        <f t="shared" si="9"/>
        <v>1.1147236414305706E-2</v>
      </c>
      <c r="BG99" s="67"/>
      <c r="BH99" s="84">
        <v>35765</v>
      </c>
      <c r="BI99" s="85">
        <v>83.953800000000001</v>
      </c>
      <c r="BJ99" s="87">
        <f t="shared" si="10"/>
        <v>4.2584852711433641E-3</v>
      </c>
      <c r="BK99" s="67"/>
      <c r="BL99" s="84">
        <v>35765</v>
      </c>
      <c r="BM99" s="86">
        <v>-20.122824000000001</v>
      </c>
      <c r="BN99" s="67"/>
      <c r="BO99" s="88">
        <v>35765</v>
      </c>
      <c r="BP99" s="89">
        <v>0.78100000000000003</v>
      </c>
      <c r="BQ99" s="89">
        <v>0.83199999999999996</v>
      </c>
      <c r="BR99" s="90">
        <f t="shared" si="5"/>
        <v>-6.1298076923076872E-2</v>
      </c>
    </row>
    <row r="100" spans="1:70">
      <c r="A100" s="62">
        <v>35796</v>
      </c>
      <c r="B100" s="63">
        <v>35796</v>
      </c>
      <c r="C100" s="39">
        <v>17.21</v>
      </c>
      <c r="D100" s="64">
        <v>17.68</v>
      </c>
      <c r="E100" s="40">
        <f t="shared" si="13"/>
        <v>-2.6583710407239725E-2</v>
      </c>
      <c r="F100" s="65"/>
      <c r="G100" s="63">
        <v>35796</v>
      </c>
      <c r="H100" s="39">
        <v>21.47</v>
      </c>
      <c r="I100" s="39">
        <v>24.34</v>
      </c>
      <c r="J100" s="40">
        <f t="shared" si="18"/>
        <v>-0.11791290057518489</v>
      </c>
      <c r="K100" s="67"/>
      <c r="L100" s="68">
        <v>35796</v>
      </c>
      <c r="M100" s="69">
        <v>980.3</v>
      </c>
      <c r="N100" s="69">
        <v>970.4</v>
      </c>
      <c r="O100" s="70">
        <f t="shared" si="14"/>
        <v>1.020197856554006E-2</v>
      </c>
      <c r="P100" s="67"/>
      <c r="Q100" s="38">
        <v>35796</v>
      </c>
      <c r="R100" s="39">
        <v>2.2570000000000001</v>
      </c>
      <c r="S100" s="39">
        <v>2.2000000000000002</v>
      </c>
      <c r="T100" s="40">
        <f t="shared" si="20"/>
        <v>2.5909090909090882E-2</v>
      </c>
      <c r="U100" s="67"/>
      <c r="V100" s="38">
        <v>35796</v>
      </c>
      <c r="W100" s="39">
        <v>0.48110000000000003</v>
      </c>
      <c r="X100" s="39">
        <v>0.499</v>
      </c>
      <c r="Y100" s="40">
        <f t="shared" si="15"/>
        <v>-3.5871743486973862E-2</v>
      </c>
      <c r="Z100" s="67"/>
      <c r="AA100" s="71">
        <v>35796</v>
      </c>
      <c r="AB100" s="72">
        <v>304.60000000000002</v>
      </c>
      <c r="AC100" s="72">
        <v>289.39999999999998</v>
      </c>
      <c r="AD100" s="73">
        <f t="shared" si="16"/>
        <v>5.2522460262612425E-2</v>
      </c>
      <c r="AE100" s="67"/>
      <c r="AF100" s="71">
        <v>35796</v>
      </c>
      <c r="AG100" s="72">
        <v>100.79</v>
      </c>
      <c r="AH100" s="72">
        <v>99.24</v>
      </c>
      <c r="AI100" s="73">
        <f t="shared" si="17"/>
        <v>1.5618702136235507E-2</v>
      </c>
      <c r="AJ100" s="67"/>
      <c r="AK100" s="74">
        <v>35826</v>
      </c>
      <c r="AL100" s="41">
        <v>5.5300000000000002E-2</v>
      </c>
      <c r="AM100" s="41">
        <f t="shared" si="19"/>
        <v>-2.2000000000000006E-3</v>
      </c>
      <c r="AN100" s="67"/>
      <c r="AO100" s="75">
        <v>35796</v>
      </c>
      <c r="AP100" s="76">
        <v>563439.19999999995</v>
      </c>
      <c r="AQ100" s="80">
        <f t="shared" si="7"/>
        <v>8.3416972158634195E-6</v>
      </c>
      <c r="AR100" s="67"/>
      <c r="AS100" s="94">
        <v>35796</v>
      </c>
      <c r="AT100" s="78">
        <v>0.94579999999999997</v>
      </c>
      <c r="AU100" s="67"/>
      <c r="AV100" s="79">
        <v>35796</v>
      </c>
      <c r="AW100" s="76">
        <v>297778</v>
      </c>
      <c r="AX100" s="80">
        <f t="shared" si="8"/>
        <v>-7.4678728145097795E-3</v>
      </c>
      <c r="AY100" s="67"/>
      <c r="AZ100" s="81">
        <v>35796</v>
      </c>
      <c r="BA100" s="82">
        <v>53.096302032470703</v>
      </c>
      <c r="BB100" s="82">
        <v>59.821269989013672</v>
      </c>
      <c r="BC100" s="67"/>
      <c r="BD100" s="83">
        <v>35810</v>
      </c>
      <c r="BE100" s="42">
        <v>6541</v>
      </c>
      <c r="BF100" s="41">
        <f t="shared" si="9"/>
        <v>1.5311590874291792E-3</v>
      </c>
      <c r="BG100" s="67"/>
      <c r="BH100" s="84">
        <v>35796</v>
      </c>
      <c r="BI100" s="85">
        <v>84.321799999999996</v>
      </c>
      <c r="BJ100" s="87">
        <f t="shared" si="10"/>
        <v>4.383363230729298E-3</v>
      </c>
      <c r="BK100" s="67"/>
      <c r="BL100" s="84">
        <v>35796</v>
      </c>
      <c r="BM100" s="86">
        <v>-26.689509000000001</v>
      </c>
      <c r="BN100" s="67"/>
      <c r="BO100" s="88">
        <v>35796</v>
      </c>
      <c r="BP100" s="89">
        <v>0.79700000000000004</v>
      </c>
      <c r="BQ100" s="89">
        <v>0.77900000000000003</v>
      </c>
      <c r="BR100" s="90">
        <f t="shared" si="5"/>
        <v>2.3106546854942289E-2</v>
      </c>
    </row>
    <row r="101" spans="1:70">
      <c r="A101" s="62">
        <v>35827</v>
      </c>
      <c r="B101" s="63">
        <v>35827</v>
      </c>
      <c r="C101" s="39">
        <v>15.44</v>
      </c>
      <c r="D101" s="64">
        <v>17.16</v>
      </c>
      <c r="E101" s="40">
        <f t="shared" si="13"/>
        <v>-0.10023310023310028</v>
      </c>
      <c r="F101" s="65"/>
      <c r="G101" s="63">
        <v>35827</v>
      </c>
      <c r="H101" s="39">
        <v>18.55</v>
      </c>
      <c r="I101" s="39">
        <v>21.32</v>
      </c>
      <c r="J101" s="40">
        <f t="shared" si="18"/>
        <v>-0.12992495309568475</v>
      </c>
      <c r="K101" s="67"/>
      <c r="L101" s="68">
        <v>35827</v>
      </c>
      <c r="M101" s="98">
        <v>1049.3</v>
      </c>
      <c r="N101" s="98">
        <v>980.3</v>
      </c>
      <c r="O101" s="70">
        <f t="shared" si="14"/>
        <v>7.0386616341936215E-2</v>
      </c>
      <c r="P101" s="67"/>
      <c r="Q101" s="38">
        <v>35827</v>
      </c>
      <c r="R101" s="39">
        <v>2.3210000000000002</v>
      </c>
      <c r="S101" s="39">
        <v>2.2200000000000002</v>
      </c>
      <c r="T101" s="40">
        <f t="shared" si="20"/>
        <v>4.5495495495495586E-2</v>
      </c>
      <c r="U101" s="67"/>
      <c r="V101" s="38">
        <v>35827</v>
      </c>
      <c r="W101" s="39">
        <v>0.43459999999999999</v>
      </c>
      <c r="X101" s="39">
        <v>0.48599999999999999</v>
      </c>
      <c r="Y101" s="40">
        <f t="shared" si="15"/>
        <v>-0.10576131687242796</v>
      </c>
      <c r="Z101" s="67"/>
      <c r="AA101" s="71">
        <v>35827</v>
      </c>
      <c r="AB101" s="72">
        <v>300.10000000000002</v>
      </c>
      <c r="AC101" s="72">
        <v>304.60000000000002</v>
      </c>
      <c r="AD101" s="73">
        <f t="shared" si="16"/>
        <v>-1.4773473407747817E-2</v>
      </c>
      <c r="AE101" s="67"/>
      <c r="AF101" s="71">
        <v>35827</v>
      </c>
      <c r="AG101" s="72">
        <v>99.82</v>
      </c>
      <c r="AH101" s="72">
        <v>100.78</v>
      </c>
      <c r="AI101" s="73">
        <f t="shared" si="17"/>
        <v>-9.5256995435603065E-3</v>
      </c>
      <c r="AJ101" s="67"/>
      <c r="AK101" s="74">
        <v>35854</v>
      </c>
      <c r="AL101" s="41">
        <v>5.62E-2</v>
      </c>
      <c r="AM101" s="41">
        <f t="shared" si="19"/>
        <v>8.9999999999999802E-4</v>
      </c>
      <c r="AN101" s="67"/>
      <c r="AO101" s="75">
        <v>35827</v>
      </c>
      <c r="AP101" s="76">
        <v>563429.75</v>
      </c>
      <c r="AQ101" s="80">
        <f t="shared" si="7"/>
        <v>-1.6771995984599108E-5</v>
      </c>
      <c r="AR101" s="67"/>
      <c r="AS101" s="94">
        <v>35827</v>
      </c>
      <c r="AT101" s="78">
        <v>0.90599999999999992</v>
      </c>
      <c r="AU101" s="67"/>
      <c r="AV101" s="79">
        <v>35827</v>
      </c>
      <c r="AW101" s="76">
        <v>307301.25</v>
      </c>
      <c r="AX101" s="80">
        <f t="shared" si="8"/>
        <v>3.1981039566388425E-2</v>
      </c>
      <c r="AY101" s="67"/>
      <c r="AZ101" s="81">
        <v>35827</v>
      </c>
      <c r="BA101" s="82">
        <v>77.597618103027344</v>
      </c>
      <c r="BB101" s="82">
        <v>101.84082794189453</v>
      </c>
      <c r="BC101" s="67"/>
      <c r="BD101" s="83">
        <v>35841</v>
      </c>
      <c r="BE101" s="42">
        <v>6476</v>
      </c>
      <c r="BF101" s="41">
        <f t="shared" si="9"/>
        <v>-9.9373184528359637E-3</v>
      </c>
      <c r="BG101" s="67"/>
      <c r="BH101" s="84">
        <v>35827</v>
      </c>
      <c r="BI101" s="85">
        <v>84.458299999999994</v>
      </c>
      <c r="BJ101" s="87">
        <f t="shared" si="10"/>
        <v>1.618798460184756E-3</v>
      </c>
      <c r="BK101" s="67"/>
      <c r="BL101" s="84">
        <v>35827</v>
      </c>
      <c r="BM101" s="86">
        <v>-42.530081000000003</v>
      </c>
      <c r="BN101" s="67"/>
      <c r="BO101" s="88">
        <v>35827</v>
      </c>
      <c r="BP101" s="89">
        <v>0.77049999999999996</v>
      </c>
      <c r="BQ101" s="89">
        <v>0.79700000000000004</v>
      </c>
      <c r="BR101" s="90">
        <f t="shared" si="5"/>
        <v>-3.3249686323714056E-2</v>
      </c>
    </row>
    <row r="102" spans="1:70">
      <c r="A102" s="62">
        <v>35855</v>
      </c>
      <c r="B102" s="63">
        <v>35855</v>
      </c>
      <c r="C102" s="39">
        <v>15.61</v>
      </c>
      <c r="D102" s="64">
        <v>15.5</v>
      </c>
      <c r="E102" s="40">
        <f t="shared" si="13"/>
        <v>7.0967741935483719E-3</v>
      </c>
      <c r="F102" s="65"/>
      <c r="G102" s="63">
        <v>35855</v>
      </c>
      <c r="H102" s="39">
        <v>24.22</v>
      </c>
      <c r="I102" s="39">
        <v>18.97</v>
      </c>
      <c r="J102" s="40">
        <f t="shared" si="18"/>
        <v>0.2767527675276753</v>
      </c>
      <c r="K102" s="67"/>
      <c r="L102" s="68">
        <v>35855</v>
      </c>
      <c r="M102" s="98">
        <v>1101.8</v>
      </c>
      <c r="N102" s="98">
        <v>1049.3</v>
      </c>
      <c r="O102" s="70">
        <f t="shared" si="14"/>
        <v>5.0033355570380245E-2</v>
      </c>
      <c r="P102" s="67"/>
      <c r="Q102" s="38">
        <v>35855</v>
      </c>
      <c r="R102" s="39">
        <v>2.5219999999999998</v>
      </c>
      <c r="S102" s="39">
        <v>2.335</v>
      </c>
      <c r="T102" s="40">
        <f t="shared" si="20"/>
        <v>8.0085653104924992E-2</v>
      </c>
      <c r="U102" s="67"/>
      <c r="V102" s="38">
        <v>35855</v>
      </c>
      <c r="W102" s="39">
        <v>0.43419999999999997</v>
      </c>
      <c r="X102" s="39">
        <v>0.44700000000000001</v>
      </c>
      <c r="Y102" s="40">
        <f t="shared" si="15"/>
        <v>-2.8635346756152202E-2</v>
      </c>
      <c r="Z102" s="67"/>
      <c r="AA102" s="71">
        <v>35855</v>
      </c>
      <c r="AB102" s="72">
        <v>303.3</v>
      </c>
      <c r="AC102" s="72">
        <v>300</v>
      </c>
      <c r="AD102" s="73">
        <f t="shared" si="16"/>
        <v>1.1000000000000121E-2</v>
      </c>
      <c r="AE102" s="67"/>
      <c r="AF102" s="71">
        <v>35855</v>
      </c>
      <c r="AG102" s="72">
        <v>101.5</v>
      </c>
      <c r="AH102" s="72">
        <v>99.72</v>
      </c>
      <c r="AI102" s="73">
        <f t="shared" si="17"/>
        <v>1.7849979943842742E-2</v>
      </c>
      <c r="AJ102" s="67"/>
      <c r="AK102" s="74">
        <v>35885</v>
      </c>
      <c r="AL102" s="41">
        <v>5.67E-2</v>
      </c>
      <c r="AM102" s="41">
        <f t="shared" si="19"/>
        <v>5.0000000000000044E-4</v>
      </c>
      <c r="AN102" s="67"/>
      <c r="AO102" s="75">
        <v>35855</v>
      </c>
      <c r="AP102" s="76">
        <v>563427</v>
      </c>
      <c r="AQ102" s="80">
        <f t="shared" si="7"/>
        <v>-4.8808214333506683E-6</v>
      </c>
      <c r="AR102" s="67"/>
      <c r="AS102" s="94">
        <v>35855</v>
      </c>
      <c r="AT102" s="78">
        <v>0.9395</v>
      </c>
      <c r="AU102" s="67"/>
      <c r="AV102" s="79">
        <v>35855</v>
      </c>
      <c r="AW102" s="76">
        <v>309284.25</v>
      </c>
      <c r="AX102" s="80">
        <f t="shared" si="8"/>
        <v>6.4529512977899994E-3</v>
      </c>
      <c r="AY102" s="67"/>
      <c r="AZ102" s="81">
        <v>35855</v>
      </c>
      <c r="BA102" s="82">
        <v>57.248062133789063</v>
      </c>
      <c r="BB102" s="82">
        <v>65.501998901367188</v>
      </c>
      <c r="BC102" s="67"/>
      <c r="BD102" s="83">
        <v>35869</v>
      </c>
      <c r="BE102" s="42">
        <v>6408</v>
      </c>
      <c r="BF102" s="41">
        <f t="shared" si="9"/>
        <v>-1.050030883261277E-2</v>
      </c>
      <c r="BG102" s="67"/>
      <c r="BH102" s="84">
        <v>35855</v>
      </c>
      <c r="BI102" s="85">
        <v>84.488</v>
      </c>
      <c r="BJ102" s="87">
        <f t="shared" si="10"/>
        <v>3.5165282749005655E-4</v>
      </c>
      <c r="BK102" s="67"/>
      <c r="BL102" s="84">
        <v>35855</v>
      </c>
      <c r="BM102" s="86">
        <v>-35.497272000000002</v>
      </c>
      <c r="BN102" s="67"/>
      <c r="BO102" s="88">
        <v>35855</v>
      </c>
      <c r="BP102" s="89">
        <v>0.80100000000000005</v>
      </c>
      <c r="BQ102" s="89">
        <v>0.77900000000000003</v>
      </c>
      <c r="BR102" s="90">
        <f t="shared" si="5"/>
        <v>2.8241335044929317E-2</v>
      </c>
    </row>
    <row r="103" spans="1:70">
      <c r="A103" s="62">
        <v>35886</v>
      </c>
      <c r="B103" s="63">
        <v>35886</v>
      </c>
      <c r="C103" s="39">
        <v>15.39</v>
      </c>
      <c r="D103" s="64">
        <v>15.6</v>
      </c>
      <c r="E103" s="40">
        <f t="shared" si="13"/>
        <v>-1.3461538461538414E-2</v>
      </c>
      <c r="F103" s="65"/>
      <c r="G103" s="63">
        <v>35886</v>
      </c>
      <c r="H103" s="39">
        <v>21.18</v>
      </c>
      <c r="I103" s="39">
        <v>24.85</v>
      </c>
      <c r="J103" s="40">
        <f t="shared" si="18"/>
        <v>-0.14768611670020126</v>
      </c>
      <c r="K103" s="67"/>
      <c r="L103" s="68">
        <v>35886</v>
      </c>
      <c r="M103" s="98">
        <v>1111.8</v>
      </c>
      <c r="N103" s="98">
        <v>1101.8</v>
      </c>
      <c r="O103" s="70">
        <f t="shared" si="14"/>
        <v>9.0760573606825101E-3</v>
      </c>
      <c r="P103" s="67"/>
      <c r="Q103" s="38">
        <v>35886</v>
      </c>
      <c r="R103" s="39">
        <v>2.2210000000000001</v>
      </c>
      <c r="S103" s="39">
        <v>2.5299999999999998</v>
      </c>
      <c r="T103" s="40">
        <f t="shared" si="20"/>
        <v>-0.12213438735177851</v>
      </c>
      <c r="U103" s="67"/>
      <c r="V103" s="38">
        <v>35886</v>
      </c>
      <c r="W103" s="39">
        <v>0.44209999999999999</v>
      </c>
      <c r="X103" s="39">
        <v>0.442</v>
      </c>
      <c r="Y103" s="40">
        <f t="shared" si="15"/>
        <v>2.2624434389140191E-4</v>
      </c>
      <c r="Z103" s="67"/>
      <c r="AA103" s="71">
        <v>35886</v>
      </c>
      <c r="AB103" s="72">
        <v>307.89999999999998</v>
      </c>
      <c r="AC103" s="72">
        <v>303.3</v>
      </c>
      <c r="AD103" s="73">
        <f t="shared" si="16"/>
        <v>1.5166501813385969E-2</v>
      </c>
      <c r="AE103" s="67"/>
      <c r="AF103" s="71">
        <v>35886</v>
      </c>
      <c r="AG103" s="72">
        <v>99.71</v>
      </c>
      <c r="AH103" s="72">
        <v>101.53</v>
      </c>
      <c r="AI103" s="73">
        <f t="shared" si="17"/>
        <v>-1.7925736235595457E-2</v>
      </c>
      <c r="AJ103" s="67"/>
      <c r="AK103" s="74">
        <v>35915</v>
      </c>
      <c r="AL103" s="41">
        <v>5.6799999999999996E-2</v>
      </c>
      <c r="AM103" s="41">
        <f t="shared" si="19"/>
        <v>9.9999999999995925E-5</v>
      </c>
      <c r="AN103" s="67"/>
      <c r="AO103" s="75">
        <v>35886</v>
      </c>
      <c r="AP103" s="76">
        <v>563426</v>
      </c>
      <c r="AQ103" s="80">
        <f t="shared" si="7"/>
        <v>-1.7748528203798131E-6</v>
      </c>
      <c r="AR103" s="67"/>
      <c r="AS103" s="94">
        <v>35886</v>
      </c>
      <c r="AT103" s="78">
        <v>0.96125000000000005</v>
      </c>
      <c r="AU103" s="67"/>
      <c r="AV103" s="79">
        <v>35886</v>
      </c>
      <c r="AW103" s="76">
        <v>321145.75</v>
      </c>
      <c r="AX103" s="80">
        <f t="shared" si="8"/>
        <v>3.8351451779390588E-2</v>
      </c>
      <c r="AY103" s="67"/>
      <c r="AZ103" s="81">
        <v>35886</v>
      </c>
      <c r="BA103" s="82">
        <v>50.99658203125</v>
      </c>
      <c r="BB103" s="82">
        <v>58.767383575439453</v>
      </c>
      <c r="BC103" s="67"/>
      <c r="BD103" s="83">
        <v>35900</v>
      </c>
      <c r="BE103" s="42">
        <v>6483</v>
      </c>
      <c r="BF103" s="41">
        <f t="shared" si="9"/>
        <v>1.1704119850187267E-2</v>
      </c>
      <c r="BG103" s="67"/>
      <c r="BH103" s="84">
        <v>35886</v>
      </c>
      <c r="BI103" s="85">
        <v>84.777900000000002</v>
      </c>
      <c r="BJ103" s="87">
        <f t="shared" si="10"/>
        <v>3.4312565098002512E-3</v>
      </c>
      <c r="BK103" s="67"/>
      <c r="BL103" s="84">
        <v>35886</v>
      </c>
      <c r="BM103" s="86">
        <v>-42.420299</v>
      </c>
      <c r="BN103" s="67"/>
      <c r="BO103" s="88">
        <v>35886</v>
      </c>
      <c r="BP103" s="89">
        <v>0.83699999999999997</v>
      </c>
      <c r="BQ103" s="89">
        <v>0.78600000000000003</v>
      </c>
      <c r="BR103" s="90">
        <f t="shared" si="5"/>
        <v>6.4885496183205937E-2</v>
      </c>
    </row>
    <row r="104" spans="1:70">
      <c r="A104" s="62">
        <v>35916</v>
      </c>
      <c r="B104" s="63">
        <v>35916</v>
      </c>
      <c r="C104" s="39">
        <v>15.2</v>
      </c>
      <c r="D104" s="64">
        <v>15.51</v>
      </c>
      <c r="E104" s="40">
        <f t="shared" si="13"/>
        <v>-1.9987105093488111E-2</v>
      </c>
      <c r="F104" s="65"/>
      <c r="G104" s="63">
        <v>35916</v>
      </c>
      <c r="H104" s="39">
        <v>21.32</v>
      </c>
      <c r="I104" s="39">
        <v>20.72</v>
      </c>
      <c r="J104" s="40">
        <f t="shared" si="18"/>
        <v>2.8957528957529011E-2</v>
      </c>
      <c r="K104" s="67"/>
      <c r="L104" s="68">
        <v>35916</v>
      </c>
      <c r="M104" s="98">
        <v>1090.8</v>
      </c>
      <c r="N104" s="98">
        <v>1111.8</v>
      </c>
      <c r="O104" s="70">
        <f t="shared" si="14"/>
        <v>-1.8888289260658442E-2</v>
      </c>
      <c r="P104" s="67"/>
      <c r="Q104" s="38">
        <v>35916</v>
      </c>
      <c r="R104" s="39">
        <v>2.17</v>
      </c>
      <c r="S104" s="39">
        <v>2.2200000000000002</v>
      </c>
      <c r="T104" s="40">
        <f t="shared" si="20"/>
        <v>-2.2522522522522626E-2</v>
      </c>
      <c r="U104" s="67"/>
      <c r="V104" s="38">
        <v>35916</v>
      </c>
      <c r="W104" s="39">
        <v>0.4037</v>
      </c>
      <c r="X104" s="39">
        <v>0.45350000000000001</v>
      </c>
      <c r="Y104" s="40">
        <f t="shared" si="15"/>
        <v>-0.10981256890848956</v>
      </c>
      <c r="Z104" s="67"/>
      <c r="AA104" s="71">
        <v>35916</v>
      </c>
      <c r="AB104" s="72">
        <v>295.10000000000002</v>
      </c>
      <c r="AC104" s="72">
        <v>308</v>
      </c>
      <c r="AD104" s="73">
        <f t="shared" si="16"/>
        <v>-4.1883116883116855E-2</v>
      </c>
      <c r="AE104" s="67"/>
      <c r="AF104" s="71">
        <v>35916</v>
      </c>
      <c r="AG104" s="72">
        <v>100.45</v>
      </c>
      <c r="AH104" s="72">
        <v>99.74</v>
      </c>
      <c r="AI104" s="73">
        <f t="shared" si="17"/>
        <v>7.1185081211149193E-3</v>
      </c>
      <c r="AJ104" s="67"/>
      <c r="AK104" s="74">
        <v>35946</v>
      </c>
      <c r="AL104" s="41">
        <v>5.5599999999999997E-2</v>
      </c>
      <c r="AM104" s="41">
        <f t="shared" si="19"/>
        <v>-1.1999999999999997E-3</v>
      </c>
      <c r="AN104" s="67"/>
      <c r="AO104" s="92">
        <v>35916</v>
      </c>
      <c r="AP104" s="76">
        <v>563426</v>
      </c>
      <c r="AQ104" s="80">
        <f t="shared" si="7"/>
        <v>0</v>
      </c>
      <c r="AR104" s="67"/>
      <c r="AS104" s="97">
        <v>35916</v>
      </c>
      <c r="AT104" s="78">
        <v>0.97499999999999998</v>
      </c>
      <c r="AU104" s="67"/>
      <c r="AV104" s="93">
        <v>35916</v>
      </c>
      <c r="AW104" s="76">
        <v>331415.40000000002</v>
      </c>
      <c r="AX104" s="80">
        <f t="shared" si="8"/>
        <v>3.1978159449408849E-2</v>
      </c>
      <c r="AY104" s="67"/>
      <c r="AZ104" s="81">
        <v>35916</v>
      </c>
      <c r="BA104" s="82">
        <v>94.473487854003906</v>
      </c>
      <c r="BB104" s="82">
        <v>129.79888916015625</v>
      </c>
      <c r="BC104" s="67"/>
      <c r="BD104" s="83">
        <v>35930</v>
      </c>
      <c r="BE104" s="42">
        <v>6347</v>
      </c>
      <c r="BF104" s="41">
        <f t="shared" si="9"/>
        <v>-2.0977942310658637E-2</v>
      </c>
      <c r="BG104" s="67"/>
      <c r="BH104" s="84">
        <v>35916</v>
      </c>
      <c r="BI104" s="85">
        <v>85.336699999999993</v>
      </c>
      <c r="BJ104" s="87">
        <f t="shared" si="10"/>
        <v>6.5913404318813651E-3</v>
      </c>
      <c r="BK104" s="67"/>
      <c r="BL104" s="84">
        <v>35916</v>
      </c>
      <c r="BM104" s="86">
        <v>-42.804580000000001</v>
      </c>
      <c r="BN104" s="67"/>
      <c r="BO104" s="88">
        <v>35916</v>
      </c>
      <c r="BP104" s="89">
        <v>0.77800000000000002</v>
      </c>
      <c r="BQ104" s="89">
        <v>0.83599999999999997</v>
      </c>
      <c r="BR104" s="90">
        <f t="shared" si="5"/>
        <v>-6.9377990430621983E-2</v>
      </c>
    </row>
    <row r="105" spans="1:70">
      <c r="A105" s="62">
        <v>35947</v>
      </c>
      <c r="B105" s="63">
        <v>35947</v>
      </c>
      <c r="C105" s="39">
        <v>14.18</v>
      </c>
      <c r="D105" s="64">
        <v>15.2</v>
      </c>
      <c r="E105" s="40">
        <f t="shared" si="13"/>
        <v>-6.7105263157894668E-2</v>
      </c>
      <c r="F105" s="65"/>
      <c r="G105" s="63">
        <v>35947</v>
      </c>
      <c r="H105" s="39">
        <v>19.71</v>
      </c>
      <c r="I105" s="39">
        <v>22.71</v>
      </c>
      <c r="J105" s="40">
        <f t="shared" si="18"/>
        <v>-0.13210039630118886</v>
      </c>
      <c r="K105" s="67"/>
      <c r="L105" s="68">
        <v>35947</v>
      </c>
      <c r="M105" s="98">
        <v>1133.8</v>
      </c>
      <c r="N105" s="98">
        <v>1090.8</v>
      </c>
      <c r="O105" s="70">
        <f t="shared" si="14"/>
        <v>3.9420608727539497E-2</v>
      </c>
      <c r="P105" s="67"/>
      <c r="Q105" s="38">
        <v>35947</v>
      </c>
      <c r="R105" s="39">
        <v>2.4689999999999999</v>
      </c>
      <c r="S105" s="39">
        <v>2.145</v>
      </c>
      <c r="T105" s="40">
        <f t="shared" si="20"/>
        <v>0.151048951048951</v>
      </c>
      <c r="U105" s="67"/>
      <c r="V105" s="38">
        <v>35947</v>
      </c>
      <c r="W105" s="39">
        <v>0.39150000000000001</v>
      </c>
      <c r="X105" s="39">
        <v>0.41470000000000001</v>
      </c>
      <c r="Y105" s="40">
        <f t="shared" si="15"/>
        <v>-5.5944055944055937E-2</v>
      </c>
      <c r="Z105" s="67"/>
      <c r="AA105" s="71">
        <v>35947</v>
      </c>
      <c r="AB105" s="72">
        <v>298.10000000000002</v>
      </c>
      <c r="AC105" s="72">
        <v>295.39999999999998</v>
      </c>
      <c r="AD105" s="73">
        <f t="shared" si="16"/>
        <v>9.1401489505755773E-3</v>
      </c>
      <c r="AE105" s="67"/>
      <c r="AF105" s="71">
        <v>35947</v>
      </c>
      <c r="AG105" s="72">
        <v>101.17</v>
      </c>
      <c r="AH105" s="72">
        <v>100.34</v>
      </c>
      <c r="AI105" s="73">
        <f t="shared" si="17"/>
        <v>8.2718756228821189E-3</v>
      </c>
      <c r="AJ105" s="67"/>
      <c r="AK105" s="74">
        <v>35976</v>
      </c>
      <c r="AL105" s="41">
        <v>5.4400000000000004E-2</v>
      </c>
      <c r="AM105" s="41">
        <f t="shared" si="19"/>
        <v>-1.1999999999999927E-3</v>
      </c>
      <c r="AN105" s="67"/>
      <c r="AO105" s="75">
        <v>35947</v>
      </c>
      <c r="AP105" s="76">
        <v>563427</v>
      </c>
      <c r="AQ105" s="80">
        <f t="shared" si="7"/>
        <v>1.7748559704156008E-6</v>
      </c>
      <c r="AR105" s="67"/>
      <c r="AS105" s="94">
        <v>35947</v>
      </c>
      <c r="AT105" s="78">
        <v>0.97924999999999995</v>
      </c>
      <c r="AU105" s="67"/>
      <c r="AV105" s="79">
        <v>35947</v>
      </c>
      <c r="AW105" s="76">
        <v>327098.75</v>
      </c>
      <c r="AX105" s="80">
        <f t="shared" si="8"/>
        <v>-1.3024892627198414E-2</v>
      </c>
      <c r="AY105" s="67"/>
      <c r="AZ105" s="81">
        <v>35947</v>
      </c>
      <c r="BA105" s="82">
        <v>76.309074401855469</v>
      </c>
      <c r="BB105" s="82">
        <v>94.954681396484375</v>
      </c>
      <c r="BC105" s="67"/>
      <c r="BD105" s="83">
        <v>35961</v>
      </c>
      <c r="BE105" s="42">
        <v>6267</v>
      </c>
      <c r="BF105" s="41">
        <f t="shared" si="9"/>
        <v>-1.260438002205766E-2</v>
      </c>
      <c r="BG105" s="67"/>
      <c r="BH105" s="84">
        <v>35947</v>
      </c>
      <c r="BI105" s="85">
        <v>84.824799999999996</v>
      </c>
      <c r="BJ105" s="87">
        <f t="shared" si="10"/>
        <v>-5.9985914618212455E-3</v>
      </c>
      <c r="BK105" s="67"/>
      <c r="BL105" s="84">
        <v>35947</v>
      </c>
      <c r="BM105" s="86">
        <v>-51.711796999999997</v>
      </c>
      <c r="BN105" s="67"/>
      <c r="BO105" s="88">
        <v>35947</v>
      </c>
      <c r="BP105" s="89">
        <v>0.73799999999999999</v>
      </c>
      <c r="BQ105" s="89">
        <v>0.77100000000000002</v>
      </c>
      <c r="BR105" s="90">
        <f t="shared" si="5"/>
        <v>-4.2801556420233533E-2</v>
      </c>
    </row>
    <row r="106" spans="1:70">
      <c r="A106" s="62">
        <v>35977</v>
      </c>
      <c r="B106" s="63">
        <v>35977</v>
      </c>
      <c r="C106" s="39">
        <v>14.21</v>
      </c>
      <c r="D106" s="64">
        <v>14.3</v>
      </c>
      <c r="E106" s="40">
        <f t="shared" si="13"/>
        <v>-6.2937062937062915E-3</v>
      </c>
      <c r="F106" s="65"/>
      <c r="G106" s="63">
        <v>35977</v>
      </c>
      <c r="H106" s="39">
        <v>24.8</v>
      </c>
      <c r="I106" s="39">
        <v>18.989999999999998</v>
      </c>
      <c r="J106" s="40">
        <f t="shared" si="18"/>
        <v>0.30595050026329651</v>
      </c>
      <c r="K106" s="67"/>
      <c r="L106" s="68">
        <v>35977</v>
      </c>
      <c r="M106" s="98">
        <v>1120.7</v>
      </c>
      <c r="N106" s="98">
        <v>1133.8</v>
      </c>
      <c r="O106" s="70">
        <f t="shared" si="14"/>
        <v>-1.1554065972834593E-2</v>
      </c>
      <c r="P106" s="67"/>
      <c r="Q106" s="38">
        <v>35977</v>
      </c>
      <c r="R106" s="39">
        <v>1.8440000000000001</v>
      </c>
      <c r="S106" s="39">
        <v>2.4700000000000002</v>
      </c>
      <c r="T106" s="40">
        <f t="shared" si="20"/>
        <v>-0.2534412955465587</v>
      </c>
      <c r="U106" s="67"/>
      <c r="V106" s="38">
        <v>35977</v>
      </c>
      <c r="W106" s="39">
        <v>0.36730000000000002</v>
      </c>
      <c r="X106" s="39">
        <v>0.40350000000000003</v>
      </c>
      <c r="Y106" s="40">
        <f t="shared" si="15"/>
        <v>-8.9714993804213106E-2</v>
      </c>
      <c r="Z106" s="67"/>
      <c r="AA106" s="71">
        <v>35977</v>
      </c>
      <c r="AB106" s="72">
        <v>290.5</v>
      </c>
      <c r="AC106" s="72">
        <v>297.8</v>
      </c>
      <c r="AD106" s="73">
        <f t="shared" si="16"/>
        <v>-2.4513096037609206E-2</v>
      </c>
      <c r="AE106" s="67"/>
      <c r="AF106" s="71">
        <v>35977</v>
      </c>
      <c r="AG106" s="72">
        <v>101.2</v>
      </c>
      <c r="AH106" s="72">
        <v>101.02</v>
      </c>
      <c r="AI106" s="73">
        <f t="shared" si="17"/>
        <v>1.7818253811128226E-3</v>
      </c>
      <c r="AJ106" s="67"/>
      <c r="AK106" s="74">
        <v>36007</v>
      </c>
      <c r="AL106" s="41">
        <v>5.5E-2</v>
      </c>
      <c r="AM106" s="41">
        <f t="shared" si="19"/>
        <v>5.9999999999999637E-4</v>
      </c>
      <c r="AN106" s="67"/>
      <c r="AO106" s="75">
        <v>35977</v>
      </c>
      <c r="AP106" s="76">
        <v>563428.80000000005</v>
      </c>
      <c r="AQ106" s="80">
        <f t="shared" si="7"/>
        <v>3.194735076705868E-6</v>
      </c>
      <c r="AR106" s="67"/>
      <c r="AS106" s="94">
        <v>35977</v>
      </c>
      <c r="AT106" s="78">
        <v>0.98939999999999995</v>
      </c>
      <c r="AU106" s="67"/>
      <c r="AV106" s="79">
        <v>35977</v>
      </c>
      <c r="AW106" s="76">
        <v>323744.2</v>
      </c>
      <c r="AX106" s="80">
        <f t="shared" si="8"/>
        <v>-1.0255465665949481E-2</v>
      </c>
      <c r="AY106" s="67"/>
      <c r="AZ106" s="81">
        <v>35977</v>
      </c>
      <c r="BA106" s="82">
        <v>54.048416137695313</v>
      </c>
      <c r="BB106" s="82">
        <v>64.226280212402344</v>
      </c>
      <c r="BC106" s="67"/>
      <c r="BD106" s="83">
        <v>35991</v>
      </c>
      <c r="BE106" s="42">
        <v>6194</v>
      </c>
      <c r="BF106" s="41">
        <f t="shared" si="9"/>
        <v>-1.1648316578905415E-2</v>
      </c>
      <c r="BG106" s="67"/>
      <c r="BH106" s="84">
        <v>35977</v>
      </c>
      <c r="BI106" s="85">
        <v>84.498599999999996</v>
      </c>
      <c r="BJ106" s="87">
        <f t="shared" si="10"/>
        <v>-3.8455734643642048E-3</v>
      </c>
      <c r="BK106" s="67"/>
      <c r="BL106" s="84">
        <v>35977</v>
      </c>
      <c r="BM106" s="86">
        <v>-58.355224</v>
      </c>
      <c r="BN106" s="67"/>
      <c r="BO106" s="88">
        <v>35977</v>
      </c>
      <c r="BP106" s="89">
        <v>0.76949999999999996</v>
      </c>
      <c r="BQ106" s="89">
        <v>0.74099999999999999</v>
      </c>
      <c r="BR106" s="90">
        <f t="shared" si="5"/>
        <v>3.8461538461538325E-2</v>
      </c>
    </row>
    <row r="107" spans="1:70">
      <c r="A107" s="62">
        <v>36008</v>
      </c>
      <c r="B107" s="63">
        <v>36008</v>
      </c>
      <c r="C107" s="39">
        <v>13.34</v>
      </c>
      <c r="D107" s="64">
        <v>14.23</v>
      </c>
      <c r="E107" s="40">
        <f t="shared" si="13"/>
        <v>-6.254392129304287E-2</v>
      </c>
      <c r="F107" s="65"/>
      <c r="G107" s="63">
        <v>36008</v>
      </c>
      <c r="H107" s="39">
        <v>44.28</v>
      </c>
      <c r="I107" s="39">
        <v>26.15</v>
      </c>
      <c r="J107" s="40">
        <f t="shared" si="18"/>
        <v>0.69330783938814555</v>
      </c>
      <c r="K107" s="67"/>
      <c r="L107" s="68">
        <v>36008</v>
      </c>
      <c r="M107" s="98">
        <v>957.3</v>
      </c>
      <c r="N107" s="98">
        <v>1120.7</v>
      </c>
      <c r="O107" s="70">
        <f t="shared" si="14"/>
        <v>-0.14580173106094407</v>
      </c>
      <c r="P107" s="67"/>
      <c r="Q107" s="38">
        <v>36008</v>
      </c>
      <c r="R107" s="39">
        <v>1.752</v>
      </c>
      <c r="S107" s="39">
        <v>1.84</v>
      </c>
      <c r="T107" s="40">
        <f t="shared" si="20"/>
        <v>-4.7826086956521796E-2</v>
      </c>
      <c r="U107" s="67"/>
      <c r="V107" s="38">
        <v>36008</v>
      </c>
      <c r="W107" s="39">
        <v>0.3569</v>
      </c>
      <c r="X107" s="39">
        <v>0.38500000000000001</v>
      </c>
      <c r="Y107" s="40">
        <f t="shared" si="15"/>
        <v>-7.2987012987013045E-2</v>
      </c>
      <c r="Z107" s="67"/>
      <c r="AA107" s="71">
        <v>36008</v>
      </c>
      <c r="AB107" s="72">
        <v>278.89999999999998</v>
      </c>
      <c r="AC107" s="72">
        <v>291</v>
      </c>
      <c r="AD107" s="73">
        <f t="shared" si="16"/>
        <v>-4.1580756013745779E-2</v>
      </c>
      <c r="AE107" s="67"/>
      <c r="AF107" s="71">
        <v>36008</v>
      </c>
      <c r="AG107" s="72">
        <v>100.2</v>
      </c>
      <c r="AH107" s="72">
        <v>101.12</v>
      </c>
      <c r="AI107" s="73">
        <f t="shared" si="17"/>
        <v>-9.0981012658227778E-3</v>
      </c>
      <c r="AJ107" s="67"/>
      <c r="AK107" s="74">
        <v>36038</v>
      </c>
      <c r="AL107" s="41">
        <v>5.0499999999999996E-2</v>
      </c>
      <c r="AM107" s="41">
        <f t="shared" si="19"/>
        <v>-4.500000000000004E-3</v>
      </c>
      <c r="AN107" s="67"/>
      <c r="AO107" s="75">
        <v>36008</v>
      </c>
      <c r="AP107" s="76">
        <v>563427.5</v>
      </c>
      <c r="AQ107" s="80">
        <f t="shared" si="7"/>
        <v>-2.3073012952457006E-6</v>
      </c>
      <c r="AR107" s="67"/>
      <c r="AS107" s="94">
        <v>36008</v>
      </c>
      <c r="AT107" s="78">
        <v>0.99325000000000008</v>
      </c>
      <c r="AU107" s="67"/>
      <c r="AV107" s="79">
        <v>36008</v>
      </c>
      <c r="AW107" s="76">
        <v>324504</v>
      </c>
      <c r="AX107" s="80">
        <f t="shared" si="8"/>
        <v>2.3469146319841094E-3</v>
      </c>
      <c r="AY107" s="67"/>
      <c r="AZ107" s="81">
        <v>36008</v>
      </c>
      <c r="BA107" s="82">
        <v>97.020858764648438</v>
      </c>
      <c r="BB107" s="82">
        <v>83.938552856445313</v>
      </c>
      <c r="BC107" s="67"/>
      <c r="BD107" s="83">
        <v>36022</v>
      </c>
      <c r="BE107" s="42">
        <v>6203</v>
      </c>
      <c r="BF107" s="41">
        <f t="shared" si="9"/>
        <v>1.4530190506942819E-3</v>
      </c>
      <c r="BG107" s="67"/>
      <c r="BH107" s="84">
        <v>36008</v>
      </c>
      <c r="BI107" s="85">
        <v>86.248000000000005</v>
      </c>
      <c r="BJ107" s="87">
        <f t="shared" si="10"/>
        <v>2.0703301593162582E-2</v>
      </c>
      <c r="BK107" s="67"/>
      <c r="BL107" s="84">
        <v>36008</v>
      </c>
      <c r="BM107" s="86">
        <v>-63.314424000000002</v>
      </c>
      <c r="BN107" s="67"/>
      <c r="BO107" s="88">
        <v>36008</v>
      </c>
      <c r="BP107" s="89">
        <v>0.71550000000000002</v>
      </c>
      <c r="BQ107" s="89">
        <v>0.75649999999999995</v>
      </c>
      <c r="BR107" s="90">
        <f t="shared" si="5"/>
        <v>-5.4196959682749402E-2</v>
      </c>
    </row>
    <row r="108" spans="1:70">
      <c r="A108" s="62">
        <v>36039</v>
      </c>
      <c r="B108" s="63">
        <v>36039</v>
      </c>
      <c r="C108" s="39">
        <v>16.14</v>
      </c>
      <c r="D108" s="64">
        <v>13.27</v>
      </c>
      <c r="E108" s="40">
        <f t="shared" si="13"/>
        <v>0.21627731725697075</v>
      </c>
      <c r="F108" s="65"/>
      <c r="G108" s="63">
        <v>36039</v>
      </c>
      <c r="H108" s="39">
        <v>40.950000000000003</v>
      </c>
      <c r="I108" s="39">
        <v>41.74</v>
      </c>
      <c r="J108" s="40">
        <f t="shared" si="18"/>
        <v>-1.8926689027311872E-2</v>
      </c>
      <c r="K108" s="67"/>
      <c r="L108" s="68">
        <v>36039</v>
      </c>
      <c r="M108" s="98">
        <v>1017</v>
      </c>
      <c r="N108" s="98">
        <v>957.3</v>
      </c>
      <c r="O108" s="70">
        <f t="shared" si="14"/>
        <v>6.2362895643998772E-2</v>
      </c>
      <c r="P108" s="67"/>
      <c r="Q108" s="38">
        <v>36039</v>
      </c>
      <c r="R108" s="39">
        <v>2.4329999999999998</v>
      </c>
      <c r="S108" s="39">
        <v>1.7629999999999999</v>
      </c>
      <c r="T108" s="40">
        <f t="shared" si="20"/>
        <v>0.3800340328984686</v>
      </c>
      <c r="U108" s="67"/>
      <c r="V108" s="38">
        <v>36039</v>
      </c>
      <c r="W108" s="39">
        <v>0.434</v>
      </c>
      <c r="X108" s="39">
        <v>0.36849999999999999</v>
      </c>
      <c r="Y108" s="40">
        <f t="shared" si="15"/>
        <v>0.17774762550881951</v>
      </c>
      <c r="Z108" s="67"/>
      <c r="AA108" s="71">
        <v>36039</v>
      </c>
      <c r="AB108" s="72">
        <v>299</v>
      </c>
      <c r="AC108" s="72">
        <v>279.3</v>
      </c>
      <c r="AD108" s="73">
        <f t="shared" si="16"/>
        <v>7.0533476548514162E-2</v>
      </c>
      <c r="AE108" s="67"/>
      <c r="AF108" s="71">
        <v>36039</v>
      </c>
      <c r="AG108" s="72">
        <v>96.17</v>
      </c>
      <c r="AH108" s="72">
        <v>99.72</v>
      </c>
      <c r="AI108" s="73">
        <f t="shared" si="17"/>
        <v>-3.5599679101484094E-2</v>
      </c>
      <c r="AJ108" s="67"/>
      <c r="AK108" s="74">
        <v>36068</v>
      </c>
      <c r="AL108" s="41">
        <v>4.4400000000000002E-2</v>
      </c>
      <c r="AM108" s="41">
        <f t="shared" si="19"/>
        <v>-6.0999999999999943E-3</v>
      </c>
      <c r="AN108" s="67"/>
      <c r="AO108" s="75">
        <v>36039</v>
      </c>
      <c r="AP108" s="76">
        <v>563426</v>
      </c>
      <c r="AQ108" s="80">
        <f t="shared" si="7"/>
        <v>-2.662276867959612E-6</v>
      </c>
      <c r="AR108" s="67"/>
      <c r="AS108" s="94">
        <v>36039</v>
      </c>
      <c r="AT108" s="78">
        <v>0.97025000000000006</v>
      </c>
      <c r="AU108" s="67"/>
      <c r="AV108" s="79">
        <v>36039</v>
      </c>
      <c r="AW108" s="76">
        <v>306375.25</v>
      </c>
      <c r="AX108" s="80">
        <f t="shared" si="8"/>
        <v>-5.5866029386386629E-2</v>
      </c>
      <c r="AY108" s="67"/>
      <c r="AZ108" s="81">
        <v>36039</v>
      </c>
      <c r="BA108" s="82">
        <v>62.513442993164063</v>
      </c>
      <c r="BB108" s="82">
        <v>68.476951599121094</v>
      </c>
      <c r="BC108" s="67"/>
      <c r="BD108" s="83">
        <v>36053</v>
      </c>
      <c r="BE108" s="42">
        <v>5789</v>
      </c>
      <c r="BF108" s="41">
        <f t="shared" si="9"/>
        <v>-6.674189908108985E-2</v>
      </c>
      <c r="BG108" s="67"/>
      <c r="BH108" s="84">
        <v>36039</v>
      </c>
      <c r="BI108" s="85">
        <v>86.202100000000002</v>
      </c>
      <c r="BJ108" s="87">
        <f t="shared" si="10"/>
        <v>-5.3218625359430227E-4</v>
      </c>
      <c r="BK108" s="67"/>
      <c r="BL108" s="84">
        <v>36039</v>
      </c>
      <c r="BM108" s="86">
        <v>-54.465389000000002</v>
      </c>
      <c r="BN108" s="67"/>
      <c r="BO108" s="88">
        <v>36039</v>
      </c>
      <c r="BP108" s="89">
        <v>0.73750000000000004</v>
      </c>
      <c r="BQ108" s="89">
        <v>0.74099999999999999</v>
      </c>
      <c r="BR108" s="90">
        <f t="shared" si="5"/>
        <v>-4.7233468286098645E-3</v>
      </c>
    </row>
    <row r="109" spans="1:70">
      <c r="A109" s="62">
        <v>36069</v>
      </c>
      <c r="B109" s="63">
        <v>36069</v>
      </c>
      <c r="C109" s="39">
        <v>14.42</v>
      </c>
      <c r="D109" s="64">
        <v>16.149999999999999</v>
      </c>
      <c r="E109" s="40">
        <f t="shared" si="13"/>
        <v>-0.10712074303405561</v>
      </c>
      <c r="F109" s="65"/>
      <c r="G109" s="63">
        <v>36069</v>
      </c>
      <c r="H109" s="39">
        <v>28.05</v>
      </c>
      <c r="I109" s="39">
        <v>41.9</v>
      </c>
      <c r="J109" s="40">
        <f t="shared" si="18"/>
        <v>-0.33054892601431973</v>
      </c>
      <c r="K109" s="67"/>
      <c r="L109" s="68">
        <v>36069</v>
      </c>
      <c r="M109" s="98">
        <v>1098.7</v>
      </c>
      <c r="N109" s="98">
        <v>1017</v>
      </c>
      <c r="O109" s="70">
        <f t="shared" si="14"/>
        <v>8.0334316617502566E-2</v>
      </c>
      <c r="P109" s="67"/>
      <c r="Q109" s="38">
        <v>36069</v>
      </c>
      <c r="R109" s="39">
        <v>2.2749999999999999</v>
      </c>
      <c r="S109" s="39">
        <v>2.4590000000000001</v>
      </c>
      <c r="T109" s="40">
        <f t="shared" si="20"/>
        <v>-7.48271655144368E-2</v>
      </c>
      <c r="U109" s="67"/>
      <c r="V109" s="38">
        <v>36069</v>
      </c>
      <c r="W109" s="39">
        <v>0.39860000000000001</v>
      </c>
      <c r="X109" s="39">
        <v>0.44579999999999997</v>
      </c>
      <c r="Y109" s="40">
        <f t="shared" si="15"/>
        <v>-0.10587707492148934</v>
      </c>
      <c r="Z109" s="67"/>
      <c r="AA109" s="71">
        <v>36069</v>
      </c>
      <c r="AB109" s="72">
        <v>293.7</v>
      </c>
      <c r="AC109" s="72">
        <v>299.10000000000002</v>
      </c>
      <c r="AD109" s="73">
        <f t="shared" si="16"/>
        <v>-1.80541624874625E-2</v>
      </c>
      <c r="AE109" s="67"/>
      <c r="AF109" s="71">
        <v>36069</v>
      </c>
      <c r="AG109" s="72">
        <v>93.73</v>
      </c>
      <c r="AH109" s="72">
        <v>96.12</v>
      </c>
      <c r="AI109" s="73">
        <f t="shared" si="17"/>
        <v>-2.4864752392842249E-2</v>
      </c>
      <c r="AJ109" s="67"/>
      <c r="AK109" s="74">
        <v>36099</v>
      </c>
      <c r="AL109" s="41">
        <v>4.6399999999999997E-2</v>
      </c>
      <c r="AM109" s="41">
        <f t="shared" si="19"/>
        <v>1.9999999999999948E-3</v>
      </c>
      <c r="AN109" s="67"/>
      <c r="AO109" s="75">
        <v>36069</v>
      </c>
      <c r="AP109" s="76">
        <v>563426</v>
      </c>
      <c r="AQ109" s="80">
        <f t="shared" si="7"/>
        <v>0</v>
      </c>
      <c r="AR109" s="67"/>
      <c r="AS109" s="94">
        <v>36069</v>
      </c>
      <c r="AT109" s="78">
        <v>0.88540000000000008</v>
      </c>
      <c r="AU109" s="67"/>
      <c r="AV109" s="79">
        <v>36069</v>
      </c>
      <c r="AW109" s="76">
        <v>315701</v>
      </c>
      <c r="AX109" s="80">
        <f t="shared" si="8"/>
        <v>3.0438979649955344E-2</v>
      </c>
      <c r="AY109" s="67"/>
      <c r="AZ109" s="81">
        <v>36069</v>
      </c>
      <c r="BA109" s="82">
        <v>54.403648376464844</v>
      </c>
      <c r="BB109" s="82">
        <v>57.895927429199219</v>
      </c>
      <c r="BC109" s="67"/>
      <c r="BD109" s="83">
        <v>36083</v>
      </c>
      <c r="BE109" s="42">
        <v>6143</v>
      </c>
      <c r="BF109" s="41">
        <f t="shared" si="9"/>
        <v>6.1150457764726163E-2</v>
      </c>
      <c r="BG109" s="67"/>
      <c r="BH109" s="84">
        <v>36069</v>
      </c>
      <c r="BI109" s="85">
        <v>86.791399999999996</v>
      </c>
      <c r="BJ109" s="87">
        <f t="shared" si="10"/>
        <v>6.836260369526892E-3</v>
      </c>
      <c r="BK109" s="67"/>
      <c r="BL109" s="84">
        <v>36069</v>
      </c>
      <c r="BM109" s="86">
        <v>-42.458722000000002</v>
      </c>
      <c r="BN109" s="67"/>
      <c r="BO109" s="88">
        <v>36069</v>
      </c>
      <c r="BP109" s="89">
        <v>0.72699999999999998</v>
      </c>
      <c r="BQ109" s="89">
        <v>0.73850000000000005</v>
      </c>
      <c r="BR109" s="90">
        <f t="shared" si="5"/>
        <v>-1.5572105619499066E-2</v>
      </c>
    </row>
    <row r="110" spans="1:70">
      <c r="A110" s="62">
        <v>36100</v>
      </c>
      <c r="B110" s="63">
        <v>36100</v>
      </c>
      <c r="C110" s="39">
        <v>11.22</v>
      </c>
      <c r="D110" s="64">
        <v>14.73</v>
      </c>
      <c r="E110" s="40">
        <f t="shared" si="13"/>
        <v>-0.23828920570264767</v>
      </c>
      <c r="F110" s="65"/>
      <c r="G110" s="63">
        <v>36100</v>
      </c>
      <c r="H110" s="39">
        <v>26.01</v>
      </c>
      <c r="I110" s="39">
        <v>28.31</v>
      </c>
      <c r="J110" s="40">
        <f t="shared" si="18"/>
        <v>-8.1243376898622266E-2</v>
      </c>
      <c r="K110" s="67"/>
      <c r="L110" s="68">
        <v>36100</v>
      </c>
      <c r="M110" s="98">
        <v>1163.5999999999999</v>
      </c>
      <c r="N110" s="98">
        <v>1098.7</v>
      </c>
      <c r="O110" s="70">
        <f t="shared" si="14"/>
        <v>5.906980977518872E-2</v>
      </c>
      <c r="P110" s="67"/>
      <c r="Q110" s="38">
        <v>36100</v>
      </c>
      <c r="R110" s="39">
        <v>1.976</v>
      </c>
      <c r="S110" s="39">
        <v>2.2400000000000002</v>
      </c>
      <c r="T110" s="40">
        <f t="shared" si="20"/>
        <v>-0.11785714285714299</v>
      </c>
      <c r="U110" s="67"/>
      <c r="V110" s="38">
        <v>36100</v>
      </c>
      <c r="W110" s="39">
        <v>0.32129999999999997</v>
      </c>
      <c r="X110" s="39">
        <v>0.41599999999999998</v>
      </c>
      <c r="Y110" s="40">
        <f t="shared" si="15"/>
        <v>-0.22764423076923079</v>
      </c>
      <c r="Z110" s="67"/>
      <c r="AA110" s="71">
        <v>36100</v>
      </c>
      <c r="AB110" s="72">
        <v>295.10000000000002</v>
      </c>
      <c r="AC110" s="72">
        <v>294</v>
      </c>
      <c r="AD110" s="73">
        <f t="shared" si="16"/>
        <v>3.7414965986395377E-3</v>
      </c>
      <c r="AE110" s="67"/>
      <c r="AF110" s="71">
        <v>36100</v>
      </c>
      <c r="AG110" s="72">
        <v>96.2</v>
      </c>
      <c r="AH110" s="72">
        <v>93.53</v>
      </c>
      <c r="AI110" s="73">
        <f t="shared" si="17"/>
        <v>2.854699027050156E-2</v>
      </c>
      <c r="AJ110" s="67"/>
      <c r="AK110" s="74">
        <v>36129</v>
      </c>
      <c r="AL110" s="41">
        <v>4.7400000000000005E-2</v>
      </c>
      <c r="AM110" s="41">
        <f t="shared" si="19"/>
        <v>1.0000000000000078E-3</v>
      </c>
      <c r="AN110" s="67"/>
      <c r="AO110" s="75">
        <v>36100</v>
      </c>
      <c r="AP110" s="76">
        <v>563867.75</v>
      </c>
      <c r="AQ110" s="80">
        <f t="shared" si="7"/>
        <v>7.8404262494102817E-4</v>
      </c>
      <c r="AR110" s="67"/>
      <c r="AS110" s="94">
        <v>36100</v>
      </c>
      <c r="AT110" s="78">
        <v>0.94525000000000003</v>
      </c>
      <c r="AU110" s="67"/>
      <c r="AV110" s="79">
        <v>36100</v>
      </c>
      <c r="AW110" s="76">
        <v>322217.25</v>
      </c>
      <c r="AX110" s="80">
        <f t="shared" si="8"/>
        <v>2.0640574467613249E-2</v>
      </c>
      <c r="AY110" s="67"/>
      <c r="AZ110" s="81">
        <v>36100</v>
      </c>
      <c r="BA110" s="82">
        <v>67.965927124023438</v>
      </c>
      <c r="BB110" s="82">
        <v>88.071342468261719</v>
      </c>
      <c r="BC110" s="67"/>
      <c r="BD110" s="83">
        <v>36114</v>
      </c>
      <c r="BE110" s="42">
        <v>6140</v>
      </c>
      <c r="BF110" s="41">
        <f t="shared" si="9"/>
        <v>-4.8836073579683337E-4</v>
      </c>
      <c r="BG110" s="67"/>
      <c r="BH110" s="84">
        <v>36100</v>
      </c>
      <c r="BI110" s="85">
        <v>86.7256</v>
      </c>
      <c r="BJ110" s="87">
        <f t="shared" si="10"/>
        <v>-7.5813963134596651E-4</v>
      </c>
      <c r="BK110" s="67"/>
      <c r="BL110" s="84">
        <v>36100</v>
      </c>
      <c r="BM110" s="86">
        <v>-44.986787</v>
      </c>
      <c r="BN110" s="67"/>
      <c r="BO110" s="88">
        <v>36100</v>
      </c>
      <c r="BP110" s="89">
        <v>0.71050000000000002</v>
      </c>
      <c r="BQ110" s="89">
        <v>0.73750000000000004</v>
      </c>
      <c r="BR110" s="90">
        <f t="shared" si="5"/>
        <v>-3.6610169491525402E-2</v>
      </c>
    </row>
    <row r="111" spans="1:70">
      <c r="A111" s="62">
        <v>36130</v>
      </c>
      <c r="B111" s="63">
        <v>36130</v>
      </c>
      <c r="C111" s="39">
        <v>12.05</v>
      </c>
      <c r="D111" s="64">
        <v>11.28</v>
      </c>
      <c r="E111" s="40">
        <f t="shared" si="13"/>
        <v>6.8262411347517871E-2</v>
      </c>
      <c r="F111" s="65"/>
      <c r="G111" s="63">
        <v>36130</v>
      </c>
      <c r="H111" s="39">
        <v>24.42</v>
      </c>
      <c r="I111" s="39">
        <v>27.38</v>
      </c>
      <c r="J111" s="40">
        <f t="shared" si="18"/>
        <v>-0.108108108108108</v>
      </c>
      <c r="K111" s="67"/>
      <c r="L111" s="68">
        <v>36130</v>
      </c>
      <c r="M111" s="98">
        <v>1229.2</v>
      </c>
      <c r="N111" s="98">
        <v>1163.5999999999999</v>
      </c>
      <c r="O111" s="70">
        <f t="shared" si="14"/>
        <v>5.6376761773805573E-2</v>
      </c>
      <c r="P111" s="67"/>
      <c r="Q111" s="38">
        <v>36130</v>
      </c>
      <c r="R111" s="39">
        <v>1.9450000000000001</v>
      </c>
      <c r="S111" s="39">
        <v>1.97</v>
      </c>
      <c r="T111" s="40">
        <f t="shared" si="20"/>
        <v>-1.2690355329949221E-2</v>
      </c>
      <c r="U111" s="67"/>
      <c r="V111" s="38">
        <v>36130</v>
      </c>
      <c r="W111" s="39">
        <v>0.34279999999999999</v>
      </c>
      <c r="X111" s="39">
        <v>0.33550000000000002</v>
      </c>
      <c r="Y111" s="40">
        <f t="shared" si="15"/>
        <v>2.1758569299552777E-2</v>
      </c>
      <c r="Z111" s="67"/>
      <c r="AA111" s="71">
        <v>36130</v>
      </c>
      <c r="AB111" s="72">
        <v>289.2</v>
      </c>
      <c r="AC111" s="72">
        <v>295</v>
      </c>
      <c r="AD111" s="73">
        <f t="shared" si="16"/>
        <v>-1.9661016949152565E-2</v>
      </c>
      <c r="AE111" s="67"/>
      <c r="AF111" s="71">
        <v>36130</v>
      </c>
      <c r="AG111" s="72">
        <v>94.17</v>
      </c>
      <c r="AH111" s="72">
        <v>96.12</v>
      </c>
      <c r="AI111" s="73">
        <f t="shared" si="17"/>
        <v>-2.0287141073657922E-2</v>
      </c>
      <c r="AJ111" s="67"/>
      <c r="AK111" s="74">
        <v>36160</v>
      </c>
      <c r="AL111" s="41">
        <v>4.6500000000000007E-2</v>
      </c>
      <c r="AM111" s="41">
        <f t="shared" si="19"/>
        <v>-8.9999999999999802E-4</v>
      </c>
      <c r="AN111" s="67"/>
      <c r="AO111" s="75">
        <v>36130</v>
      </c>
      <c r="AP111" s="76">
        <v>566270</v>
      </c>
      <c r="AQ111" s="80">
        <f t="shared" si="7"/>
        <v>4.2603074923153184E-3</v>
      </c>
      <c r="AR111" s="67"/>
      <c r="AS111" s="94">
        <v>36130</v>
      </c>
      <c r="AT111" s="78">
        <v>0.94450000000000001</v>
      </c>
      <c r="AU111" s="67"/>
      <c r="AV111" s="79">
        <v>36130</v>
      </c>
      <c r="AW111" s="76">
        <v>321104.75</v>
      </c>
      <c r="AX111" s="80">
        <f t="shared" si="8"/>
        <v>-3.4526394846955411E-3</v>
      </c>
      <c r="AY111" s="67"/>
      <c r="AZ111" s="81">
        <v>36130</v>
      </c>
      <c r="BA111" s="82">
        <v>75.959892272949219</v>
      </c>
      <c r="BB111" s="82">
        <v>86.2803955078125</v>
      </c>
      <c r="BC111" s="67"/>
      <c r="BD111" s="83">
        <v>36144</v>
      </c>
      <c r="BE111" s="42">
        <v>6043</v>
      </c>
      <c r="BF111" s="41">
        <f t="shared" si="9"/>
        <v>-1.5798045602605892E-2</v>
      </c>
      <c r="BG111" s="67"/>
      <c r="BH111" s="84">
        <v>36130</v>
      </c>
      <c r="BI111" s="85">
        <v>87.118499999999997</v>
      </c>
      <c r="BJ111" s="87">
        <f t="shared" si="10"/>
        <v>4.530380879463447E-3</v>
      </c>
      <c r="BK111" s="67"/>
      <c r="BL111" s="84">
        <v>36130</v>
      </c>
      <c r="BM111" s="86">
        <v>-57.185256000000003</v>
      </c>
      <c r="BN111" s="67"/>
      <c r="BO111" s="88">
        <v>36130</v>
      </c>
      <c r="BP111" s="89">
        <v>0.67200000000000004</v>
      </c>
      <c r="BQ111" s="89">
        <v>0.70899999999999996</v>
      </c>
      <c r="BR111" s="90">
        <f t="shared" si="5"/>
        <v>-5.2186177715091597E-2</v>
      </c>
    </row>
    <row r="112" spans="1:70">
      <c r="A112" s="62">
        <v>36161</v>
      </c>
      <c r="B112" s="63">
        <v>36161</v>
      </c>
      <c r="C112" s="39">
        <v>12.75</v>
      </c>
      <c r="D112" s="64">
        <v>12.15</v>
      </c>
      <c r="E112" s="40">
        <f t="shared" si="13"/>
        <v>4.9382716049382713E-2</v>
      </c>
      <c r="F112" s="65"/>
      <c r="G112" s="63">
        <v>36161</v>
      </c>
      <c r="H112" s="39">
        <v>26.25</v>
      </c>
      <c r="I112" s="39">
        <v>25.38</v>
      </c>
      <c r="J112" s="40">
        <f t="shared" si="18"/>
        <v>3.4278959810874809E-2</v>
      </c>
      <c r="K112" s="67"/>
      <c r="L112" s="68">
        <v>36161</v>
      </c>
      <c r="M112" s="98">
        <v>1279.5999999999999</v>
      </c>
      <c r="N112" s="98">
        <v>1229.2</v>
      </c>
      <c r="O112" s="70">
        <f t="shared" si="14"/>
        <v>4.1002277904327977E-2</v>
      </c>
      <c r="P112" s="67"/>
      <c r="Q112" s="38">
        <v>36161</v>
      </c>
      <c r="R112" s="39">
        <v>1.7769999999999999</v>
      </c>
      <c r="S112" s="39">
        <v>2.02</v>
      </c>
      <c r="T112" s="40">
        <f t="shared" si="20"/>
        <v>-0.12029702970297029</v>
      </c>
      <c r="U112" s="67"/>
      <c r="V112" s="38">
        <v>36161</v>
      </c>
      <c r="W112" s="39">
        <v>0.3342</v>
      </c>
      <c r="X112" s="39">
        <v>0.35089999999999999</v>
      </c>
      <c r="Y112" s="40">
        <f t="shared" si="15"/>
        <v>-4.7591906526075811E-2</v>
      </c>
      <c r="Z112" s="67"/>
      <c r="AA112" s="71">
        <v>36161</v>
      </c>
      <c r="AB112" s="72">
        <v>288.2</v>
      </c>
      <c r="AC112" s="72">
        <v>289.60000000000002</v>
      </c>
      <c r="AD112" s="73">
        <f t="shared" si="16"/>
        <v>-4.8342541436465769E-3</v>
      </c>
      <c r="AE112" s="67"/>
      <c r="AF112" s="71">
        <v>36161</v>
      </c>
      <c r="AG112" s="72">
        <v>96.08</v>
      </c>
      <c r="AH112" s="72">
        <v>94.75</v>
      </c>
      <c r="AI112" s="73">
        <f t="shared" si="17"/>
        <v>1.4036939313984087E-2</v>
      </c>
      <c r="AJ112" s="67"/>
      <c r="AK112" s="74">
        <v>36191</v>
      </c>
      <c r="AL112" s="41">
        <v>4.6600000000000003E-2</v>
      </c>
      <c r="AM112" s="41">
        <f t="shared" si="19"/>
        <v>9.9999999999995925E-5</v>
      </c>
      <c r="AN112" s="67"/>
      <c r="AO112" s="75">
        <v>36161</v>
      </c>
      <c r="AP112" s="76">
        <v>569677</v>
      </c>
      <c r="AQ112" s="80">
        <f t="shared" si="7"/>
        <v>6.0165645363519094E-3</v>
      </c>
      <c r="AR112" s="67"/>
      <c r="AS112" s="94">
        <v>36161</v>
      </c>
      <c r="AT112" s="78">
        <v>0.93900000000000006</v>
      </c>
      <c r="AU112" s="67"/>
      <c r="AV112" s="79">
        <v>36161</v>
      </c>
      <c r="AW112" s="76">
        <v>311169.8</v>
      </c>
      <c r="AX112" s="80">
        <f t="shared" si="8"/>
        <v>-3.0939903567293925E-2</v>
      </c>
      <c r="AY112" s="67"/>
      <c r="AZ112" s="81">
        <v>36161</v>
      </c>
      <c r="BA112" s="82">
        <v>63.987224578857422</v>
      </c>
      <c r="BB112" s="82">
        <v>69.461212158203125</v>
      </c>
      <c r="BC112" s="67"/>
      <c r="BD112" s="83">
        <v>36175</v>
      </c>
      <c r="BE112" s="42">
        <v>5963</v>
      </c>
      <c r="BF112" s="41">
        <f t="shared" si="9"/>
        <v>-1.3238457719675689E-2</v>
      </c>
      <c r="BG112" s="67"/>
      <c r="BH112" s="84">
        <v>36161</v>
      </c>
      <c r="BI112" s="85">
        <v>87.494900000000001</v>
      </c>
      <c r="BJ112" s="87">
        <f t="shared" si="10"/>
        <v>4.3205518919633423E-3</v>
      </c>
      <c r="BK112" s="67"/>
      <c r="BL112" s="84">
        <v>36161</v>
      </c>
      <c r="BM112" s="86">
        <v>-62.770650000000003</v>
      </c>
      <c r="BN112" s="67"/>
      <c r="BO112" s="88">
        <v>36161</v>
      </c>
      <c r="BP112" s="89">
        <v>0.64949999999999997</v>
      </c>
      <c r="BQ112" s="89">
        <v>0.66049999999999998</v>
      </c>
      <c r="BR112" s="90">
        <f t="shared" si="5"/>
        <v>-1.6654049962149919E-2</v>
      </c>
    </row>
    <row r="113" spans="1:70">
      <c r="A113" s="62">
        <v>36192</v>
      </c>
      <c r="B113" s="63">
        <v>36192</v>
      </c>
      <c r="C113" s="39">
        <v>12.27</v>
      </c>
      <c r="D113" s="64">
        <v>12.79</v>
      </c>
      <c r="E113" s="40">
        <f t="shared" si="13"/>
        <v>-4.0656763096168835E-2</v>
      </c>
      <c r="F113" s="65"/>
      <c r="G113" s="63">
        <v>36192</v>
      </c>
      <c r="H113" s="39">
        <v>27.88</v>
      </c>
      <c r="I113" s="39">
        <v>27.21</v>
      </c>
      <c r="J113" s="40">
        <f t="shared" si="18"/>
        <v>2.4623300257258229E-2</v>
      </c>
      <c r="K113" s="67"/>
      <c r="L113" s="68">
        <v>36192</v>
      </c>
      <c r="M113" s="98">
        <v>1238.3</v>
      </c>
      <c r="N113" s="98">
        <v>1279.5999999999999</v>
      </c>
      <c r="O113" s="70">
        <f t="shared" si="14"/>
        <v>-3.2275711159737375E-2</v>
      </c>
      <c r="P113" s="67"/>
      <c r="Q113" s="38">
        <v>36192</v>
      </c>
      <c r="R113" s="39">
        <v>1.6279999999999999</v>
      </c>
      <c r="S113" s="39">
        <v>1.7350000000000001</v>
      </c>
      <c r="T113" s="40">
        <f t="shared" si="20"/>
        <v>-6.1671469740634088E-2</v>
      </c>
      <c r="U113" s="67"/>
      <c r="V113" s="38">
        <v>36192</v>
      </c>
      <c r="W113" s="39">
        <v>0.32369999999999999</v>
      </c>
      <c r="X113" s="39">
        <v>0.34250000000000003</v>
      </c>
      <c r="Y113" s="40">
        <f t="shared" si="15"/>
        <v>-5.489051094890518E-2</v>
      </c>
      <c r="Z113" s="67"/>
      <c r="AA113" s="71">
        <v>36192</v>
      </c>
      <c r="AB113" s="72">
        <v>288.3</v>
      </c>
      <c r="AC113" s="72">
        <v>288.5</v>
      </c>
      <c r="AD113" s="73">
        <f t="shared" si="16"/>
        <v>-6.9324090121314352E-4</v>
      </c>
      <c r="AE113" s="67"/>
      <c r="AF113" s="71">
        <v>36192</v>
      </c>
      <c r="AG113" s="72">
        <v>98.68</v>
      </c>
      <c r="AH113" s="72">
        <v>95.9</v>
      </c>
      <c r="AI113" s="73">
        <f t="shared" si="17"/>
        <v>2.8988529718456668E-2</v>
      </c>
      <c r="AJ113" s="67"/>
      <c r="AK113" s="74">
        <v>36219</v>
      </c>
      <c r="AL113" s="41">
        <v>5.2900000000000003E-2</v>
      </c>
      <c r="AM113" s="41">
        <f t="shared" si="19"/>
        <v>6.3E-3</v>
      </c>
      <c r="AN113" s="67"/>
      <c r="AO113" s="75">
        <v>36192</v>
      </c>
      <c r="AP113" s="76">
        <v>571826.75</v>
      </c>
      <c r="AQ113" s="80">
        <f t="shared" si="7"/>
        <v>3.7736296181871687E-3</v>
      </c>
      <c r="AR113" s="67"/>
      <c r="AS113" s="94">
        <v>36192</v>
      </c>
      <c r="AT113" s="78">
        <v>0.9172499999999999</v>
      </c>
      <c r="AU113" s="67"/>
      <c r="AV113" s="79">
        <v>36192</v>
      </c>
      <c r="AW113" s="76">
        <v>316557.25</v>
      </c>
      <c r="AX113" s="80">
        <f t="shared" si="8"/>
        <v>1.7313537496248088E-2</v>
      </c>
      <c r="AY113" s="67"/>
      <c r="AZ113" s="81">
        <v>36192</v>
      </c>
      <c r="BA113" s="82">
        <v>58.316383361816406</v>
      </c>
      <c r="BB113" s="82">
        <v>67.28399658203125</v>
      </c>
      <c r="BC113" s="67"/>
      <c r="BD113" s="83">
        <v>36206</v>
      </c>
      <c r="BE113" s="42">
        <v>5966</v>
      </c>
      <c r="BF113" s="41">
        <f t="shared" si="9"/>
        <v>5.0310246520202107E-4</v>
      </c>
      <c r="BG113" s="67"/>
      <c r="BH113" s="84">
        <v>36192</v>
      </c>
      <c r="BI113" s="85">
        <v>88.027000000000001</v>
      </c>
      <c r="BJ113" s="87">
        <f t="shared" si="10"/>
        <v>6.0814973215581603E-3</v>
      </c>
      <c r="BK113" s="67"/>
      <c r="BL113" s="84">
        <v>36192</v>
      </c>
      <c r="BM113" s="86">
        <v>-58.575892000000003</v>
      </c>
      <c r="BN113" s="67"/>
      <c r="BO113" s="88">
        <v>36192</v>
      </c>
      <c r="BP113" s="89">
        <v>0.63249999999999995</v>
      </c>
      <c r="BQ113" s="89">
        <v>0.65</v>
      </c>
      <c r="BR113" s="90">
        <f t="shared" si="5"/>
        <v>-2.6923076923077049E-2</v>
      </c>
    </row>
    <row r="114" spans="1:70">
      <c r="A114" s="62">
        <v>36220</v>
      </c>
      <c r="B114" s="63">
        <v>36220</v>
      </c>
      <c r="C114" s="39">
        <v>16.760000000000002</v>
      </c>
      <c r="D114" s="64">
        <v>12.35</v>
      </c>
      <c r="E114" s="40">
        <f t="shared" si="13"/>
        <v>0.35708502024291522</v>
      </c>
      <c r="F114" s="65"/>
      <c r="G114" s="63">
        <v>36220</v>
      </c>
      <c r="H114" s="39">
        <v>23.26</v>
      </c>
      <c r="I114" s="39">
        <v>29.34</v>
      </c>
      <c r="J114" s="40">
        <f t="shared" si="18"/>
        <v>-0.20722563053851395</v>
      </c>
      <c r="K114" s="67"/>
      <c r="L114" s="68">
        <v>36220</v>
      </c>
      <c r="M114" s="98">
        <v>1286.4000000000001</v>
      </c>
      <c r="N114" s="98">
        <v>1238.3</v>
      </c>
      <c r="O114" s="70">
        <f t="shared" si="14"/>
        <v>3.8843575870144642E-2</v>
      </c>
      <c r="P114" s="67"/>
      <c r="Q114" s="38">
        <v>36220</v>
      </c>
      <c r="R114" s="39">
        <v>2.0129999999999999</v>
      </c>
      <c r="S114" s="39">
        <v>1.65</v>
      </c>
      <c r="T114" s="40">
        <f t="shared" si="20"/>
        <v>0.21999999999999997</v>
      </c>
      <c r="U114" s="67"/>
      <c r="V114" s="38">
        <v>36220</v>
      </c>
      <c r="W114" s="39">
        <v>0.44</v>
      </c>
      <c r="X114" s="39">
        <v>0.34300000000000003</v>
      </c>
      <c r="Y114" s="40">
        <f t="shared" si="15"/>
        <v>0.28279883381924198</v>
      </c>
      <c r="Z114" s="67"/>
      <c r="AA114" s="71">
        <v>36220</v>
      </c>
      <c r="AB114" s="72">
        <v>281.89999999999998</v>
      </c>
      <c r="AC114" s="72">
        <v>288</v>
      </c>
      <c r="AD114" s="73">
        <f t="shared" si="16"/>
        <v>-2.1180555555555647E-2</v>
      </c>
      <c r="AE114" s="67"/>
      <c r="AF114" s="71">
        <v>36220</v>
      </c>
      <c r="AG114" s="72">
        <v>100.1</v>
      </c>
      <c r="AH114" s="72">
        <v>98.89</v>
      </c>
      <c r="AI114" s="73">
        <f t="shared" si="17"/>
        <v>1.2235817575083408E-2</v>
      </c>
      <c r="AJ114" s="67"/>
      <c r="AK114" s="74">
        <v>36250</v>
      </c>
      <c r="AL114" s="41">
        <v>5.2499999999999998E-2</v>
      </c>
      <c r="AM114" s="41">
        <f t="shared" si="19"/>
        <v>-4.0000000000000452E-4</v>
      </c>
      <c r="AN114" s="67"/>
      <c r="AO114" s="75">
        <v>36220</v>
      </c>
      <c r="AP114" s="76">
        <v>571951</v>
      </c>
      <c r="AQ114" s="80">
        <f t="shared" si="7"/>
        <v>2.1728609233484519E-4</v>
      </c>
      <c r="AR114" s="67"/>
      <c r="AS114" s="94">
        <v>36220</v>
      </c>
      <c r="AT114" s="78">
        <v>0.90749999999999997</v>
      </c>
      <c r="AU114" s="67"/>
      <c r="AV114" s="79">
        <v>36220</v>
      </c>
      <c r="AW114" s="76">
        <v>323367.5</v>
      </c>
      <c r="AX114" s="80">
        <f t="shared" si="8"/>
        <v>2.1513486107173296E-2</v>
      </c>
      <c r="AY114" s="67"/>
      <c r="AZ114" s="81">
        <v>36220</v>
      </c>
      <c r="BA114" s="82">
        <v>83.39727783203125</v>
      </c>
      <c r="BB114" s="82">
        <v>89.738357543945313</v>
      </c>
      <c r="BC114" s="67"/>
      <c r="BD114" s="83">
        <v>36234</v>
      </c>
      <c r="BE114" s="42">
        <v>5883</v>
      </c>
      <c r="BF114" s="41">
        <f t="shared" si="9"/>
        <v>-1.3912168957425419E-2</v>
      </c>
      <c r="BG114" s="67"/>
      <c r="BH114" s="84">
        <v>36220</v>
      </c>
      <c r="BI114" s="85">
        <v>88.226699999999994</v>
      </c>
      <c r="BJ114" s="87">
        <f t="shared" si="10"/>
        <v>2.2686221273018337E-3</v>
      </c>
      <c r="BK114" s="67"/>
      <c r="BL114" s="84">
        <v>36220</v>
      </c>
      <c r="BM114" s="86">
        <v>-43.912233000000001</v>
      </c>
      <c r="BN114" s="67"/>
      <c r="BO114" s="88">
        <v>36220</v>
      </c>
      <c r="BP114" s="89">
        <v>0.63200000000000001</v>
      </c>
      <c r="BQ114" s="89">
        <v>0.63149999999999995</v>
      </c>
      <c r="BR114" s="90">
        <f t="shared" si="5"/>
        <v>7.9176563737148875E-4</v>
      </c>
    </row>
    <row r="115" spans="1:70">
      <c r="A115" s="62">
        <v>36251</v>
      </c>
      <c r="B115" s="63">
        <v>36251</v>
      </c>
      <c r="C115" s="39">
        <v>18.66</v>
      </c>
      <c r="D115" s="64">
        <v>16.68</v>
      </c>
      <c r="E115" s="40">
        <f t="shared" si="13"/>
        <v>0.11870503597122295</v>
      </c>
      <c r="F115" s="65"/>
      <c r="G115" s="63">
        <v>36251</v>
      </c>
      <c r="H115" s="39">
        <v>25.07</v>
      </c>
      <c r="I115" s="39">
        <v>22.87</v>
      </c>
      <c r="J115" s="40">
        <f t="shared" si="18"/>
        <v>9.6195889811980795E-2</v>
      </c>
      <c r="K115" s="67"/>
      <c r="L115" s="68">
        <v>36251</v>
      </c>
      <c r="M115" s="98">
        <v>1335.2</v>
      </c>
      <c r="N115" s="98">
        <v>1286.4000000000001</v>
      </c>
      <c r="O115" s="70">
        <f t="shared" si="14"/>
        <v>3.7935323383084585E-2</v>
      </c>
      <c r="P115" s="67"/>
      <c r="Q115" s="38">
        <v>36251</v>
      </c>
      <c r="R115" s="39">
        <v>2.2530000000000001</v>
      </c>
      <c r="S115" s="39">
        <v>2.0190000000000001</v>
      </c>
      <c r="T115" s="40">
        <f t="shared" si="20"/>
        <v>0.1158989598811293</v>
      </c>
      <c r="U115" s="67"/>
      <c r="V115" s="38">
        <v>36251</v>
      </c>
      <c r="W115" s="39">
        <v>0.4546</v>
      </c>
      <c r="X115" s="39">
        <v>0.437</v>
      </c>
      <c r="Y115" s="40">
        <f t="shared" si="15"/>
        <v>4.0274599542334144E-2</v>
      </c>
      <c r="Z115" s="67"/>
      <c r="AA115" s="71">
        <v>36251</v>
      </c>
      <c r="AB115" s="72">
        <v>287.8</v>
      </c>
      <c r="AC115" s="72">
        <v>281.89999999999998</v>
      </c>
      <c r="AD115" s="73">
        <f t="shared" si="16"/>
        <v>2.0929407591344651E-2</v>
      </c>
      <c r="AE115" s="67"/>
      <c r="AF115" s="71">
        <v>36251</v>
      </c>
      <c r="AG115" s="72">
        <v>101</v>
      </c>
      <c r="AH115" s="72">
        <v>100.02</v>
      </c>
      <c r="AI115" s="73">
        <f t="shared" si="17"/>
        <v>9.7980403919215586E-3</v>
      </c>
      <c r="AJ115" s="67"/>
      <c r="AK115" s="74">
        <v>36280</v>
      </c>
      <c r="AL115" s="41">
        <v>5.3600000000000002E-2</v>
      </c>
      <c r="AM115" s="41">
        <f t="shared" si="19"/>
        <v>1.1000000000000038E-3</v>
      </c>
      <c r="AN115" s="67"/>
      <c r="AO115" s="75">
        <v>36251</v>
      </c>
      <c r="AP115" s="76">
        <v>571951</v>
      </c>
      <c r="AQ115" s="80">
        <f t="shared" si="7"/>
        <v>0</v>
      </c>
      <c r="AR115" s="67"/>
      <c r="AS115" s="94">
        <v>36251</v>
      </c>
      <c r="AT115" s="78">
        <v>0.94480000000000008</v>
      </c>
      <c r="AU115" s="67"/>
      <c r="AV115" s="79">
        <v>36251</v>
      </c>
      <c r="AW115" s="76">
        <v>324762.59999999998</v>
      </c>
      <c r="AX115" s="80">
        <f t="shared" si="8"/>
        <v>4.3142863769549677E-3</v>
      </c>
      <c r="AY115" s="67"/>
      <c r="AZ115" s="81">
        <v>36251</v>
      </c>
      <c r="BA115" s="82">
        <v>106.19801330566406</v>
      </c>
      <c r="BB115" s="82">
        <v>112.34139251708984</v>
      </c>
      <c r="BC115" s="67"/>
      <c r="BD115" s="83">
        <v>36265</v>
      </c>
      <c r="BE115" s="42">
        <v>5887</v>
      </c>
      <c r="BF115" s="41">
        <f t="shared" si="9"/>
        <v>6.7992520822701685E-4</v>
      </c>
      <c r="BG115" s="67"/>
      <c r="BH115" s="84">
        <v>36251</v>
      </c>
      <c r="BI115" s="85">
        <v>88.429500000000004</v>
      </c>
      <c r="BJ115" s="87">
        <f t="shared" si="10"/>
        <v>2.2986238859665775E-3</v>
      </c>
      <c r="BK115" s="67"/>
      <c r="BL115" s="84">
        <v>36251</v>
      </c>
      <c r="BM115" s="86">
        <v>-48.958765</v>
      </c>
      <c r="BN115" s="67"/>
      <c r="BO115" s="88">
        <v>36251</v>
      </c>
      <c r="BP115" s="89">
        <v>0.72750000000000004</v>
      </c>
      <c r="BQ115" s="89">
        <v>0.63</v>
      </c>
      <c r="BR115" s="90">
        <f t="shared" si="5"/>
        <v>0.15476190476190488</v>
      </c>
    </row>
    <row r="116" spans="1:70">
      <c r="A116" s="62">
        <v>36281</v>
      </c>
      <c r="B116" s="63">
        <v>36281</v>
      </c>
      <c r="C116" s="39">
        <v>16.84</v>
      </c>
      <c r="D116" s="64">
        <v>18.5</v>
      </c>
      <c r="E116" s="40">
        <f t="shared" si="13"/>
        <v>-8.9729729729729701E-2</v>
      </c>
      <c r="F116" s="65"/>
      <c r="G116" s="63">
        <v>36281</v>
      </c>
      <c r="H116" s="39">
        <v>25.39</v>
      </c>
      <c r="I116" s="39">
        <v>24.41</v>
      </c>
      <c r="J116" s="40">
        <f t="shared" si="18"/>
        <v>4.0147480540762004E-2</v>
      </c>
      <c r="K116" s="67"/>
      <c r="L116" s="68">
        <v>36281</v>
      </c>
      <c r="M116" s="98">
        <v>1301.8</v>
      </c>
      <c r="N116" s="98">
        <v>1335.2</v>
      </c>
      <c r="O116" s="70">
        <f t="shared" si="14"/>
        <v>-2.5014979029359008E-2</v>
      </c>
      <c r="P116" s="67"/>
      <c r="Q116" s="38">
        <v>36281</v>
      </c>
      <c r="R116" s="39">
        <v>2.3580000000000001</v>
      </c>
      <c r="S116" s="39">
        <v>2.23</v>
      </c>
      <c r="T116" s="40">
        <f t="shared" si="20"/>
        <v>5.739910313901353E-2</v>
      </c>
      <c r="U116" s="67"/>
      <c r="V116" s="38">
        <v>36281</v>
      </c>
      <c r="W116" s="39">
        <v>0.39629999999999999</v>
      </c>
      <c r="X116" s="39">
        <v>0.45150000000000001</v>
      </c>
      <c r="Y116" s="40">
        <f t="shared" si="15"/>
        <v>-0.12225913621262463</v>
      </c>
      <c r="Z116" s="67"/>
      <c r="AA116" s="71">
        <v>36281</v>
      </c>
      <c r="AB116" s="72">
        <v>272</v>
      </c>
      <c r="AC116" s="72">
        <v>287.89999999999998</v>
      </c>
      <c r="AD116" s="73">
        <f t="shared" si="16"/>
        <v>-5.5227509551927678E-2</v>
      </c>
      <c r="AE116" s="67"/>
      <c r="AF116" s="71">
        <v>36281</v>
      </c>
      <c r="AG116" s="72">
        <v>102.51</v>
      </c>
      <c r="AH116" s="72">
        <v>100.96</v>
      </c>
      <c r="AI116" s="73">
        <f t="shared" si="17"/>
        <v>1.5352614896988914E-2</v>
      </c>
      <c r="AJ116" s="67"/>
      <c r="AK116" s="74">
        <v>36311</v>
      </c>
      <c r="AL116" s="41">
        <v>5.6399999999999999E-2</v>
      </c>
      <c r="AM116" s="41">
        <f t="shared" si="19"/>
        <v>2.7999999999999969E-3</v>
      </c>
      <c r="AN116" s="67"/>
      <c r="AO116" s="92">
        <v>36281</v>
      </c>
      <c r="AP116" s="76">
        <v>572326.75</v>
      </c>
      <c r="AQ116" s="80">
        <f t="shared" si="7"/>
        <v>6.5696187260799732E-4</v>
      </c>
      <c r="AR116" s="67"/>
      <c r="AS116" s="97">
        <v>36281</v>
      </c>
      <c r="AT116" s="78">
        <v>0.93775000000000008</v>
      </c>
      <c r="AU116" s="67"/>
      <c r="AV116" s="93">
        <v>36281</v>
      </c>
      <c r="AW116" s="76">
        <v>316530.5</v>
      </c>
      <c r="AX116" s="80">
        <f t="shared" si="8"/>
        <v>-2.5348054240235673E-2</v>
      </c>
      <c r="AY116" s="67"/>
      <c r="AZ116" s="81">
        <v>36281</v>
      </c>
      <c r="BA116" s="82">
        <v>85.441131591796875</v>
      </c>
      <c r="BB116" s="82">
        <v>89.3775634765625</v>
      </c>
      <c r="BC116" s="67"/>
      <c r="BD116" s="83">
        <v>36295</v>
      </c>
      <c r="BE116" s="42">
        <v>5875</v>
      </c>
      <c r="BF116" s="41">
        <f t="shared" si="9"/>
        <v>-2.0383896721589689E-3</v>
      </c>
      <c r="BG116" s="67"/>
      <c r="BH116" s="84">
        <v>36281</v>
      </c>
      <c r="BI116" s="85">
        <v>88.988600000000005</v>
      </c>
      <c r="BJ116" s="87">
        <f t="shared" si="10"/>
        <v>6.3225507325044283E-3</v>
      </c>
      <c r="BK116" s="67"/>
      <c r="BL116" s="84">
        <v>36281</v>
      </c>
      <c r="BM116" s="86">
        <v>-34.837825000000002</v>
      </c>
      <c r="BN116" s="67"/>
      <c r="BO116" s="88">
        <v>36281</v>
      </c>
      <c r="BP116" s="89">
        <v>0.63249999999999995</v>
      </c>
      <c r="BQ116" s="89">
        <v>0.72950000000000004</v>
      </c>
      <c r="BR116" s="90">
        <f t="shared" si="5"/>
        <v>-0.13296778615490068</v>
      </c>
    </row>
    <row r="117" spans="1:70">
      <c r="A117" s="62">
        <v>36312</v>
      </c>
      <c r="B117" s="63">
        <v>36312</v>
      </c>
      <c r="C117" s="39">
        <v>19.29</v>
      </c>
      <c r="D117" s="64">
        <v>16.8</v>
      </c>
      <c r="E117" s="40">
        <f t="shared" si="13"/>
        <v>0.14821428571428563</v>
      </c>
      <c r="F117" s="65"/>
      <c r="G117" s="63">
        <v>36312</v>
      </c>
      <c r="H117" s="39">
        <v>21.09</v>
      </c>
      <c r="I117" s="39">
        <v>27.12</v>
      </c>
      <c r="J117" s="40">
        <f t="shared" si="18"/>
        <v>-0.22234513274336287</v>
      </c>
      <c r="K117" s="67"/>
      <c r="L117" s="68">
        <v>36312</v>
      </c>
      <c r="M117" s="98">
        <v>1372.7</v>
      </c>
      <c r="N117" s="98">
        <v>1301.8</v>
      </c>
      <c r="O117" s="70">
        <f t="shared" si="14"/>
        <v>5.4463051159932441E-2</v>
      </c>
      <c r="P117" s="67"/>
      <c r="Q117" s="38">
        <v>36312</v>
      </c>
      <c r="R117" s="39">
        <v>2.3940000000000001</v>
      </c>
      <c r="S117" s="39">
        <v>2.375</v>
      </c>
      <c r="T117" s="40">
        <f t="shared" si="20"/>
        <v>8.0000000000000071E-3</v>
      </c>
      <c r="U117" s="67"/>
      <c r="V117" s="38">
        <v>36312</v>
      </c>
      <c r="W117" s="39">
        <v>0.49020000000000002</v>
      </c>
      <c r="X117" s="39">
        <v>0.40189999999999998</v>
      </c>
      <c r="Y117" s="40">
        <f t="shared" si="15"/>
        <v>0.21970639462552888</v>
      </c>
      <c r="Z117" s="67"/>
      <c r="AA117" s="71">
        <v>36312</v>
      </c>
      <c r="AB117" s="72">
        <v>263.60000000000002</v>
      </c>
      <c r="AC117" s="72">
        <v>271.5</v>
      </c>
      <c r="AD117" s="73">
        <f t="shared" si="16"/>
        <v>-2.9097605893185885E-2</v>
      </c>
      <c r="AE117" s="67"/>
      <c r="AF117" s="71">
        <v>36312</v>
      </c>
      <c r="AG117" s="72">
        <v>102.85</v>
      </c>
      <c r="AH117" s="72">
        <v>102.34</v>
      </c>
      <c r="AI117" s="73">
        <f t="shared" si="17"/>
        <v>4.983388704318914E-3</v>
      </c>
      <c r="AJ117" s="67"/>
      <c r="AK117" s="74">
        <v>36341</v>
      </c>
      <c r="AL117" s="41">
        <v>5.8099999999999999E-2</v>
      </c>
      <c r="AM117" s="41">
        <f t="shared" si="19"/>
        <v>1.7000000000000001E-3</v>
      </c>
      <c r="AN117" s="67"/>
      <c r="AO117" s="75">
        <v>36312</v>
      </c>
      <c r="AP117" s="76">
        <v>573309.25</v>
      </c>
      <c r="AQ117" s="80">
        <f t="shared" si="7"/>
        <v>1.7166767060949883E-3</v>
      </c>
      <c r="AR117" s="67"/>
      <c r="AS117" s="94">
        <v>36312</v>
      </c>
      <c r="AT117" s="78">
        <v>0.93275000000000008</v>
      </c>
      <c r="AU117" s="67"/>
      <c r="AV117" s="79">
        <v>36312</v>
      </c>
      <c r="AW117" s="76">
        <v>316426</v>
      </c>
      <c r="AX117" s="80">
        <f t="shared" si="8"/>
        <v>-3.3014196104319549E-4</v>
      </c>
      <c r="AY117" s="67"/>
      <c r="AZ117" s="81">
        <v>36312</v>
      </c>
      <c r="BA117" s="82">
        <v>79.410545349121094</v>
      </c>
      <c r="BB117" s="82">
        <v>75.961349487304688</v>
      </c>
      <c r="BC117" s="67"/>
      <c r="BD117" s="83">
        <v>36326</v>
      </c>
      <c r="BE117" s="42">
        <v>5760</v>
      </c>
      <c r="BF117" s="41">
        <f t="shared" si="9"/>
        <v>-1.9574468085106433E-2</v>
      </c>
      <c r="BG117" s="67"/>
      <c r="BH117" s="84">
        <v>36312</v>
      </c>
      <c r="BI117" s="85">
        <v>88.918800000000005</v>
      </c>
      <c r="BJ117" s="87">
        <f t="shared" si="10"/>
        <v>-7.8437013280352463E-4</v>
      </c>
      <c r="BK117" s="67"/>
      <c r="BL117" s="84">
        <v>36312</v>
      </c>
      <c r="BM117" s="86">
        <v>-41.886060999999998</v>
      </c>
      <c r="BN117" s="67"/>
      <c r="BO117" s="88">
        <v>36312</v>
      </c>
      <c r="BP117" s="89">
        <v>0.76649999999999996</v>
      </c>
      <c r="BQ117" s="89">
        <v>0.63600000000000001</v>
      </c>
      <c r="BR117" s="90">
        <f t="shared" si="5"/>
        <v>0.20518867924528283</v>
      </c>
    </row>
    <row r="118" spans="1:70">
      <c r="A118" s="62">
        <v>36342</v>
      </c>
      <c r="B118" s="63">
        <v>36342</v>
      </c>
      <c r="C118" s="39">
        <v>20.53</v>
      </c>
      <c r="D118" s="64">
        <v>19.350000000000001</v>
      </c>
      <c r="E118" s="40">
        <f t="shared" si="13"/>
        <v>6.0981912144702832E-2</v>
      </c>
      <c r="F118" s="65"/>
      <c r="G118" s="63">
        <v>36342</v>
      </c>
      <c r="H118" s="39">
        <v>24.64</v>
      </c>
      <c r="I118" s="39">
        <v>20.57</v>
      </c>
      <c r="J118" s="40">
        <f t="shared" si="18"/>
        <v>0.19786096256684482</v>
      </c>
      <c r="K118" s="67"/>
      <c r="L118" s="68">
        <v>36342</v>
      </c>
      <c r="M118" s="98">
        <v>1328.7</v>
      </c>
      <c r="N118" s="98">
        <v>1372.7</v>
      </c>
      <c r="O118" s="70">
        <f t="shared" si="14"/>
        <v>-3.2053616959277331E-2</v>
      </c>
      <c r="P118" s="67"/>
      <c r="Q118" s="38">
        <v>36342</v>
      </c>
      <c r="R118" s="39">
        <v>2.5430000000000001</v>
      </c>
      <c r="S118" s="39">
        <v>2.395</v>
      </c>
      <c r="T118" s="40">
        <f t="shared" si="20"/>
        <v>6.1795407098121036E-2</v>
      </c>
      <c r="U118" s="67"/>
      <c r="V118" s="38">
        <v>36342</v>
      </c>
      <c r="W118" s="39">
        <v>0.52100000000000002</v>
      </c>
      <c r="X118" s="39">
        <v>0.4975</v>
      </c>
      <c r="Y118" s="40">
        <f t="shared" si="15"/>
        <v>4.7236180904522751E-2</v>
      </c>
      <c r="Z118" s="67"/>
      <c r="AA118" s="71">
        <v>36342</v>
      </c>
      <c r="AB118" s="72">
        <v>258.8</v>
      </c>
      <c r="AC118" s="72">
        <v>263.5</v>
      </c>
      <c r="AD118" s="73">
        <f t="shared" si="16"/>
        <v>-1.783681214421251E-2</v>
      </c>
      <c r="AE118" s="67"/>
      <c r="AF118" s="71">
        <v>36342</v>
      </c>
      <c r="AG118" s="72">
        <v>99.75</v>
      </c>
      <c r="AH118" s="72">
        <v>102.71</v>
      </c>
      <c r="AI118" s="73">
        <f t="shared" si="17"/>
        <v>-2.8819004965436656E-2</v>
      </c>
      <c r="AJ118" s="67"/>
      <c r="AK118" s="74">
        <v>36372</v>
      </c>
      <c r="AL118" s="41">
        <v>5.9200000000000003E-2</v>
      </c>
      <c r="AM118" s="41">
        <f t="shared" si="19"/>
        <v>1.1000000000000038E-3</v>
      </c>
      <c r="AN118" s="67"/>
      <c r="AO118" s="75">
        <v>36342</v>
      </c>
      <c r="AP118" s="76">
        <v>574317.4</v>
      </c>
      <c r="AQ118" s="80">
        <f t="shared" si="7"/>
        <v>1.7584750289656448E-3</v>
      </c>
      <c r="AR118" s="67"/>
      <c r="AS118" s="94">
        <v>36342</v>
      </c>
      <c r="AT118" s="78">
        <v>0.94420000000000004</v>
      </c>
      <c r="AU118" s="67"/>
      <c r="AV118" s="79">
        <v>36342</v>
      </c>
      <c r="AW118" s="76">
        <v>314454.40000000002</v>
      </c>
      <c r="AX118" s="80">
        <f t="shared" si="8"/>
        <v>-6.2308407020914558E-3</v>
      </c>
      <c r="AY118" s="67"/>
      <c r="AZ118" s="81">
        <v>36342</v>
      </c>
      <c r="BA118" s="82">
        <v>62.142871856689453</v>
      </c>
      <c r="BB118" s="82">
        <v>66.837287902832031</v>
      </c>
      <c r="BC118" s="67"/>
      <c r="BD118" s="83">
        <v>36356</v>
      </c>
      <c r="BE118" s="42">
        <v>5798</v>
      </c>
      <c r="BF118" s="41">
        <f t="shared" si="9"/>
        <v>6.5972222222221433E-3</v>
      </c>
      <c r="BG118" s="67"/>
      <c r="BH118" s="84">
        <v>36342</v>
      </c>
      <c r="BI118" s="85">
        <v>89.433300000000003</v>
      </c>
      <c r="BJ118" s="87">
        <f t="shared" si="10"/>
        <v>5.7861779511194644E-3</v>
      </c>
      <c r="BK118" s="67"/>
      <c r="BL118" s="84">
        <v>36342</v>
      </c>
      <c r="BM118" s="86">
        <v>-43.360259999999997</v>
      </c>
      <c r="BN118" s="67"/>
      <c r="BO118" s="88">
        <v>36342</v>
      </c>
      <c r="BP118" s="89">
        <v>0.76600000000000001</v>
      </c>
      <c r="BQ118" s="89">
        <v>0.76500000000000001</v>
      </c>
      <c r="BR118" s="90">
        <f t="shared" si="5"/>
        <v>1.3071895424836555E-3</v>
      </c>
    </row>
    <row r="119" spans="1:70">
      <c r="A119" s="62">
        <v>36373</v>
      </c>
      <c r="B119" s="63">
        <v>36373</v>
      </c>
      <c r="C119" s="39">
        <v>22.11</v>
      </c>
      <c r="D119" s="64">
        <v>20.399999999999999</v>
      </c>
      <c r="E119" s="40">
        <f t="shared" si="13"/>
        <v>8.3823529411764852E-2</v>
      </c>
      <c r="F119" s="65"/>
      <c r="G119" s="63">
        <v>36373</v>
      </c>
      <c r="H119" s="39">
        <v>24.45</v>
      </c>
      <c r="I119" s="39">
        <v>25.75</v>
      </c>
      <c r="J119" s="40">
        <f t="shared" si="18"/>
        <v>-5.048543689320395E-2</v>
      </c>
      <c r="K119" s="67"/>
      <c r="L119" s="68">
        <v>36373</v>
      </c>
      <c r="M119" s="98">
        <v>1320.4</v>
      </c>
      <c r="N119" s="98">
        <v>1328.7</v>
      </c>
      <c r="O119" s="70">
        <f t="shared" si="14"/>
        <v>-6.2467073078948943E-3</v>
      </c>
      <c r="P119" s="67"/>
      <c r="Q119" s="38">
        <v>36373</v>
      </c>
      <c r="R119" s="39">
        <v>2.8250000000000002</v>
      </c>
      <c r="S119" s="39">
        <v>2.5</v>
      </c>
      <c r="T119" s="40">
        <f t="shared" si="20"/>
        <v>0.13000000000000012</v>
      </c>
      <c r="U119" s="67"/>
      <c r="V119" s="38">
        <v>36373</v>
      </c>
      <c r="W119" s="39">
        <v>0.58379999999999999</v>
      </c>
      <c r="X119" s="39">
        <v>0.52800000000000002</v>
      </c>
      <c r="Y119" s="40">
        <f t="shared" si="15"/>
        <v>0.10568181818181821</v>
      </c>
      <c r="Z119" s="67"/>
      <c r="AA119" s="71">
        <v>36373</v>
      </c>
      <c r="AB119" s="72">
        <v>257.3</v>
      </c>
      <c r="AC119" s="72">
        <v>258.8</v>
      </c>
      <c r="AD119" s="73">
        <f t="shared" si="16"/>
        <v>-5.7959814528593112E-3</v>
      </c>
      <c r="AE119" s="67"/>
      <c r="AF119" s="71">
        <v>36373</v>
      </c>
      <c r="AG119" s="72">
        <v>99.95</v>
      </c>
      <c r="AH119" s="72">
        <v>99.97</v>
      </c>
      <c r="AI119" s="73">
        <f t="shared" si="17"/>
        <v>-2.0006001800532136E-4</v>
      </c>
      <c r="AJ119" s="67"/>
      <c r="AK119" s="74">
        <v>36403</v>
      </c>
      <c r="AL119" s="41">
        <v>5.9800000000000006E-2</v>
      </c>
      <c r="AM119" s="41">
        <f t="shared" si="19"/>
        <v>6.0000000000000331E-4</v>
      </c>
      <c r="AN119" s="67"/>
      <c r="AO119" s="75">
        <v>36373</v>
      </c>
      <c r="AP119" s="76">
        <v>575476.25</v>
      </c>
      <c r="AQ119" s="80">
        <f t="shared" si="7"/>
        <v>2.0177866803268163E-3</v>
      </c>
      <c r="AR119" s="67"/>
      <c r="AS119" s="94">
        <v>36373</v>
      </c>
      <c r="AT119" s="78">
        <v>0.9534999999999999</v>
      </c>
      <c r="AU119" s="67"/>
      <c r="AV119" s="79">
        <v>36373</v>
      </c>
      <c r="AW119" s="76">
        <v>303902.25</v>
      </c>
      <c r="AX119" s="80">
        <f t="shared" si="8"/>
        <v>-3.3557011763867939E-2</v>
      </c>
      <c r="AY119" s="67"/>
      <c r="AZ119" s="81">
        <v>36373</v>
      </c>
      <c r="BA119" s="82">
        <v>62.858642578125</v>
      </c>
      <c r="BB119" s="82">
        <v>65.262107849121094</v>
      </c>
      <c r="BC119" s="67"/>
      <c r="BD119" s="83">
        <v>36387</v>
      </c>
      <c r="BE119" s="42">
        <v>5780</v>
      </c>
      <c r="BF119" s="41">
        <f t="shared" si="9"/>
        <v>-3.1045187995860646E-3</v>
      </c>
      <c r="BG119" s="67"/>
      <c r="BH119" s="84">
        <v>36373</v>
      </c>
      <c r="BI119" s="85">
        <v>89.792400000000001</v>
      </c>
      <c r="BJ119" s="87">
        <f t="shared" si="10"/>
        <v>4.0152828979809208E-3</v>
      </c>
      <c r="BK119" s="67"/>
      <c r="BL119" s="84">
        <v>36373</v>
      </c>
      <c r="BM119" s="86">
        <v>-36.608356999999998</v>
      </c>
      <c r="BN119" s="67"/>
      <c r="BO119" s="88">
        <v>36373</v>
      </c>
      <c r="BP119" s="89">
        <v>0.78700000000000003</v>
      </c>
      <c r="BQ119" s="89">
        <v>0.75749999999999995</v>
      </c>
      <c r="BR119" s="90">
        <f t="shared" si="5"/>
        <v>3.8943894389439127E-2</v>
      </c>
    </row>
    <row r="120" spans="1:70">
      <c r="A120" s="62">
        <v>36404</v>
      </c>
      <c r="B120" s="63">
        <v>36404</v>
      </c>
      <c r="C120" s="39">
        <v>24.51</v>
      </c>
      <c r="D120" s="64">
        <v>22.11</v>
      </c>
      <c r="E120" s="40">
        <f t="shared" si="13"/>
        <v>0.10854816824966096</v>
      </c>
      <c r="F120" s="65"/>
      <c r="G120" s="63">
        <v>36404</v>
      </c>
      <c r="H120" s="39">
        <v>25.41</v>
      </c>
      <c r="I120" s="39">
        <v>23.86</v>
      </c>
      <c r="J120" s="40">
        <f t="shared" si="18"/>
        <v>6.4962279966471081E-2</v>
      </c>
      <c r="K120" s="67"/>
      <c r="L120" s="68">
        <v>36404</v>
      </c>
      <c r="M120" s="98">
        <v>1282.7</v>
      </c>
      <c r="N120" s="98">
        <v>1320.4</v>
      </c>
      <c r="O120" s="70">
        <f t="shared" si="14"/>
        <v>-2.8551953953347531E-2</v>
      </c>
      <c r="P120" s="67"/>
      <c r="Q120" s="38">
        <v>36404</v>
      </c>
      <c r="R120" s="39">
        <v>2.7440000000000002</v>
      </c>
      <c r="S120" s="39">
        <v>2.819</v>
      </c>
      <c r="T120" s="40">
        <f t="shared" si="20"/>
        <v>-2.6605179141539481E-2</v>
      </c>
      <c r="U120" s="67"/>
      <c r="V120" s="38">
        <v>36404</v>
      </c>
      <c r="W120" s="39">
        <v>0.62380000000000002</v>
      </c>
      <c r="X120" s="39">
        <v>0.59</v>
      </c>
      <c r="Y120" s="40">
        <f t="shared" si="15"/>
        <v>5.7288135593220435E-2</v>
      </c>
      <c r="Z120" s="67"/>
      <c r="AA120" s="71">
        <v>36404</v>
      </c>
      <c r="AB120" s="72">
        <v>299.5</v>
      </c>
      <c r="AC120" s="72">
        <v>257.5</v>
      </c>
      <c r="AD120" s="73">
        <f t="shared" si="16"/>
        <v>0.16310679611650492</v>
      </c>
      <c r="AE120" s="67"/>
      <c r="AF120" s="71">
        <v>36404</v>
      </c>
      <c r="AG120" s="72">
        <v>98.54</v>
      </c>
      <c r="AH120" s="72">
        <v>100.04</v>
      </c>
      <c r="AI120" s="73">
        <f t="shared" si="17"/>
        <v>-1.4994002399040363E-2</v>
      </c>
      <c r="AJ120" s="67"/>
      <c r="AK120" s="74">
        <v>36433</v>
      </c>
      <c r="AL120" s="41">
        <v>5.9000000000000004E-2</v>
      </c>
      <c r="AM120" s="41">
        <f t="shared" si="19"/>
        <v>-8.000000000000021E-4</v>
      </c>
      <c r="AN120" s="67"/>
      <c r="AO120" s="75">
        <v>36404</v>
      </c>
      <c r="AP120" s="76">
        <v>575289</v>
      </c>
      <c r="AQ120" s="80">
        <f t="shared" si="7"/>
        <v>-3.2538267217807615E-4</v>
      </c>
      <c r="AR120" s="67"/>
      <c r="AS120" s="94">
        <v>36404</v>
      </c>
      <c r="AT120" s="78">
        <v>0.94550000000000001</v>
      </c>
      <c r="AU120" s="67"/>
      <c r="AV120" s="79">
        <v>36404</v>
      </c>
      <c r="AW120" s="76">
        <v>293030.75</v>
      </c>
      <c r="AX120" s="80">
        <f t="shared" si="8"/>
        <v>-3.5773015829925536E-2</v>
      </c>
      <c r="AY120" s="67"/>
      <c r="AZ120" s="81">
        <v>36404</v>
      </c>
      <c r="BA120" s="82">
        <v>69.581512451171875</v>
      </c>
      <c r="BB120" s="82">
        <v>75.54266357421875</v>
      </c>
      <c r="BC120" s="67"/>
      <c r="BD120" s="83">
        <v>36418</v>
      </c>
      <c r="BE120" s="42">
        <v>5804</v>
      </c>
      <c r="BF120" s="41">
        <f t="shared" si="9"/>
        <v>4.1522491349481605E-3</v>
      </c>
      <c r="BG120" s="67"/>
      <c r="BH120" s="84">
        <v>36404</v>
      </c>
      <c r="BI120" s="85">
        <v>89.429900000000004</v>
      </c>
      <c r="BJ120" s="87">
        <f t="shared" si="10"/>
        <v>-4.0370899987081099E-3</v>
      </c>
      <c r="BK120" s="67"/>
      <c r="BL120" s="84">
        <v>36404</v>
      </c>
      <c r="BM120" s="86">
        <v>-27.728598999999999</v>
      </c>
      <c r="BN120" s="67"/>
      <c r="BO120" s="88">
        <v>36404</v>
      </c>
      <c r="BP120" s="89">
        <v>0.82650000000000001</v>
      </c>
      <c r="BQ120" s="89">
        <v>0.79749999999999999</v>
      </c>
      <c r="BR120" s="90">
        <f t="shared" si="5"/>
        <v>3.6363636363636376E-2</v>
      </c>
    </row>
    <row r="121" spans="1:70">
      <c r="A121" s="62">
        <v>36434</v>
      </c>
      <c r="B121" s="63">
        <v>36434</v>
      </c>
      <c r="C121" s="39">
        <v>21.75</v>
      </c>
      <c r="D121" s="64">
        <v>24.45</v>
      </c>
      <c r="E121" s="40">
        <f t="shared" si="13"/>
        <v>-0.11042944785276076</v>
      </c>
      <c r="F121" s="65"/>
      <c r="G121" s="63">
        <v>36434</v>
      </c>
      <c r="H121" s="39">
        <v>22.2</v>
      </c>
      <c r="I121" s="39">
        <v>25.58</v>
      </c>
      <c r="J121" s="40">
        <f t="shared" si="18"/>
        <v>-0.1321344800625488</v>
      </c>
      <c r="K121" s="67"/>
      <c r="L121" s="68">
        <v>36434</v>
      </c>
      <c r="M121" s="98">
        <v>1362.9</v>
      </c>
      <c r="N121" s="98">
        <v>1282.7</v>
      </c>
      <c r="O121" s="70">
        <f t="shared" si="14"/>
        <v>6.2524362672487843E-2</v>
      </c>
      <c r="P121" s="67"/>
      <c r="Q121" s="38">
        <v>36434</v>
      </c>
      <c r="R121" s="39">
        <v>2.9609999999999999</v>
      </c>
      <c r="S121" s="39">
        <v>2.74</v>
      </c>
      <c r="T121" s="40">
        <f t="shared" si="20"/>
        <v>8.0656934306569283E-2</v>
      </c>
      <c r="U121" s="67"/>
      <c r="V121" s="38">
        <v>36434</v>
      </c>
      <c r="W121" s="39">
        <v>0.57989999999999997</v>
      </c>
      <c r="X121" s="39">
        <v>0.62949999999999995</v>
      </c>
      <c r="Y121" s="40">
        <f t="shared" si="15"/>
        <v>-7.8792692613185E-2</v>
      </c>
      <c r="Z121" s="67"/>
      <c r="AA121" s="71">
        <v>36434</v>
      </c>
      <c r="AB121" s="72">
        <v>300.3</v>
      </c>
      <c r="AC121" s="72">
        <v>299.10000000000002</v>
      </c>
      <c r="AD121" s="73">
        <f t="shared" si="16"/>
        <v>4.0120361083249012E-3</v>
      </c>
      <c r="AE121" s="67"/>
      <c r="AF121" s="71">
        <v>36434</v>
      </c>
      <c r="AG121" s="72">
        <v>99.06</v>
      </c>
      <c r="AH121" s="72">
        <v>98.52</v>
      </c>
      <c r="AI121" s="73">
        <f t="shared" si="17"/>
        <v>5.4811205846529987E-3</v>
      </c>
      <c r="AJ121" s="67"/>
      <c r="AK121" s="74">
        <v>36464</v>
      </c>
      <c r="AL121" s="41">
        <v>6.0199999999999997E-2</v>
      </c>
      <c r="AM121" s="41">
        <f t="shared" si="19"/>
        <v>1.1999999999999927E-3</v>
      </c>
      <c r="AN121" s="67"/>
      <c r="AO121" s="75">
        <v>36434</v>
      </c>
      <c r="AP121" s="76">
        <v>575233.6</v>
      </c>
      <c r="AQ121" s="80">
        <f t="shared" si="7"/>
        <v>-9.6299425158541396E-5</v>
      </c>
      <c r="AR121" s="67"/>
      <c r="AS121" s="94">
        <v>36434</v>
      </c>
      <c r="AT121" s="78">
        <v>0.91200000000000003</v>
      </c>
      <c r="AU121" s="67"/>
      <c r="AV121" s="79">
        <v>36434</v>
      </c>
      <c r="AW121" s="76">
        <v>285533.40000000002</v>
      </c>
      <c r="AX121" s="80">
        <f t="shared" si="8"/>
        <v>-2.5585540084103742E-2</v>
      </c>
      <c r="AY121" s="67"/>
      <c r="AZ121" s="81">
        <v>36434</v>
      </c>
      <c r="BA121" s="82">
        <v>72.353485107421875</v>
      </c>
      <c r="BB121" s="82">
        <v>79.384109497070313</v>
      </c>
      <c r="BC121" s="67"/>
      <c r="BD121" s="83">
        <v>36448</v>
      </c>
      <c r="BE121" s="42">
        <v>5947</v>
      </c>
      <c r="BF121" s="41">
        <f t="shared" si="9"/>
        <v>2.4638180565127454E-2</v>
      </c>
      <c r="BG121" s="67"/>
      <c r="BH121" s="84">
        <v>36434</v>
      </c>
      <c r="BI121" s="85">
        <v>90.522999999999996</v>
      </c>
      <c r="BJ121" s="87">
        <f t="shared" si="10"/>
        <v>1.2222981351874385E-2</v>
      </c>
      <c r="BK121" s="67"/>
      <c r="BL121" s="84">
        <v>36434</v>
      </c>
      <c r="BM121" s="86">
        <v>-12.17531</v>
      </c>
      <c r="BN121" s="67"/>
      <c r="BO121" s="88">
        <v>36434</v>
      </c>
      <c r="BP121" s="89">
        <v>0.81</v>
      </c>
      <c r="BQ121" s="89">
        <v>0.82499999999999996</v>
      </c>
      <c r="BR121" s="90">
        <f t="shared" si="5"/>
        <v>-1.8181818181818077E-2</v>
      </c>
    </row>
    <row r="122" spans="1:70">
      <c r="A122" s="62">
        <v>36465</v>
      </c>
      <c r="B122" s="63">
        <v>36465</v>
      </c>
      <c r="C122" s="39">
        <v>24.59</v>
      </c>
      <c r="D122" s="64">
        <v>22</v>
      </c>
      <c r="E122" s="40">
        <f t="shared" si="13"/>
        <v>0.11772727272727268</v>
      </c>
      <c r="F122" s="65"/>
      <c r="G122" s="63">
        <v>36465</v>
      </c>
      <c r="H122" s="39">
        <v>24.18</v>
      </c>
      <c r="I122" s="39">
        <v>22.7</v>
      </c>
      <c r="J122" s="40">
        <f t="shared" si="18"/>
        <v>6.5198237885462529E-2</v>
      </c>
      <c r="K122" s="67"/>
      <c r="L122" s="68">
        <v>36465</v>
      </c>
      <c r="M122" s="98">
        <v>1388.9</v>
      </c>
      <c r="N122" s="98">
        <v>1362.9</v>
      </c>
      <c r="O122" s="70">
        <f t="shared" si="14"/>
        <v>1.907696822951066E-2</v>
      </c>
      <c r="P122" s="67"/>
      <c r="Q122" s="38">
        <v>36465</v>
      </c>
      <c r="R122" s="39">
        <v>2.3039999999999998</v>
      </c>
      <c r="S122" s="39">
        <v>2.89</v>
      </c>
      <c r="T122" s="40">
        <f t="shared" si="20"/>
        <v>-0.20276816608996551</v>
      </c>
      <c r="U122" s="67"/>
      <c r="V122" s="38">
        <v>36465</v>
      </c>
      <c r="W122" s="39">
        <v>0.63829999999999998</v>
      </c>
      <c r="X122" s="39">
        <v>0.59099999999999997</v>
      </c>
      <c r="Y122" s="40">
        <f t="shared" si="15"/>
        <v>8.0033840947546508E-2</v>
      </c>
      <c r="Z122" s="67"/>
      <c r="AA122" s="71">
        <v>36465</v>
      </c>
      <c r="AB122" s="72">
        <v>293</v>
      </c>
      <c r="AC122" s="72">
        <v>299.7</v>
      </c>
      <c r="AD122" s="73">
        <f t="shared" si="16"/>
        <v>-2.2355689022355629E-2</v>
      </c>
      <c r="AE122" s="67"/>
      <c r="AF122" s="71">
        <v>36465</v>
      </c>
      <c r="AG122" s="72">
        <v>101.99</v>
      </c>
      <c r="AH122" s="72">
        <v>98.98</v>
      </c>
      <c r="AI122" s="73">
        <f t="shared" si="17"/>
        <v>3.0410183875530405E-2</v>
      </c>
      <c r="AJ122" s="67"/>
      <c r="AK122" s="74">
        <v>36494</v>
      </c>
      <c r="AL122" s="41">
        <v>6.1799999999999994E-2</v>
      </c>
      <c r="AM122" s="41">
        <f t="shared" si="19"/>
        <v>1.5999999999999973E-3</v>
      </c>
      <c r="AN122" s="67"/>
      <c r="AO122" s="75">
        <v>36465</v>
      </c>
      <c r="AP122" s="76">
        <v>571591.75</v>
      </c>
      <c r="AQ122" s="80">
        <f t="shared" si="7"/>
        <v>-6.331080103804787E-3</v>
      </c>
      <c r="AR122" s="67"/>
      <c r="AS122" s="94">
        <v>36465</v>
      </c>
      <c r="AT122" s="78">
        <v>0.91049999999999998</v>
      </c>
      <c r="AU122" s="67"/>
      <c r="AV122" s="79">
        <v>36465</v>
      </c>
      <c r="AW122" s="76">
        <v>287685</v>
      </c>
      <c r="AX122" s="80">
        <f t="shared" si="8"/>
        <v>7.5353706431540157E-3</v>
      </c>
      <c r="AY122" s="67"/>
      <c r="AZ122" s="81">
        <v>36465</v>
      </c>
      <c r="BA122" s="82">
        <v>57.9638671875</v>
      </c>
      <c r="BB122" s="82">
        <v>60.386981964111328</v>
      </c>
      <c r="BC122" s="67"/>
      <c r="BD122" s="83">
        <v>36479</v>
      </c>
      <c r="BE122" s="42">
        <v>5960</v>
      </c>
      <c r="BF122" s="41">
        <f t="shared" si="9"/>
        <v>2.1859761224145569E-3</v>
      </c>
      <c r="BG122" s="67"/>
      <c r="BH122" s="84">
        <v>36465</v>
      </c>
      <c r="BI122" s="85">
        <v>90.961799999999997</v>
      </c>
      <c r="BJ122" s="87">
        <f t="shared" si="10"/>
        <v>4.8473868519602892E-3</v>
      </c>
      <c r="BK122" s="67"/>
      <c r="BL122" s="84">
        <v>36465</v>
      </c>
      <c r="BM122" s="86">
        <v>-12.560359999999999</v>
      </c>
      <c r="BN122" s="67"/>
      <c r="BO122" s="88">
        <v>36465</v>
      </c>
      <c r="BP122" s="89">
        <v>0.8135</v>
      </c>
      <c r="BQ122" s="89">
        <v>0.8075</v>
      </c>
      <c r="BR122" s="90">
        <f t="shared" si="5"/>
        <v>7.4303405572755388E-3</v>
      </c>
    </row>
    <row r="123" spans="1:70">
      <c r="A123" s="62">
        <v>36495</v>
      </c>
      <c r="B123" s="63">
        <v>36495</v>
      </c>
      <c r="C123" s="39">
        <v>25.6</v>
      </c>
      <c r="D123" s="64">
        <v>24.63</v>
      </c>
      <c r="E123" s="40">
        <f t="shared" si="13"/>
        <v>3.9382866423061325E-2</v>
      </c>
      <c r="F123" s="65"/>
      <c r="G123" s="63">
        <v>36495</v>
      </c>
      <c r="H123" s="39">
        <v>24.64</v>
      </c>
      <c r="I123" s="39">
        <v>23.41</v>
      </c>
      <c r="J123" s="40">
        <f t="shared" si="18"/>
        <v>5.2541648868005053E-2</v>
      </c>
      <c r="K123" s="67"/>
      <c r="L123" s="68">
        <v>36495</v>
      </c>
      <c r="M123" s="98">
        <v>1469.2</v>
      </c>
      <c r="N123" s="98">
        <v>1388.9</v>
      </c>
      <c r="O123" s="70">
        <f t="shared" si="14"/>
        <v>5.7815537475700118E-2</v>
      </c>
      <c r="P123" s="67"/>
      <c r="Q123" s="38">
        <v>36495</v>
      </c>
      <c r="R123" s="39">
        <v>2.3290000000000002</v>
      </c>
      <c r="S123" s="39">
        <v>2.3180000000000001</v>
      </c>
      <c r="T123" s="40">
        <f t="shared" si="20"/>
        <v>4.7454702329594589E-3</v>
      </c>
      <c r="U123" s="67"/>
      <c r="V123" s="38">
        <v>36495</v>
      </c>
      <c r="W123" s="39">
        <v>0.67869999999999997</v>
      </c>
      <c r="X123" s="39">
        <v>0.63500000000000001</v>
      </c>
      <c r="Y123" s="40">
        <f t="shared" si="15"/>
        <v>6.8818897637795251E-2</v>
      </c>
      <c r="Z123" s="67"/>
      <c r="AA123" s="71">
        <v>36495</v>
      </c>
      <c r="AB123" s="72">
        <v>289.60000000000002</v>
      </c>
      <c r="AC123" s="72">
        <v>293</v>
      </c>
      <c r="AD123" s="73">
        <f t="shared" si="16"/>
        <v>-1.1604095563139905E-2</v>
      </c>
      <c r="AE123" s="67"/>
      <c r="AF123" s="71">
        <v>36495</v>
      </c>
      <c r="AG123" s="72">
        <v>101.87</v>
      </c>
      <c r="AH123" s="72">
        <v>101.98</v>
      </c>
      <c r="AI123" s="73">
        <f t="shared" si="17"/>
        <v>-1.0786428711512253E-3</v>
      </c>
      <c r="AJ123" s="67"/>
      <c r="AK123" s="74">
        <v>36525</v>
      </c>
      <c r="AL123" s="41">
        <v>6.4500000000000002E-2</v>
      </c>
      <c r="AM123" s="41">
        <f t="shared" si="19"/>
        <v>2.7000000000000079E-3</v>
      </c>
      <c r="AN123" s="67"/>
      <c r="AO123" s="75">
        <v>36495</v>
      </c>
      <c r="AP123" s="76">
        <v>568086.80000000005</v>
      </c>
      <c r="AQ123" s="80">
        <f t="shared" si="7"/>
        <v>-6.1319114560347554E-3</v>
      </c>
      <c r="AR123" s="67"/>
      <c r="AS123" s="94">
        <v>36495</v>
      </c>
      <c r="AT123" s="78">
        <v>0.8992</v>
      </c>
      <c r="AU123" s="67"/>
      <c r="AV123" s="79">
        <v>36495</v>
      </c>
      <c r="AW123" s="76">
        <v>277631.40000000002</v>
      </c>
      <c r="AX123" s="80">
        <f t="shared" si="8"/>
        <v>-3.4946556129099471E-2</v>
      </c>
      <c r="AY123" s="67"/>
      <c r="AZ123" s="81">
        <v>36495</v>
      </c>
      <c r="BA123" s="82">
        <v>86.084938049316406</v>
      </c>
      <c r="BB123" s="82">
        <v>95.510826110839844</v>
      </c>
      <c r="BC123" s="67"/>
      <c r="BD123" s="83">
        <v>36509</v>
      </c>
      <c r="BE123" s="42">
        <v>5959</v>
      </c>
      <c r="BF123" s="41">
        <f t="shared" si="9"/>
        <v>-1.677852348993536E-4</v>
      </c>
      <c r="BG123" s="67"/>
      <c r="BH123" s="84">
        <v>36495</v>
      </c>
      <c r="BI123" s="85">
        <v>91.663399999999996</v>
      </c>
      <c r="BJ123" s="87">
        <f t="shared" si="10"/>
        <v>7.7131279284270438E-3</v>
      </c>
      <c r="BK123" s="67"/>
      <c r="BL123" s="84">
        <v>36495</v>
      </c>
      <c r="BM123" s="86">
        <v>-11.957841999999999</v>
      </c>
      <c r="BN123" s="67"/>
      <c r="BO123" s="88">
        <v>36495</v>
      </c>
      <c r="BP123" s="89">
        <v>0.86299999999999999</v>
      </c>
      <c r="BQ123" s="89">
        <v>0.80049999999999999</v>
      </c>
      <c r="BR123" s="90">
        <f t="shared" si="5"/>
        <v>7.8076202373516645E-2</v>
      </c>
    </row>
    <row r="124" spans="1:70">
      <c r="A124" s="62">
        <v>36526</v>
      </c>
      <c r="B124" s="63">
        <v>36526</v>
      </c>
      <c r="C124" s="39">
        <v>27.64</v>
      </c>
      <c r="D124" s="64">
        <v>25.2</v>
      </c>
      <c r="E124" s="40">
        <f t="shared" si="13"/>
        <v>9.6825396825396925E-2</v>
      </c>
      <c r="F124" s="65"/>
      <c r="G124" s="63">
        <v>36526</v>
      </c>
      <c r="H124" s="39">
        <v>24.95</v>
      </c>
      <c r="I124" s="39">
        <v>24.36</v>
      </c>
      <c r="J124" s="40">
        <f t="shared" si="18"/>
        <v>2.4220032840722494E-2</v>
      </c>
      <c r="K124" s="67"/>
      <c r="L124" s="68">
        <v>36526</v>
      </c>
      <c r="M124" s="98">
        <v>1394.5</v>
      </c>
      <c r="N124" s="98">
        <v>1469.2</v>
      </c>
      <c r="O124" s="70">
        <f t="shared" si="14"/>
        <v>-5.0843996732915953E-2</v>
      </c>
      <c r="P124" s="67"/>
      <c r="Q124" s="38">
        <v>36526</v>
      </c>
      <c r="R124" s="39">
        <v>2.6619999999999999</v>
      </c>
      <c r="S124" s="39">
        <v>2.13</v>
      </c>
      <c r="T124" s="40">
        <f t="shared" si="20"/>
        <v>0.2497652582159624</v>
      </c>
      <c r="U124" s="67"/>
      <c r="V124" s="38">
        <v>36526</v>
      </c>
      <c r="W124" s="39">
        <v>0.74339999999999995</v>
      </c>
      <c r="X124" s="39">
        <v>0.64249999999999996</v>
      </c>
      <c r="Y124" s="40">
        <f t="shared" si="15"/>
        <v>0.15704280155642025</v>
      </c>
      <c r="Z124" s="67"/>
      <c r="AA124" s="71">
        <v>36526</v>
      </c>
      <c r="AB124" s="72">
        <v>286.2</v>
      </c>
      <c r="AC124" s="72">
        <v>289.5</v>
      </c>
      <c r="AD124" s="73">
        <f t="shared" si="16"/>
        <v>-1.1398963730570033E-2</v>
      </c>
      <c r="AE124" s="67"/>
      <c r="AF124" s="71">
        <v>36526</v>
      </c>
      <c r="AG124" s="72">
        <v>105.13</v>
      </c>
      <c r="AH124" s="72">
        <v>101.67</v>
      </c>
      <c r="AI124" s="73">
        <f t="shared" si="17"/>
        <v>3.403167109275107E-2</v>
      </c>
      <c r="AJ124" s="67"/>
      <c r="AK124" s="74">
        <v>36556</v>
      </c>
      <c r="AL124" s="41">
        <v>6.6799999999999998E-2</v>
      </c>
      <c r="AM124" s="41">
        <f t="shared" si="19"/>
        <v>2.2999999999999965E-3</v>
      </c>
      <c r="AN124" s="67"/>
      <c r="AO124" s="75">
        <v>36526</v>
      </c>
      <c r="AP124" s="76">
        <v>567822.25</v>
      </c>
      <c r="AQ124" s="80">
        <f t="shared" si="7"/>
        <v>-4.6568587758077928E-4</v>
      </c>
      <c r="AR124" s="67"/>
      <c r="AS124" s="94">
        <v>36526</v>
      </c>
      <c r="AT124" s="78">
        <v>0.86124999999999996</v>
      </c>
      <c r="AU124" s="67"/>
      <c r="AV124" s="79">
        <v>36526</v>
      </c>
      <c r="AW124" s="76">
        <v>274164.75</v>
      </c>
      <c r="AX124" s="80">
        <f t="shared" si="8"/>
        <v>-1.2486519896524717E-2</v>
      </c>
      <c r="AY124" s="67"/>
      <c r="AZ124" s="81">
        <v>36526</v>
      </c>
      <c r="BA124" s="82">
        <v>64.457809448242188</v>
      </c>
      <c r="BB124" s="82">
        <v>65.573600769042969</v>
      </c>
      <c r="BC124" s="67"/>
      <c r="BD124" s="83">
        <v>36540</v>
      </c>
      <c r="BE124" s="42">
        <v>5784</v>
      </c>
      <c r="BF124" s="41">
        <f t="shared" si="9"/>
        <v>-2.9367343514012378E-2</v>
      </c>
      <c r="BG124" s="67"/>
      <c r="BH124" s="84">
        <v>36526</v>
      </c>
      <c r="BI124" s="85">
        <v>91.537999999999997</v>
      </c>
      <c r="BJ124" s="87">
        <f t="shared" si="10"/>
        <v>-1.3680487522828022E-3</v>
      </c>
      <c r="BK124" s="67"/>
      <c r="BL124" s="84">
        <v>36526</v>
      </c>
      <c r="BM124" s="86">
        <v>-10.022796</v>
      </c>
      <c r="BN124" s="67"/>
      <c r="BO124" s="88">
        <v>36526</v>
      </c>
      <c r="BP124" s="89">
        <v>0.85450000000000004</v>
      </c>
      <c r="BQ124" s="89">
        <v>0.86150000000000004</v>
      </c>
      <c r="BR124" s="90">
        <f t="shared" si="5"/>
        <v>-8.1253627394080041E-3</v>
      </c>
    </row>
    <row r="125" spans="1:70">
      <c r="A125" s="62">
        <v>36557</v>
      </c>
      <c r="B125" s="63">
        <v>36557</v>
      </c>
      <c r="C125" s="39">
        <v>30.43</v>
      </c>
      <c r="D125" s="64">
        <v>27.6</v>
      </c>
      <c r="E125" s="40">
        <f t="shared" si="13"/>
        <v>0.10253623188405792</v>
      </c>
      <c r="F125" s="65"/>
      <c r="G125" s="63">
        <v>36557</v>
      </c>
      <c r="H125" s="39">
        <v>23.37</v>
      </c>
      <c r="I125" s="39">
        <v>24.43</v>
      </c>
      <c r="J125" s="40">
        <f t="shared" si="18"/>
        <v>-4.3389275480965939E-2</v>
      </c>
      <c r="K125" s="67"/>
      <c r="L125" s="68">
        <v>36557</v>
      </c>
      <c r="M125" s="98">
        <v>1366.4</v>
      </c>
      <c r="N125" s="98">
        <v>1394.5</v>
      </c>
      <c r="O125" s="70">
        <f t="shared" si="14"/>
        <v>-2.0150591609895963E-2</v>
      </c>
      <c r="P125" s="67"/>
      <c r="Q125" s="38">
        <v>36557</v>
      </c>
      <c r="R125" s="39">
        <v>2.7610000000000001</v>
      </c>
      <c r="S125" s="39">
        <v>2.67</v>
      </c>
      <c r="T125" s="40">
        <f t="shared" si="20"/>
        <v>3.4082397003745379E-2</v>
      </c>
      <c r="U125" s="67"/>
      <c r="V125" s="38">
        <v>36557</v>
      </c>
      <c r="W125" s="39">
        <v>0.76449999999999996</v>
      </c>
      <c r="X125" s="39">
        <v>0.69399999999999995</v>
      </c>
      <c r="Y125" s="40">
        <f t="shared" si="15"/>
        <v>0.10158501440922185</v>
      </c>
      <c r="Z125" s="67"/>
      <c r="AA125" s="71">
        <v>36557</v>
      </c>
      <c r="AB125" s="72">
        <v>294.2</v>
      </c>
      <c r="AC125" s="72">
        <v>286</v>
      </c>
      <c r="AD125" s="73">
        <f t="shared" si="16"/>
        <v>2.8671328671328711E-2</v>
      </c>
      <c r="AE125" s="67"/>
      <c r="AF125" s="71">
        <v>36557</v>
      </c>
      <c r="AG125" s="72">
        <v>105.92</v>
      </c>
      <c r="AH125" s="72">
        <v>104.98</v>
      </c>
      <c r="AI125" s="73">
        <f t="shared" si="17"/>
        <v>8.9540864926651587E-3</v>
      </c>
      <c r="AJ125" s="67"/>
      <c r="AK125" s="74">
        <v>36585</v>
      </c>
      <c r="AL125" s="41">
        <v>6.4199999999999993E-2</v>
      </c>
      <c r="AM125" s="41">
        <f t="shared" si="19"/>
        <v>-2.6000000000000051E-3</v>
      </c>
      <c r="AN125" s="67"/>
      <c r="AO125" s="75">
        <v>36557</v>
      </c>
      <c r="AP125" s="76">
        <v>569168.5</v>
      </c>
      <c r="AQ125" s="80">
        <f t="shared" si="7"/>
        <v>2.3709004006096102E-3</v>
      </c>
      <c r="AR125" s="67"/>
      <c r="AS125" s="94">
        <v>36557</v>
      </c>
      <c r="AT125" s="78">
        <v>0.85699999999999998</v>
      </c>
      <c r="AU125" s="67"/>
      <c r="AV125" s="79">
        <v>36557</v>
      </c>
      <c r="AW125" s="76">
        <v>269770.25</v>
      </c>
      <c r="AX125" s="80">
        <f t="shared" si="8"/>
        <v>-1.6028683483197637E-2</v>
      </c>
      <c r="AY125" s="67"/>
      <c r="AZ125" s="81">
        <v>36557</v>
      </c>
      <c r="BA125" s="82">
        <v>63.541721343994141</v>
      </c>
      <c r="BB125" s="82">
        <v>57.651359558105469</v>
      </c>
      <c r="BC125" s="67"/>
      <c r="BD125" s="83">
        <v>36571</v>
      </c>
      <c r="BE125" s="42">
        <v>5852</v>
      </c>
      <c r="BF125" s="41">
        <f t="shared" si="9"/>
        <v>1.1756569847856113E-2</v>
      </c>
      <c r="BG125" s="67"/>
      <c r="BH125" s="84">
        <v>36557</v>
      </c>
      <c r="BI125" s="85">
        <v>91.823899999999995</v>
      </c>
      <c r="BJ125" s="87">
        <f t="shared" si="10"/>
        <v>3.1232930586204688E-3</v>
      </c>
      <c r="BK125" s="67"/>
      <c r="BL125" s="84">
        <v>36557</v>
      </c>
      <c r="BM125" s="86">
        <v>-8.6761128999999997</v>
      </c>
      <c r="BN125" s="67"/>
      <c r="BO125" s="88">
        <v>36557</v>
      </c>
      <c r="BP125" s="89">
        <v>0.79800000000000004</v>
      </c>
      <c r="BQ125" s="89">
        <v>0.85499999999999998</v>
      </c>
      <c r="BR125" s="90">
        <f t="shared" si="5"/>
        <v>-6.6666666666666652E-2</v>
      </c>
    </row>
    <row r="126" spans="1:70">
      <c r="A126" s="62">
        <v>36586</v>
      </c>
      <c r="B126" s="63">
        <v>36586</v>
      </c>
      <c r="C126" s="39">
        <v>26.9</v>
      </c>
      <c r="D126" s="64">
        <v>30.49</v>
      </c>
      <c r="E126" s="40">
        <f t="shared" si="13"/>
        <v>-0.11774352246638242</v>
      </c>
      <c r="F126" s="65"/>
      <c r="G126" s="63">
        <v>36586</v>
      </c>
      <c r="H126" s="39">
        <v>24.11</v>
      </c>
      <c r="I126" s="39">
        <v>22.65</v>
      </c>
      <c r="J126" s="40">
        <f t="shared" si="18"/>
        <v>6.4459161147902844E-2</v>
      </c>
      <c r="K126" s="67"/>
      <c r="L126" s="68">
        <v>36586</v>
      </c>
      <c r="M126" s="98">
        <v>1498.6</v>
      </c>
      <c r="N126" s="98">
        <v>1366.4</v>
      </c>
      <c r="O126" s="70">
        <f t="shared" si="14"/>
        <v>9.6750585480093632E-2</v>
      </c>
      <c r="P126" s="67"/>
      <c r="Q126" s="38">
        <v>36586</v>
      </c>
      <c r="R126" s="39">
        <v>2.9449999999999998</v>
      </c>
      <c r="S126" s="39">
        <v>2.76</v>
      </c>
      <c r="T126" s="40">
        <f t="shared" si="20"/>
        <v>6.7028985507246341E-2</v>
      </c>
      <c r="U126" s="67"/>
      <c r="V126" s="38">
        <v>36586</v>
      </c>
      <c r="W126" s="39">
        <v>0.6865</v>
      </c>
      <c r="X126" s="39">
        <v>0.72050000000000003</v>
      </c>
      <c r="Y126" s="40">
        <f t="shared" si="15"/>
        <v>-4.7189451769604429E-2</v>
      </c>
      <c r="Z126" s="67"/>
      <c r="AA126" s="71">
        <v>36586</v>
      </c>
      <c r="AB126" s="72">
        <v>281.39999999999998</v>
      </c>
      <c r="AC126" s="72">
        <v>294.2</v>
      </c>
      <c r="AD126" s="73">
        <f t="shared" si="16"/>
        <v>-4.3507817811012983E-2</v>
      </c>
      <c r="AE126" s="67"/>
      <c r="AF126" s="71">
        <v>36586</v>
      </c>
      <c r="AG126" s="72">
        <v>105.44</v>
      </c>
      <c r="AH126" s="72">
        <v>106.22</v>
      </c>
      <c r="AI126" s="73">
        <f t="shared" si="17"/>
        <v>-7.3432498587836514E-3</v>
      </c>
      <c r="AJ126" s="67"/>
      <c r="AK126" s="74">
        <v>36616</v>
      </c>
      <c r="AL126" s="41">
        <v>6.0299999999999999E-2</v>
      </c>
      <c r="AM126" s="41">
        <f t="shared" si="19"/>
        <v>-3.8999999999999937E-3</v>
      </c>
      <c r="AN126" s="67"/>
      <c r="AO126" s="75">
        <v>36586</v>
      </c>
      <c r="AP126" s="76">
        <v>569381.19999999995</v>
      </c>
      <c r="AQ126" s="80">
        <f t="shared" si="7"/>
        <v>3.7370304224482176E-4</v>
      </c>
      <c r="AR126" s="67"/>
      <c r="AS126" s="94">
        <v>36586</v>
      </c>
      <c r="AT126" s="78">
        <v>0.89760000000000006</v>
      </c>
      <c r="AU126" s="67"/>
      <c r="AV126" s="79">
        <v>36586</v>
      </c>
      <c r="AW126" s="76">
        <v>276070.59999999998</v>
      </c>
      <c r="AX126" s="80">
        <f t="shared" si="8"/>
        <v>2.3354502581363068E-2</v>
      </c>
      <c r="AY126" s="67"/>
      <c r="AZ126" s="81">
        <v>36586</v>
      </c>
      <c r="BA126" s="82">
        <v>50.101985931396484</v>
      </c>
      <c r="BB126" s="82">
        <v>55.030735015869141</v>
      </c>
      <c r="BC126" s="67"/>
      <c r="BD126" s="83">
        <v>36600</v>
      </c>
      <c r="BE126" s="42">
        <v>5918</v>
      </c>
      <c r="BF126" s="41">
        <f t="shared" si="9"/>
        <v>1.1278195488721776E-2</v>
      </c>
      <c r="BG126" s="67"/>
      <c r="BH126" s="84">
        <v>36586</v>
      </c>
      <c r="BI126" s="85">
        <v>92.150400000000005</v>
      </c>
      <c r="BJ126" s="87">
        <f t="shared" si="10"/>
        <v>3.5557191537280985E-3</v>
      </c>
      <c r="BK126" s="67"/>
      <c r="BL126" s="84">
        <v>36586</v>
      </c>
      <c r="BM126" s="86">
        <v>6.0013890999999999</v>
      </c>
      <c r="BN126" s="67"/>
      <c r="BO126" s="88">
        <v>36586</v>
      </c>
      <c r="BP126" s="89">
        <v>0.8085</v>
      </c>
      <c r="BQ126" s="89">
        <v>0.79849999999999999</v>
      </c>
      <c r="BR126" s="90">
        <f t="shared" si="5"/>
        <v>1.2523481527864755E-2</v>
      </c>
    </row>
    <row r="127" spans="1:70">
      <c r="A127" s="62">
        <v>36617</v>
      </c>
      <c r="B127" s="63">
        <v>36617</v>
      </c>
      <c r="C127" s="39">
        <v>25.74</v>
      </c>
      <c r="D127" s="64">
        <v>26.85</v>
      </c>
      <c r="E127" s="40">
        <f t="shared" si="13"/>
        <v>-4.1340782122905151E-2</v>
      </c>
      <c r="F127" s="65"/>
      <c r="G127" s="63">
        <v>36617</v>
      </c>
      <c r="H127" s="39">
        <v>26.2</v>
      </c>
      <c r="I127" s="39">
        <v>24.99</v>
      </c>
      <c r="J127" s="40">
        <f t="shared" si="18"/>
        <v>4.8419367747098985E-2</v>
      </c>
      <c r="K127" s="67"/>
      <c r="L127" s="68">
        <v>36617</v>
      </c>
      <c r="M127" s="98">
        <v>1452.4</v>
      </c>
      <c r="N127" s="98">
        <v>1498.6</v>
      </c>
      <c r="O127" s="70">
        <f t="shared" si="14"/>
        <v>-3.0828773521953678E-2</v>
      </c>
      <c r="P127" s="67"/>
      <c r="Q127" s="38">
        <v>36617</v>
      </c>
      <c r="R127" s="39">
        <v>3.141</v>
      </c>
      <c r="S127" s="39">
        <v>2.94</v>
      </c>
      <c r="T127" s="40">
        <f t="shared" si="20"/>
        <v>6.8367346938775553E-2</v>
      </c>
      <c r="U127" s="67"/>
      <c r="V127" s="38">
        <v>36617</v>
      </c>
      <c r="W127" s="39">
        <v>0.67190000000000005</v>
      </c>
      <c r="X127" s="39">
        <v>0.66</v>
      </c>
      <c r="Y127" s="40">
        <f t="shared" si="15"/>
        <v>1.8030303030303063E-2</v>
      </c>
      <c r="Z127" s="67"/>
      <c r="AA127" s="71">
        <v>36617</v>
      </c>
      <c r="AB127" s="72">
        <v>274.7</v>
      </c>
      <c r="AC127" s="72">
        <v>281.5</v>
      </c>
      <c r="AD127" s="73">
        <f t="shared" si="16"/>
        <v>-2.4156305506216724E-2</v>
      </c>
      <c r="AE127" s="67"/>
      <c r="AF127" s="71">
        <v>36617</v>
      </c>
      <c r="AG127" s="72">
        <v>110.14</v>
      </c>
      <c r="AH127" s="72">
        <v>105.61</v>
      </c>
      <c r="AI127" s="73">
        <f t="shared" si="17"/>
        <v>4.2893665372597312E-2</v>
      </c>
      <c r="AJ127" s="67"/>
      <c r="AK127" s="74">
        <v>36646</v>
      </c>
      <c r="AL127" s="41">
        <v>6.2300000000000001E-2</v>
      </c>
      <c r="AM127" s="41">
        <f t="shared" si="19"/>
        <v>2.0000000000000018E-3</v>
      </c>
      <c r="AN127" s="67"/>
      <c r="AO127" s="75">
        <v>36617</v>
      </c>
      <c r="AP127" s="76">
        <v>569412.75</v>
      </c>
      <c r="AQ127" s="80">
        <f t="shared" si="7"/>
        <v>5.541103218731358E-5</v>
      </c>
      <c r="AR127" s="67"/>
      <c r="AS127" s="94">
        <v>36617</v>
      </c>
      <c r="AT127" s="78">
        <v>0.91799999999999993</v>
      </c>
      <c r="AU127" s="67"/>
      <c r="AV127" s="79">
        <v>36617</v>
      </c>
      <c r="AW127" s="76">
        <v>286610.5</v>
      </c>
      <c r="AX127" s="80">
        <f t="shared" si="8"/>
        <v>3.8178277585516174E-2</v>
      </c>
      <c r="AY127" s="67"/>
      <c r="AZ127" s="81">
        <v>36617</v>
      </c>
      <c r="BA127" s="82">
        <v>48.6827392578125</v>
      </c>
      <c r="BB127" s="82">
        <v>53.304904937744141</v>
      </c>
      <c r="BC127" s="67"/>
      <c r="BD127" s="83">
        <v>36631</v>
      </c>
      <c r="BE127" s="42">
        <v>5854</v>
      </c>
      <c r="BF127" s="41">
        <f t="shared" si="9"/>
        <v>-1.0814464346062813E-2</v>
      </c>
      <c r="BG127" s="67"/>
      <c r="BH127" s="84">
        <v>36617</v>
      </c>
      <c r="BI127" s="85">
        <v>92.698899999999995</v>
      </c>
      <c r="BJ127" s="87">
        <f t="shared" si="10"/>
        <v>5.9522259263116162E-3</v>
      </c>
      <c r="BK127" s="67"/>
      <c r="BL127" s="84">
        <v>36617</v>
      </c>
      <c r="BM127" s="86">
        <v>9.0871998000000005</v>
      </c>
      <c r="BN127" s="67"/>
      <c r="BO127" s="88">
        <v>36617</v>
      </c>
      <c r="BP127" s="89">
        <v>0.79600000000000004</v>
      </c>
      <c r="BQ127" s="89">
        <v>0.79949999999999999</v>
      </c>
      <c r="BR127" s="90">
        <f t="shared" si="5"/>
        <v>-4.3777360850530966E-3</v>
      </c>
    </row>
    <row r="128" spans="1:70">
      <c r="A128" s="62">
        <v>36647</v>
      </c>
      <c r="B128" s="63">
        <v>36647</v>
      </c>
      <c r="C128" s="39">
        <v>29.01</v>
      </c>
      <c r="D128" s="64">
        <v>25.55</v>
      </c>
      <c r="E128" s="40">
        <f t="shared" si="13"/>
        <v>0.13542074363992174</v>
      </c>
      <c r="F128" s="65"/>
      <c r="G128" s="63">
        <v>36647</v>
      </c>
      <c r="H128" s="39">
        <v>23.65</v>
      </c>
      <c r="I128" s="39">
        <v>26.07</v>
      </c>
      <c r="J128" s="40">
        <f t="shared" si="18"/>
        <v>-9.282700421940937E-2</v>
      </c>
      <c r="K128" s="67"/>
      <c r="L128" s="68">
        <v>36647</v>
      </c>
      <c r="M128" s="98">
        <v>1420.6</v>
      </c>
      <c r="N128" s="98">
        <v>1452.4</v>
      </c>
      <c r="O128" s="70">
        <f t="shared" si="14"/>
        <v>-2.1894794822363117E-2</v>
      </c>
      <c r="P128" s="67"/>
      <c r="Q128" s="38">
        <v>36647</v>
      </c>
      <c r="R128" s="39">
        <v>4.3559999999999999</v>
      </c>
      <c r="S128" s="39">
        <v>3.1749999999999998</v>
      </c>
      <c r="T128" s="40">
        <f t="shared" si="20"/>
        <v>0.37196850393700798</v>
      </c>
      <c r="U128" s="67"/>
      <c r="V128" s="38">
        <v>36647</v>
      </c>
      <c r="W128" s="39">
        <v>0.72330000000000005</v>
      </c>
      <c r="X128" s="39">
        <v>0.65</v>
      </c>
      <c r="Y128" s="40">
        <f t="shared" si="15"/>
        <v>0.11276923076923073</v>
      </c>
      <c r="Z128" s="67"/>
      <c r="AA128" s="71">
        <v>36647</v>
      </c>
      <c r="AB128" s="72">
        <v>274.8</v>
      </c>
      <c r="AC128" s="72">
        <v>274.8</v>
      </c>
      <c r="AD128" s="73">
        <f t="shared" si="16"/>
        <v>0</v>
      </c>
      <c r="AE128" s="67"/>
      <c r="AF128" s="71">
        <v>36647</v>
      </c>
      <c r="AG128" s="72">
        <v>108.74</v>
      </c>
      <c r="AH128" s="72">
        <v>109.9</v>
      </c>
      <c r="AI128" s="73">
        <f t="shared" si="17"/>
        <v>-1.0555050045495951E-2</v>
      </c>
      <c r="AJ128" s="67"/>
      <c r="AK128" s="74">
        <v>36677</v>
      </c>
      <c r="AL128" s="41">
        <v>6.2899999999999998E-2</v>
      </c>
      <c r="AM128" s="41">
        <f t="shared" si="19"/>
        <v>5.9999999999999637E-4</v>
      </c>
      <c r="AN128" s="67"/>
      <c r="AO128" s="92">
        <v>36647</v>
      </c>
      <c r="AP128" s="76">
        <v>569413</v>
      </c>
      <c r="AQ128" s="80">
        <f t="shared" si="7"/>
        <v>4.3904882707224147E-7</v>
      </c>
      <c r="AR128" s="67"/>
      <c r="AS128" s="97">
        <v>36647</v>
      </c>
      <c r="AT128" s="78">
        <v>0.94074999999999998</v>
      </c>
      <c r="AU128" s="67"/>
      <c r="AV128" s="93">
        <v>36647</v>
      </c>
      <c r="AW128" s="76">
        <v>292118.75</v>
      </c>
      <c r="AX128" s="80">
        <f t="shared" si="8"/>
        <v>1.9218591084416037E-2</v>
      </c>
      <c r="AY128" s="67"/>
      <c r="AZ128" s="81">
        <v>36647</v>
      </c>
      <c r="BA128" s="82">
        <v>79.482879638671875</v>
      </c>
      <c r="BB128" s="82">
        <v>77.269699096679688</v>
      </c>
      <c r="BC128" s="67"/>
      <c r="BD128" s="83">
        <v>36661</v>
      </c>
      <c r="BE128" s="42">
        <v>5847</v>
      </c>
      <c r="BF128" s="41">
        <f t="shared" si="9"/>
        <v>-1.1957635804578093E-3</v>
      </c>
      <c r="BG128" s="67"/>
      <c r="BH128" s="84">
        <v>36647</v>
      </c>
      <c r="BI128" s="85">
        <v>92.9499</v>
      </c>
      <c r="BJ128" s="87">
        <f t="shared" si="10"/>
        <v>2.7076912455272772E-3</v>
      </c>
      <c r="BK128" s="67"/>
      <c r="BL128" s="84">
        <v>36647</v>
      </c>
      <c r="BM128" s="86">
        <v>5.1019055</v>
      </c>
      <c r="BN128" s="67"/>
      <c r="BO128" s="88">
        <v>36647</v>
      </c>
      <c r="BP128" s="89">
        <v>0.81599999999999995</v>
      </c>
      <c r="BQ128" s="89">
        <v>0.79500000000000004</v>
      </c>
      <c r="BR128" s="90">
        <f t="shared" si="5"/>
        <v>2.6415094339622414E-2</v>
      </c>
    </row>
    <row r="129" spans="1:70">
      <c r="A129" s="62">
        <v>36678</v>
      </c>
      <c r="B129" s="63">
        <v>36678</v>
      </c>
      <c r="C129" s="39">
        <v>32.5</v>
      </c>
      <c r="D129" s="64">
        <v>29</v>
      </c>
      <c r="E129" s="40">
        <f t="shared" si="13"/>
        <v>0.1206896551724137</v>
      </c>
      <c r="F129" s="65"/>
      <c r="G129" s="63">
        <v>36678</v>
      </c>
      <c r="H129" s="39">
        <v>19.54</v>
      </c>
      <c r="I129" s="39">
        <v>23.2</v>
      </c>
      <c r="J129" s="40">
        <f t="shared" si="18"/>
        <v>-0.15775862068965518</v>
      </c>
      <c r="K129" s="67"/>
      <c r="L129" s="68">
        <v>36678</v>
      </c>
      <c r="M129" s="98">
        <v>1454.6</v>
      </c>
      <c r="N129" s="98">
        <v>1420.6</v>
      </c>
      <c r="O129" s="70">
        <f t="shared" si="14"/>
        <v>2.3933549204561366E-2</v>
      </c>
      <c r="P129" s="67"/>
      <c r="Q129" s="38">
        <v>36678</v>
      </c>
      <c r="R129" s="39">
        <v>4.476</v>
      </c>
      <c r="S129" s="39">
        <v>4.3490000000000002</v>
      </c>
      <c r="T129" s="40">
        <f t="shared" si="20"/>
        <v>2.9202115428834219E-2</v>
      </c>
      <c r="U129" s="67"/>
      <c r="V129" s="38">
        <v>36678</v>
      </c>
      <c r="W129" s="39">
        <v>0.83279999999999998</v>
      </c>
      <c r="X129" s="39">
        <v>0.73799999999999999</v>
      </c>
      <c r="Y129" s="40">
        <f t="shared" si="15"/>
        <v>0.12845528455284549</v>
      </c>
      <c r="Z129" s="67"/>
      <c r="AA129" s="71">
        <v>36678</v>
      </c>
      <c r="AB129" s="72">
        <v>291.5</v>
      </c>
      <c r="AC129" s="72">
        <v>275.39999999999998</v>
      </c>
      <c r="AD129" s="73">
        <f t="shared" si="16"/>
        <v>5.8460421205519308E-2</v>
      </c>
      <c r="AE129" s="67"/>
      <c r="AF129" s="71">
        <v>36678</v>
      </c>
      <c r="AG129" s="72">
        <v>106.84</v>
      </c>
      <c r="AH129" s="72">
        <v>108.65</v>
      </c>
      <c r="AI129" s="73">
        <f t="shared" si="17"/>
        <v>-1.6658996778647017E-2</v>
      </c>
      <c r="AJ129" s="67"/>
      <c r="AK129" s="74">
        <v>36707</v>
      </c>
      <c r="AL129" s="41">
        <v>6.0299999999999999E-2</v>
      </c>
      <c r="AM129" s="41">
        <f t="shared" si="19"/>
        <v>-2.5999999999999981E-3</v>
      </c>
      <c r="AN129" s="67"/>
      <c r="AO129" s="75">
        <v>36678</v>
      </c>
      <c r="AP129" s="76">
        <v>569014.6</v>
      </c>
      <c r="AQ129" s="80">
        <f t="shared" si="7"/>
        <v>-6.9966790361308817E-4</v>
      </c>
      <c r="AR129" s="67"/>
      <c r="AS129" s="94">
        <v>36678</v>
      </c>
      <c r="AT129" s="78">
        <v>0.95640000000000003</v>
      </c>
      <c r="AU129" s="67"/>
      <c r="AV129" s="79">
        <v>36678</v>
      </c>
      <c r="AW129" s="76">
        <v>280961.59999999998</v>
      </c>
      <c r="AX129" s="80">
        <f t="shared" si="8"/>
        <v>-3.8193885192237875E-2</v>
      </c>
      <c r="AY129" s="67"/>
      <c r="AZ129" s="81">
        <v>36678</v>
      </c>
      <c r="BA129" s="82">
        <v>64.717819213867188</v>
      </c>
      <c r="BB129" s="82">
        <v>73.574668884277344</v>
      </c>
      <c r="BC129" s="67"/>
      <c r="BD129" s="83">
        <v>36692</v>
      </c>
      <c r="BE129" s="42">
        <v>5823</v>
      </c>
      <c r="BF129" s="41">
        <f t="shared" si="9"/>
        <v>-4.104669061056998E-3</v>
      </c>
      <c r="BG129" s="67"/>
      <c r="BH129" s="84">
        <v>36678</v>
      </c>
      <c r="BI129" s="85">
        <v>92.986199999999997</v>
      </c>
      <c r="BJ129" s="87">
        <f t="shared" si="10"/>
        <v>3.9053296453239739E-4</v>
      </c>
      <c r="BK129" s="67"/>
      <c r="BL129" s="84">
        <v>36678</v>
      </c>
      <c r="BM129" s="86">
        <v>3.8720650999999999</v>
      </c>
      <c r="BN129" s="67"/>
      <c r="BO129" s="88">
        <v>36678</v>
      </c>
      <c r="BP129" s="89">
        <v>0.82399999999999995</v>
      </c>
      <c r="BQ129" s="89">
        <v>0.81699999999999995</v>
      </c>
      <c r="BR129" s="90">
        <f t="shared" si="5"/>
        <v>8.5679314565483278E-3</v>
      </c>
    </row>
    <row r="130" spans="1:70">
      <c r="A130" s="62">
        <v>36708</v>
      </c>
      <c r="B130" s="63">
        <v>36708</v>
      </c>
      <c r="C130" s="39">
        <v>27.43</v>
      </c>
      <c r="D130" s="64">
        <v>31.15</v>
      </c>
      <c r="E130" s="40">
        <f t="shared" si="13"/>
        <v>-0.11942215088282504</v>
      </c>
      <c r="F130" s="65"/>
      <c r="G130" s="63">
        <v>36708</v>
      </c>
      <c r="H130" s="39">
        <v>20.74</v>
      </c>
      <c r="I130" s="39">
        <v>20.51</v>
      </c>
      <c r="J130" s="40">
        <f t="shared" si="18"/>
        <v>1.1214041930765362E-2</v>
      </c>
      <c r="K130" s="67"/>
      <c r="L130" s="68">
        <v>36708</v>
      </c>
      <c r="M130" s="98">
        <v>1430.8</v>
      </c>
      <c r="N130" s="98">
        <v>1454.6</v>
      </c>
      <c r="O130" s="70">
        <f t="shared" si="14"/>
        <v>-1.6361886429258843E-2</v>
      </c>
      <c r="P130" s="67"/>
      <c r="Q130" s="38">
        <v>36708</v>
      </c>
      <c r="R130" s="39">
        <v>3.774</v>
      </c>
      <c r="S130" s="39">
        <v>4.2699999999999996</v>
      </c>
      <c r="T130" s="40">
        <f t="shared" si="20"/>
        <v>-0.11615925058548005</v>
      </c>
      <c r="U130" s="67"/>
      <c r="V130" s="38">
        <v>36708</v>
      </c>
      <c r="W130" s="39">
        <v>0.75649999999999995</v>
      </c>
      <c r="X130" s="39">
        <v>0.81499999999999995</v>
      </c>
      <c r="Y130" s="40">
        <f t="shared" si="15"/>
        <v>-7.1779141104294508E-2</v>
      </c>
      <c r="Z130" s="67"/>
      <c r="AA130" s="71">
        <v>36708</v>
      </c>
      <c r="AB130" s="72">
        <v>283.2</v>
      </c>
      <c r="AC130" s="72">
        <v>289.7</v>
      </c>
      <c r="AD130" s="73">
        <f t="shared" si="16"/>
        <v>-2.2437003797031396E-2</v>
      </c>
      <c r="AE130" s="67"/>
      <c r="AF130" s="71">
        <v>36708</v>
      </c>
      <c r="AG130" s="72">
        <v>109.57</v>
      </c>
      <c r="AH130" s="72">
        <v>106.82</v>
      </c>
      <c r="AI130" s="73">
        <f t="shared" si="17"/>
        <v>2.5744242651188909E-2</v>
      </c>
      <c r="AJ130" s="67"/>
      <c r="AK130" s="74">
        <v>36738</v>
      </c>
      <c r="AL130" s="41">
        <v>6.0400000000000002E-2</v>
      </c>
      <c r="AM130" s="41">
        <f t="shared" si="19"/>
        <v>1.0000000000000286E-4</v>
      </c>
      <c r="AN130" s="67"/>
      <c r="AO130" s="75">
        <v>36708</v>
      </c>
      <c r="AP130" s="76">
        <v>569273.75</v>
      </c>
      <c r="AQ130" s="80">
        <f t="shared" si="7"/>
        <v>4.5543646858980935E-4</v>
      </c>
      <c r="AR130" s="67"/>
      <c r="AS130" s="94">
        <v>36708</v>
      </c>
      <c r="AT130" s="78">
        <v>0.96074999999999999</v>
      </c>
      <c r="AU130" s="67"/>
      <c r="AV130" s="79">
        <v>36708</v>
      </c>
      <c r="AW130" s="76">
        <v>276020</v>
      </c>
      <c r="AX130" s="80">
        <f t="shared" si="8"/>
        <v>-1.7588168632296952E-2</v>
      </c>
      <c r="AY130" s="67"/>
      <c r="AZ130" s="81">
        <v>36708</v>
      </c>
      <c r="BA130" s="82">
        <v>51.904022216796875</v>
      </c>
      <c r="BB130" s="82">
        <v>57.316974639892578</v>
      </c>
      <c r="BC130" s="67"/>
      <c r="BD130" s="83">
        <v>36722</v>
      </c>
      <c r="BE130" s="42">
        <v>5739</v>
      </c>
      <c r="BF130" s="41">
        <f t="shared" si="9"/>
        <v>-1.4425553838227745E-2</v>
      </c>
      <c r="BG130" s="67"/>
      <c r="BH130" s="84">
        <v>36708</v>
      </c>
      <c r="BI130" s="85">
        <v>92.8048</v>
      </c>
      <c r="BJ130" s="87">
        <f t="shared" si="10"/>
        <v>-1.9508271119800247E-3</v>
      </c>
      <c r="BK130" s="67"/>
      <c r="BL130" s="84">
        <v>36708</v>
      </c>
      <c r="BM130" s="86">
        <v>5.5580873999999998</v>
      </c>
      <c r="BN130" s="67"/>
      <c r="BO130" s="88">
        <v>36708</v>
      </c>
      <c r="BP130" s="89">
        <v>0.87549999999999994</v>
      </c>
      <c r="BQ130" s="89">
        <v>0.82399999999999995</v>
      </c>
      <c r="BR130" s="90">
        <f t="shared" si="5"/>
        <v>6.25E-2</v>
      </c>
    </row>
    <row r="131" spans="1:70">
      <c r="A131" s="62">
        <v>36739</v>
      </c>
      <c r="B131" s="63">
        <v>36739</v>
      </c>
      <c r="C131" s="39">
        <v>33.119999999999997</v>
      </c>
      <c r="D131" s="64">
        <v>27.36</v>
      </c>
      <c r="E131" s="40">
        <f t="shared" si="13"/>
        <v>0.21052631578947367</v>
      </c>
      <c r="F131" s="65"/>
      <c r="G131" s="63">
        <v>36739</v>
      </c>
      <c r="H131" s="39">
        <v>16.84</v>
      </c>
      <c r="I131" s="39">
        <v>20.66</v>
      </c>
      <c r="J131" s="40">
        <f t="shared" si="18"/>
        <v>-0.18489835430784129</v>
      </c>
      <c r="K131" s="67"/>
      <c r="L131" s="68">
        <v>36739</v>
      </c>
      <c r="M131" s="98">
        <v>1517.7</v>
      </c>
      <c r="N131" s="98">
        <v>1430.8</v>
      </c>
      <c r="O131" s="70">
        <f t="shared" si="14"/>
        <v>6.0735253005311796E-2</v>
      </c>
      <c r="P131" s="67"/>
      <c r="Q131" s="38">
        <v>36739</v>
      </c>
      <c r="R131" s="39">
        <v>4.782</v>
      </c>
      <c r="S131" s="39">
        <v>3.77</v>
      </c>
      <c r="T131" s="40">
        <f t="shared" si="20"/>
        <v>0.26843501326259944</v>
      </c>
      <c r="U131" s="67"/>
      <c r="V131" s="38">
        <v>36739</v>
      </c>
      <c r="W131" s="39">
        <v>0.98699999999999999</v>
      </c>
      <c r="X131" s="39">
        <v>0.76249999999999996</v>
      </c>
      <c r="Y131" s="40">
        <f t="shared" si="15"/>
        <v>0.29442622950819675</v>
      </c>
      <c r="Z131" s="67"/>
      <c r="AA131" s="71">
        <v>36739</v>
      </c>
      <c r="AB131" s="72">
        <v>282.10000000000002</v>
      </c>
      <c r="AC131" s="72">
        <v>283.39999999999998</v>
      </c>
      <c r="AD131" s="73">
        <f t="shared" si="16"/>
        <v>-4.5871559633026138E-3</v>
      </c>
      <c r="AE131" s="67"/>
      <c r="AF131" s="71">
        <v>36739</v>
      </c>
      <c r="AG131" s="72">
        <v>112.6</v>
      </c>
      <c r="AH131" s="72">
        <v>109.5</v>
      </c>
      <c r="AI131" s="73">
        <f t="shared" si="17"/>
        <v>2.8310502283104944E-2</v>
      </c>
      <c r="AJ131" s="67"/>
      <c r="AK131" s="74">
        <v>36769</v>
      </c>
      <c r="AL131" s="41">
        <v>5.7300000000000004E-2</v>
      </c>
      <c r="AM131" s="41">
        <f t="shared" si="19"/>
        <v>-3.0999999999999986E-3</v>
      </c>
      <c r="AN131" s="67"/>
      <c r="AO131" s="75">
        <v>36739</v>
      </c>
      <c r="AP131" s="76">
        <v>570797.5</v>
      </c>
      <c r="AQ131" s="80">
        <f t="shared" si="7"/>
        <v>2.6766560024944486E-3</v>
      </c>
      <c r="AR131" s="67"/>
      <c r="AS131" s="94">
        <v>36739</v>
      </c>
      <c r="AT131" s="78">
        <v>0.95450000000000002</v>
      </c>
      <c r="AU131" s="67"/>
      <c r="AV131" s="79">
        <v>36739</v>
      </c>
      <c r="AW131" s="76">
        <v>270641.75</v>
      </c>
      <c r="AX131" s="80">
        <f t="shared" si="8"/>
        <v>-1.9485001086877785E-2</v>
      </c>
      <c r="AY131" s="67"/>
      <c r="AZ131" s="81">
        <v>36739</v>
      </c>
      <c r="BA131" s="82">
        <v>46.492256164550781</v>
      </c>
      <c r="BB131" s="82">
        <v>49.192291259765625</v>
      </c>
      <c r="BC131" s="67"/>
      <c r="BD131" s="83">
        <v>36753</v>
      </c>
      <c r="BE131" s="42">
        <v>5789</v>
      </c>
      <c r="BF131" s="41">
        <f t="shared" si="9"/>
        <v>8.7123192193760968E-3</v>
      </c>
      <c r="BG131" s="67"/>
      <c r="BH131" s="84">
        <v>36739</v>
      </c>
      <c r="BI131" s="85">
        <v>92.552099999999996</v>
      </c>
      <c r="BJ131" s="87">
        <f t="shared" si="10"/>
        <v>-2.7229195041635901E-3</v>
      </c>
      <c r="BK131" s="67"/>
      <c r="BL131" s="84">
        <v>36739</v>
      </c>
      <c r="BM131" s="86">
        <v>7.0150040999999996</v>
      </c>
      <c r="BN131" s="67"/>
      <c r="BO131" s="88">
        <v>36739</v>
      </c>
      <c r="BP131" s="89">
        <v>0.89200000000000002</v>
      </c>
      <c r="BQ131" s="89">
        <v>0.86750000000000005</v>
      </c>
      <c r="BR131" s="90">
        <f t="shared" si="5"/>
        <v>2.8242074927953942E-2</v>
      </c>
    </row>
    <row r="132" spans="1:70">
      <c r="A132" s="62">
        <v>36770</v>
      </c>
      <c r="B132" s="63">
        <v>36770</v>
      </c>
      <c r="C132" s="39">
        <v>30.84</v>
      </c>
      <c r="D132" s="64">
        <v>33</v>
      </c>
      <c r="E132" s="40">
        <f t="shared" ref="E132:E195" si="21">C132/D132-1</f>
        <v>-6.5454545454545432E-2</v>
      </c>
      <c r="F132" s="65"/>
      <c r="G132" s="63">
        <v>36770</v>
      </c>
      <c r="H132" s="39">
        <v>20.57</v>
      </c>
      <c r="I132" s="39">
        <v>16.809999999999999</v>
      </c>
      <c r="J132" s="40">
        <f t="shared" si="18"/>
        <v>0.22367638310529459</v>
      </c>
      <c r="K132" s="67"/>
      <c r="L132" s="68">
        <v>36770</v>
      </c>
      <c r="M132" s="98">
        <v>1436.5</v>
      </c>
      <c r="N132" s="98">
        <v>1517.7</v>
      </c>
      <c r="O132" s="70">
        <f t="shared" ref="O132:O195" si="22">M132/N132-1</f>
        <v>-5.3502009619819546E-2</v>
      </c>
      <c r="P132" s="67"/>
      <c r="Q132" s="38">
        <v>36770</v>
      </c>
      <c r="R132" s="39">
        <v>5.1859999999999999</v>
      </c>
      <c r="S132" s="39">
        <v>4.78</v>
      </c>
      <c r="T132" s="40">
        <f t="shared" si="20"/>
        <v>8.4937238493723699E-2</v>
      </c>
      <c r="U132" s="67"/>
      <c r="V132" s="38">
        <v>36770</v>
      </c>
      <c r="W132" s="39">
        <v>0.92559999999999998</v>
      </c>
      <c r="X132" s="39">
        <v>0.97099999999999997</v>
      </c>
      <c r="Y132" s="40">
        <f t="shared" ref="Y132:Y195" si="23">W132/X132-1</f>
        <v>-4.6755921730175065E-2</v>
      </c>
      <c r="Z132" s="67"/>
      <c r="AA132" s="71">
        <v>36770</v>
      </c>
      <c r="AB132" s="72">
        <v>276.89999999999998</v>
      </c>
      <c r="AC132" s="72">
        <v>281.89999999999998</v>
      </c>
      <c r="AD132" s="73">
        <f t="shared" ref="AD132:AD195" si="24">AB132/AC132-1</f>
        <v>-1.7736786094359691E-2</v>
      </c>
      <c r="AE132" s="67"/>
      <c r="AF132" s="71">
        <v>36770</v>
      </c>
      <c r="AG132" s="72">
        <v>113.25</v>
      </c>
      <c r="AH132" s="72">
        <v>112.36</v>
      </c>
      <c r="AI132" s="73">
        <f t="shared" ref="AI132:AI195" si="25">AG132/AH132-1</f>
        <v>7.9209683161267641E-3</v>
      </c>
      <c r="AJ132" s="67"/>
      <c r="AK132" s="74">
        <v>36799</v>
      </c>
      <c r="AL132" s="41">
        <v>5.7999999999999996E-2</v>
      </c>
      <c r="AM132" s="41">
        <f t="shared" si="19"/>
        <v>6.999999999999923E-4</v>
      </c>
      <c r="AN132" s="67"/>
      <c r="AO132" s="75">
        <v>36770</v>
      </c>
      <c r="AP132" s="76">
        <v>571173.80000000005</v>
      </c>
      <c r="AQ132" s="80">
        <f t="shared" si="7"/>
        <v>6.5925306260106176E-4</v>
      </c>
      <c r="AR132" s="67"/>
      <c r="AS132" s="94">
        <v>36770</v>
      </c>
      <c r="AT132" s="78">
        <v>0.9506</v>
      </c>
      <c r="AU132" s="67"/>
      <c r="AV132" s="79">
        <v>36770</v>
      </c>
      <c r="AW132" s="76">
        <v>271478.2</v>
      </c>
      <c r="AX132" s="80">
        <f t="shared" si="8"/>
        <v>3.0906170241657982E-3</v>
      </c>
      <c r="AY132" s="67"/>
      <c r="AZ132" s="81">
        <v>36770</v>
      </c>
      <c r="BA132" s="82">
        <v>52.689998626708984</v>
      </c>
      <c r="BB132" s="82">
        <v>64.444992065429688</v>
      </c>
      <c r="BC132" s="67"/>
      <c r="BD132" s="83">
        <v>36784</v>
      </c>
      <c r="BE132" s="42">
        <v>5758</v>
      </c>
      <c r="BF132" s="41">
        <f t="shared" si="9"/>
        <v>-5.3549835895664311E-3</v>
      </c>
      <c r="BG132" s="67"/>
      <c r="BH132" s="84">
        <v>36770</v>
      </c>
      <c r="BI132" s="85">
        <v>92.979200000000006</v>
      </c>
      <c r="BJ132" s="87">
        <f t="shared" si="10"/>
        <v>4.6146980997729958E-3</v>
      </c>
      <c r="BK132" s="67"/>
      <c r="BL132" s="84">
        <v>36770</v>
      </c>
      <c r="BM132" s="86">
        <v>11.020189</v>
      </c>
      <c r="BN132" s="67"/>
      <c r="BO132" s="88">
        <v>36770</v>
      </c>
      <c r="BP132" s="89">
        <v>0.92049999999999998</v>
      </c>
      <c r="BQ132" s="89">
        <v>0.89400000000000002</v>
      </c>
      <c r="BR132" s="90">
        <f t="shared" si="5"/>
        <v>2.9642058165548102E-2</v>
      </c>
    </row>
    <row r="133" spans="1:70">
      <c r="A133" s="62">
        <v>36800</v>
      </c>
      <c r="B133" s="63">
        <v>36800</v>
      </c>
      <c r="C133" s="39">
        <v>32.700000000000003</v>
      </c>
      <c r="D133" s="64">
        <v>30.97</v>
      </c>
      <c r="E133" s="40">
        <f t="shared" si="21"/>
        <v>5.5860510171133582E-2</v>
      </c>
      <c r="F133" s="65"/>
      <c r="G133" s="63">
        <v>36800</v>
      </c>
      <c r="H133" s="39">
        <v>23.63</v>
      </c>
      <c r="I133" s="39">
        <v>20.98</v>
      </c>
      <c r="J133" s="40">
        <f t="shared" ref="J133:J196" si="26">H133/I133-1</f>
        <v>0.12631077216396558</v>
      </c>
      <c r="K133" s="67"/>
      <c r="L133" s="68">
        <v>36800</v>
      </c>
      <c r="M133" s="98">
        <v>1429.4</v>
      </c>
      <c r="N133" s="98">
        <v>1436.5</v>
      </c>
      <c r="O133" s="70">
        <f t="shared" si="22"/>
        <v>-4.942568743473652E-3</v>
      </c>
      <c r="P133" s="67"/>
      <c r="Q133" s="38">
        <v>36800</v>
      </c>
      <c r="R133" s="39">
        <v>4.49</v>
      </c>
      <c r="S133" s="39">
        <v>5.3250000000000002</v>
      </c>
      <c r="T133" s="40">
        <f t="shared" si="20"/>
        <v>-0.15680751173708918</v>
      </c>
      <c r="U133" s="67"/>
      <c r="V133" s="38">
        <v>36800</v>
      </c>
      <c r="W133" s="39">
        <v>0.93579999999999997</v>
      </c>
      <c r="X133" s="39">
        <v>0.9375</v>
      </c>
      <c r="Y133" s="40">
        <f t="shared" si="23"/>
        <v>-1.8133333333333335E-3</v>
      </c>
      <c r="Z133" s="67"/>
      <c r="AA133" s="71">
        <v>36800</v>
      </c>
      <c r="AB133" s="72">
        <v>266.39999999999998</v>
      </c>
      <c r="AC133" s="72">
        <v>277.3</v>
      </c>
      <c r="AD133" s="73">
        <f t="shared" si="24"/>
        <v>-3.9307609087630868E-2</v>
      </c>
      <c r="AE133" s="67"/>
      <c r="AF133" s="71">
        <v>36800</v>
      </c>
      <c r="AG133" s="72">
        <v>116.65</v>
      </c>
      <c r="AH133" s="72">
        <v>113.14</v>
      </c>
      <c r="AI133" s="73">
        <f t="shared" si="25"/>
        <v>3.102351069471454E-2</v>
      </c>
      <c r="AJ133" s="67"/>
      <c r="AK133" s="74">
        <v>36830</v>
      </c>
      <c r="AL133" s="41">
        <v>5.7699999999999994E-2</v>
      </c>
      <c r="AM133" s="41">
        <f t="shared" si="19"/>
        <v>-3.0000000000000165E-4</v>
      </c>
      <c r="AN133" s="67"/>
      <c r="AO133" s="75">
        <v>36800</v>
      </c>
      <c r="AP133" s="76">
        <v>569922.5</v>
      </c>
      <c r="AQ133" s="80">
        <f t="shared" si="7"/>
        <v>-2.1907517466663862E-3</v>
      </c>
      <c r="AR133" s="67"/>
      <c r="AS133" s="94">
        <v>36800</v>
      </c>
      <c r="AT133" s="78">
        <v>0.92299999999999993</v>
      </c>
      <c r="AU133" s="67"/>
      <c r="AV133" s="79">
        <v>36800</v>
      </c>
      <c r="AW133" s="76">
        <v>269194.5</v>
      </c>
      <c r="AX133" s="80">
        <f t="shared" si="8"/>
        <v>-8.4120934940632441E-3</v>
      </c>
      <c r="AY133" s="67"/>
      <c r="AZ133" s="81">
        <v>36800</v>
      </c>
      <c r="BA133" s="82">
        <v>76.456527709960938</v>
      </c>
      <c r="BB133" s="82">
        <v>82.387603759765625</v>
      </c>
      <c r="BC133" s="67"/>
      <c r="BD133" s="83">
        <v>36814</v>
      </c>
      <c r="BE133" s="42">
        <v>5809</v>
      </c>
      <c r="BF133" s="41">
        <f t="shared" si="9"/>
        <v>8.8572420979506905E-3</v>
      </c>
      <c r="BG133" s="67"/>
      <c r="BH133" s="84">
        <v>36800</v>
      </c>
      <c r="BI133" s="85">
        <v>92.617900000000006</v>
      </c>
      <c r="BJ133" s="87">
        <f t="shared" si="10"/>
        <v>-3.8858153221366099E-3</v>
      </c>
      <c r="BK133" s="67"/>
      <c r="BL133" s="84">
        <v>36800</v>
      </c>
      <c r="BM133" s="86">
        <v>12.291755</v>
      </c>
      <c r="BN133" s="67"/>
      <c r="BO133" s="88">
        <v>36800</v>
      </c>
      <c r="BP133" s="89">
        <v>0.85199999999999998</v>
      </c>
      <c r="BQ133" s="89">
        <v>0.91700000000000004</v>
      </c>
      <c r="BR133" s="90">
        <f t="shared" si="5"/>
        <v>-7.0883315158124405E-2</v>
      </c>
    </row>
    <row r="134" spans="1:70">
      <c r="A134" s="62">
        <v>36831</v>
      </c>
      <c r="B134" s="63">
        <v>36831</v>
      </c>
      <c r="C134" s="39">
        <v>33.82</v>
      </c>
      <c r="D134" s="64">
        <v>32.69</v>
      </c>
      <c r="E134" s="40">
        <f t="shared" si="21"/>
        <v>3.4567145916182485E-2</v>
      </c>
      <c r="F134" s="65"/>
      <c r="G134" s="63">
        <v>36831</v>
      </c>
      <c r="H134" s="39">
        <v>29.65</v>
      </c>
      <c r="I134" s="39">
        <v>24.07</v>
      </c>
      <c r="J134" s="40">
        <f t="shared" si="26"/>
        <v>0.23182384711258819</v>
      </c>
      <c r="K134" s="67"/>
      <c r="L134" s="68">
        <v>36831</v>
      </c>
      <c r="M134" s="98">
        <v>1315</v>
      </c>
      <c r="N134" s="98">
        <v>1429.4</v>
      </c>
      <c r="O134" s="70">
        <f t="shared" si="22"/>
        <v>-8.0033580523296566E-2</v>
      </c>
      <c r="P134" s="67"/>
      <c r="Q134" s="38">
        <v>36831</v>
      </c>
      <c r="R134" s="39">
        <v>6.5890000000000004</v>
      </c>
      <c r="S134" s="39">
        <v>4.53</v>
      </c>
      <c r="T134" s="40">
        <f t="shared" si="20"/>
        <v>0.45452538631346573</v>
      </c>
      <c r="U134" s="67"/>
      <c r="V134" s="38">
        <v>36831</v>
      </c>
      <c r="W134" s="39">
        <v>1.0225</v>
      </c>
      <c r="X134" s="39">
        <v>0.92730000000000001</v>
      </c>
      <c r="Y134" s="40">
        <f t="shared" si="23"/>
        <v>0.10266364714763276</v>
      </c>
      <c r="Z134" s="67"/>
      <c r="AA134" s="71">
        <v>36831</v>
      </c>
      <c r="AB134" s="72">
        <v>273.3</v>
      </c>
      <c r="AC134" s="72">
        <v>266.5</v>
      </c>
      <c r="AD134" s="73">
        <f t="shared" si="24"/>
        <v>2.5515947467167122E-2</v>
      </c>
      <c r="AE134" s="67"/>
      <c r="AF134" s="71">
        <v>36831</v>
      </c>
      <c r="AG134" s="72">
        <v>115.24</v>
      </c>
      <c r="AH134" s="72">
        <v>116.6</v>
      </c>
      <c r="AI134" s="73">
        <f t="shared" si="25"/>
        <v>-1.1663807890223032E-2</v>
      </c>
      <c r="AJ134" s="67"/>
      <c r="AK134" s="74">
        <v>36860</v>
      </c>
      <c r="AL134" s="41">
        <v>5.4800000000000001E-2</v>
      </c>
      <c r="AM134" s="41">
        <f t="shared" ref="AM134:AM197" si="27">AL134-AL133</f>
        <v>-2.8999999999999929E-3</v>
      </c>
      <c r="AN134" s="67"/>
      <c r="AO134" s="75">
        <v>36831</v>
      </c>
      <c r="AP134" s="76">
        <v>561274</v>
      </c>
      <c r="AQ134" s="80">
        <f t="shared" si="7"/>
        <v>-1.5174870267448681E-2</v>
      </c>
      <c r="AR134" s="67"/>
      <c r="AS134" s="94">
        <v>36831</v>
      </c>
      <c r="AT134" s="78">
        <v>0.92</v>
      </c>
      <c r="AU134" s="67"/>
      <c r="AV134" s="79">
        <v>36831</v>
      </c>
      <c r="AW134" s="76">
        <v>270779.25</v>
      </c>
      <c r="AX134" s="80">
        <f t="shared" si="8"/>
        <v>5.8870073497043762E-3</v>
      </c>
      <c r="AY134" s="67"/>
      <c r="AZ134" s="81">
        <v>36831</v>
      </c>
      <c r="BA134" s="82">
        <v>45.060562133789063</v>
      </c>
      <c r="BB134" s="82">
        <v>44.357688903808594</v>
      </c>
      <c r="BC134" s="67"/>
      <c r="BD134" s="83">
        <v>36845</v>
      </c>
      <c r="BE134" s="42">
        <v>5833</v>
      </c>
      <c r="BF134" s="41">
        <f t="shared" si="9"/>
        <v>4.1315200550868791E-3</v>
      </c>
      <c r="BG134" s="67"/>
      <c r="BH134" s="84">
        <v>36831</v>
      </c>
      <c r="BI134" s="85">
        <v>92.643799999999999</v>
      </c>
      <c r="BJ134" s="87">
        <f t="shared" si="10"/>
        <v>2.7964356782006483E-4</v>
      </c>
      <c r="BK134" s="67"/>
      <c r="BL134" s="84">
        <v>36831</v>
      </c>
      <c r="BM134" s="86">
        <v>11.592312</v>
      </c>
      <c r="BN134" s="67"/>
      <c r="BO134" s="88">
        <v>36831</v>
      </c>
      <c r="BP134" s="89">
        <v>0.84550000000000003</v>
      </c>
      <c r="BQ134" s="89">
        <v>0.84750000000000003</v>
      </c>
      <c r="BR134" s="90">
        <f t="shared" si="5"/>
        <v>-2.3598820058997605E-3</v>
      </c>
    </row>
    <row r="135" spans="1:70">
      <c r="A135" s="62">
        <v>36861</v>
      </c>
      <c r="B135" s="63">
        <v>36861</v>
      </c>
      <c r="C135" s="39">
        <v>26.8</v>
      </c>
      <c r="D135" s="64">
        <v>33.76</v>
      </c>
      <c r="E135" s="40">
        <f t="shared" si="21"/>
        <v>-0.20616113744075826</v>
      </c>
      <c r="F135" s="65"/>
      <c r="G135" s="63">
        <v>36861</v>
      </c>
      <c r="H135" s="39">
        <v>26.85</v>
      </c>
      <c r="I135" s="39">
        <v>28.31</v>
      </c>
      <c r="J135" s="40">
        <f t="shared" si="26"/>
        <v>-5.1571882726951568E-2</v>
      </c>
      <c r="K135" s="67"/>
      <c r="L135" s="68">
        <v>36861</v>
      </c>
      <c r="M135" s="98">
        <v>1320.3</v>
      </c>
      <c r="N135" s="98">
        <v>1315</v>
      </c>
      <c r="O135" s="70">
        <f t="shared" si="22"/>
        <v>4.0304182509505182E-3</v>
      </c>
      <c r="P135" s="67"/>
      <c r="Q135" s="38">
        <v>36861</v>
      </c>
      <c r="R135" s="39">
        <v>9.7750000000000004</v>
      </c>
      <c r="S135" s="39">
        <v>6.5789999999999997</v>
      </c>
      <c r="T135" s="40">
        <f t="shared" si="20"/>
        <v>0.48578811369509056</v>
      </c>
      <c r="U135" s="67"/>
      <c r="V135" s="38">
        <v>36861</v>
      </c>
      <c r="W135" s="39">
        <v>0.89090000000000003</v>
      </c>
      <c r="X135" s="39">
        <v>0.96950000000000003</v>
      </c>
      <c r="Y135" s="40">
        <f t="shared" si="23"/>
        <v>-8.1072717895822599E-2</v>
      </c>
      <c r="Z135" s="67"/>
      <c r="AA135" s="71">
        <v>36861</v>
      </c>
      <c r="AB135" s="72">
        <v>273.60000000000002</v>
      </c>
      <c r="AC135" s="72">
        <v>273.2</v>
      </c>
      <c r="AD135" s="73">
        <f t="shared" si="24"/>
        <v>1.4641288433383526E-3</v>
      </c>
      <c r="AE135" s="67"/>
      <c r="AF135" s="71">
        <v>36861</v>
      </c>
      <c r="AG135" s="72">
        <v>109.56</v>
      </c>
      <c r="AH135" s="72">
        <v>115.21</v>
      </c>
      <c r="AI135" s="73">
        <f t="shared" si="25"/>
        <v>-4.9040881867893349E-2</v>
      </c>
      <c r="AJ135" s="67"/>
      <c r="AK135" s="74">
        <v>36891</v>
      </c>
      <c r="AL135" s="41">
        <v>5.1200000000000002E-2</v>
      </c>
      <c r="AM135" s="41">
        <f t="shared" si="27"/>
        <v>-3.599999999999999E-3</v>
      </c>
      <c r="AN135" s="67"/>
      <c r="AO135" s="75">
        <v>36861</v>
      </c>
      <c r="AP135" s="76">
        <v>545386.6</v>
      </c>
      <c r="AQ135" s="80">
        <f t="shared" si="7"/>
        <v>-2.8305961081397046E-2</v>
      </c>
      <c r="AR135" s="67"/>
      <c r="AS135" s="94">
        <v>36861</v>
      </c>
      <c r="AT135" s="78">
        <v>0.92959999999999998</v>
      </c>
      <c r="AU135" s="67"/>
      <c r="AV135" s="79">
        <v>36861</v>
      </c>
      <c r="AW135" s="76">
        <v>274451.8</v>
      </c>
      <c r="AX135" s="80">
        <f t="shared" si="8"/>
        <v>1.3562893020790945E-2</v>
      </c>
      <c r="AY135" s="67"/>
      <c r="AZ135" s="81">
        <v>36861</v>
      </c>
      <c r="BA135" s="82">
        <v>45.395099639892578</v>
      </c>
      <c r="BB135" s="82">
        <v>46.168979644775391</v>
      </c>
      <c r="BC135" s="67"/>
      <c r="BD135" s="83">
        <v>36875</v>
      </c>
      <c r="BE135" s="42">
        <v>5855</v>
      </c>
      <c r="BF135" s="41">
        <f t="shared" si="9"/>
        <v>3.7716440939481455E-3</v>
      </c>
      <c r="BG135" s="67"/>
      <c r="BH135" s="84">
        <v>36861</v>
      </c>
      <c r="BI135" s="85">
        <v>92.341499999999996</v>
      </c>
      <c r="BJ135" s="87">
        <f t="shared" si="10"/>
        <v>-3.2630354108963422E-3</v>
      </c>
      <c r="BK135" s="67"/>
      <c r="BL135" s="84">
        <v>36861</v>
      </c>
      <c r="BM135" s="86">
        <v>4.7429693000000004</v>
      </c>
      <c r="BN135" s="67"/>
      <c r="BO135" s="88">
        <v>36861</v>
      </c>
      <c r="BP135" s="89">
        <v>0.84299999999999997</v>
      </c>
      <c r="BQ135" s="89">
        <v>0.85499999999999998</v>
      </c>
      <c r="BR135" s="90">
        <f t="shared" si="5"/>
        <v>-1.4035087719298289E-2</v>
      </c>
    </row>
    <row r="136" spans="1:70">
      <c r="A136" s="62">
        <v>36892</v>
      </c>
      <c r="B136" s="63">
        <v>36892</v>
      </c>
      <c r="C136" s="39">
        <v>28.66</v>
      </c>
      <c r="D136" s="64">
        <v>26.9</v>
      </c>
      <c r="E136" s="40">
        <f t="shared" si="21"/>
        <v>6.5427509293680464E-2</v>
      </c>
      <c r="F136" s="65"/>
      <c r="G136" s="63">
        <v>36892</v>
      </c>
      <c r="H136" s="39">
        <v>22.02</v>
      </c>
      <c r="I136" s="39">
        <v>27.93</v>
      </c>
      <c r="J136" s="40">
        <f t="shared" si="26"/>
        <v>-0.21160042964554249</v>
      </c>
      <c r="K136" s="67"/>
      <c r="L136" s="68">
        <v>36892</v>
      </c>
      <c r="M136" s="98">
        <v>1366</v>
      </c>
      <c r="N136" s="98">
        <v>1320.3</v>
      </c>
      <c r="O136" s="70">
        <f t="shared" si="22"/>
        <v>3.46133454517914E-2</v>
      </c>
      <c r="P136" s="67"/>
      <c r="Q136" s="38">
        <v>36892</v>
      </c>
      <c r="R136" s="39">
        <v>5.7069999999999999</v>
      </c>
      <c r="S136" s="39">
        <v>9.4499999999999993</v>
      </c>
      <c r="T136" s="40">
        <f t="shared" ref="T136:T199" si="28">R136/S136-1</f>
        <v>-0.39608465608465604</v>
      </c>
      <c r="U136" s="67"/>
      <c r="V136" s="38">
        <v>36892</v>
      </c>
      <c r="W136" s="39">
        <v>0.75960000000000005</v>
      </c>
      <c r="X136" s="39">
        <v>0.81</v>
      </c>
      <c r="Y136" s="40">
        <f t="shared" si="23"/>
        <v>-6.2222222222222179E-2</v>
      </c>
      <c r="Z136" s="67"/>
      <c r="AA136" s="71">
        <v>36892</v>
      </c>
      <c r="AB136" s="72">
        <v>268</v>
      </c>
      <c r="AC136" s="72">
        <v>273.8</v>
      </c>
      <c r="AD136" s="73">
        <f t="shared" si="24"/>
        <v>-2.1183345507669871E-2</v>
      </c>
      <c r="AE136" s="67"/>
      <c r="AF136" s="71">
        <v>36892</v>
      </c>
      <c r="AG136" s="72">
        <v>110.52</v>
      </c>
      <c r="AH136" s="72">
        <v>109.33</v>
      </c>
      <c r="AI136" s="73">
        <f t="shared" si="25"/>
        <v>1.0884478185310575E-2</v>
      </c>
      <c r="AJ136" s="67"/>
      <c r="AK136" s="74">
        <v>36922</v>
      </c>
      <c r="AL136" s="41">
        <v>5.1900000000000002E-2</v>
      </c>
      <c r="AM136" s="41">
        <f t="shared" si="27"/>
        <v>6.9999999999999923E-4</v>
      </c>
      <c r="AN136" s="67"/>
      <c r="AO136" s="75">
        <v>36892</v>
      </c>
      <c r="AP136" s="76">
        <v>540678</v>
      </c>
      <c r="AQ136" s="80">
        <f t="shared" si="7"/>
        <v>-8.6335087807437594E-3</v>
      </c>
      <c r="AR136" s="67"/>
      <c r="AS136" s="94">
        <v>36892</v>
      </c>
      <c r="AT136" s="78">
        <v>0.91325000000000001</v>
      </c>
      <c r="AU136" s="67"/>
      <c r="AV136" s="79">
        <v>36892</v>
      </c>
      <c r="AW136" s="76">
        <v>269867</v>
      </c>
      <c r="AX136" s="80">
        <f t="shared" si="8"/>
        <v>-1.6705301258727379E-2</v>
      </c>
      <c r="AY136" s="67"/>
      <c r="AZ136" s="81">
        <v>36892</v>
      </c>
      <c r="BA136" s="82">
        <v>46.899555206298828</v>
      </c>
      <c r="BB136" s="82">
        <v>53.702358245849609</v>
      </c>
      <c r="BC136" s="67"/>
      <c r="BD136" s="83">
        <v>36906</v>
      </c>
      <c r="BE136" s="42">
        <v>5799</v>
      </c>
      <c r="BF136" s="41">
        <f t="shared" si="9"/>
        <v>-9.5644748078564934E-3</v>
      </c>
      <c r="BG136" s="67"/>
      <c r="BH136" s="84">
        <v>36892</v>
      </c>
      <c r="BI136" s="85">
        <v>91.902000000000001</v>
      </c>
      <c r="BJ136" s="87">
        <f t="shared" si="10"/>
        <v>-4.7595068306232058E-3</v>
      </c>
      <c r="BK136" s="67"/>
      <c r="BL136" s="84">
        <v>36892</v>
      </c>
      <c r="BM136" s="86">
        <v>1.6304069999999999</v>
      </c>
      <c r="BN136" s="67"/>
      <c r="BO136" s="88">
        <v>36892</v>
      </c>
      <c r="BP136" s="89">
        <v>0.84199999999999997</v>
      </c>
      <c r="BQ136" s="89">
        <v>0.84050000000000002</v>
      </c>
      <c r="BR136" s="90">
        <f t="shared" si="5"/>
        <v>1.7846519928612636E-3</v>
      </c>
    </row>
    <row r="137" spans="1:70">
      <c r="A137" s="62">
        <v>36923</v>
      </c>
      <c r="B137" s="63">
        <v>36923</v>
      </c>
      <c r="C137" s="39">
        <v>27.39</v>
      </c>
      <c r="D137" s="64">
        <v>28.7</v>
      </c>
      <c r="E137" s="40">
        <f t="shared" si="21"/>
        <v>-4.5644599303135802E-2</v>
      </c>
      <c r="F137" s="65"/>
      <c r="G137" s="63">
        <v>36923</v>
      </c>
      <c r="H137" s="39">
        <v>28.35</v>
      </c>
      <c r="I137" s="39">
        <v>22.39</v>
      </c>
      <c r="J137" s="40">
        <f t="shared" si="26"/>
        <v>0.26619026351049579</v>
      </c>
      <c r="K137" s="67"/>
      <c r="L137" s="68">
        <v>36923</v>
      </c>
      <c r="M137" s="98">
        <v>1239.9000000000001</v>
      </c>
      <c r="N137" s="98">
        <v>1366</v>
      </c>
      <c r="O137" s="70">
        <f t="shared" si="22"/>
        <v>-9.2313323572474348E-2</v>
      </c>
      <c r="P137" s="67"/>
      <c r="Q137" s="38">
        <v>36923</v>
      </c>
      <c r="R137" s="39">
        <v>5.2359999999999998</v>
      </c>
      <c r="S137" s="39">
        <v>5.7</v>
      </c>
      <c r="T137" s="40">
        <f t="shared" si="28"/>
        <v>-8.1403508771929922E-2</v>
      </c>
      <c r="U137" s="67"/>
      <c r="V137" s="38">
        <v>36923</v>
      </c>
      <c r="W137" s="39">
        <v>0.70909999999999995</v>
      </c>
      <c r="X137" s="39">
        <v>0.73</v>
      </c>
      <c r="Y137" s="40">
        <f t="shared" si="23"/>
        <v>-2.8630136986301458E-2</v>
      </c>
      <c r="Z137" s="67"/>
      <c r="AA137" s="71">
        <v>36923</v>
      </c>
      <c r="AB137" s="72">
        <v>267.8</v>
      </c>
      <c r="AC137" s="72">
        <v>267.8</v>
      </c>
      <c r="AD137" s="73">
        <f t="shared" si="24"/>
        <v>0</v>
      </c>
      <c r="AE137" s="67"/>
      <c r="AF137" s="71">
        <v>36923</v>
      </c>
      <c r="AG137" s="72">
        <v>112.01</v>
      </c>
      <c r="AH137" s="72">
        <v>110.3</v>
      </c>
      <c r="AI137" s="73">
        <f t="shared" si="25"/>
        <v>1.5503173164097994E-2</v>
      </c>
      <c r="AJ137" s="67"/>
      <c r="AK137" s="74">
        <v>36950</v>
      </c>
      <c r="AL137" s="41">
        <v>4.9200000000000001E-2</v>
      </c>
      <c r="AM137" s="41">
        <f t="shared" si="27"/>
        <v>-2.700000000000001E-3</v>
      </c>
      <c r="AN137" s="67"/>
      <c r="AO137" s="75">
        <v>36923</v>
      </c>
      <c r="AP137" s="76">
        <v>541675.25</v>
      </c>
      <c r="AQ137" s="80">
        <f t="shared" si="7"/>
        <v>1.8444434580286995E-3</v>
      </c>
      <c r="AR137" s="67"/>
      <c r="AS137" s="94">
        <v>36923</v>
      </c>
      <c r="AT137" s="78">
        <v>0.89950000000000008</v>
      </c>
      <c r="AU137" s="67"/>
      <c r="AV137" s="79">
        <v>36923</v>
      </c>
      <c r="AW137" s="76">
        <v>266600.75</v>
      </c>
      <c r="AX137" s="80">
        <f t="shared" si="8"/>
        <v>-1.21031841610868E-2</v>
      </c>
      <c r="AY137" s="67"/>
      <c r="AZ137" s="81">
        <v>36923</v>
      </c>
      <c r="BA137" s="82">
        <v>55.087711334228516</v>
      </c>
      <c r="BB137" s="82">
        <v>63.689891815185547</v>
      </c>
      <c r="BC137" s="67"/>
      <c r="BD137" s="83">
        <v>36937</v>
      </c>
      <c r="BE137" s="42">
        <v>5780</v>
      </c>
      <c r="BF137" s="41">
        <f t="shared" si="9"/>
        <v>-3.2764269701672788E-3</v>
      </c>
      <c r="BG137" s="67"/>
      <c r="BH137" s="84">
        <v>36923</v>
      </c>
      <c r="BI137" s="85">
        <v>91.303399999999996</v>
      </c>
      <c r="BJ137" s="87">
        <f t="shared" si="10"/>
        <v>-6.513459989989423E-3</v>
      </c>
      <c r="BK137" s="67"/>
      <c r="BL137" s="84">
        <v>36923</v>
      </c>
      <c r="BM137" s="86">
        <v>-4.1455972000000001</v>
      </c>
      <c r="BN137" s="67"/>
      <c r="BO137" s="88">
        <v>36923</v>
      </c>
      <c r="BP137" s="89">
        <v>0.81599999999999995</v>
      </c>
      <c r="BQ137" s="89">
        <v>0.84599999999999997</v>
      </c>
      <c r="BR137" s="90">
        <f t="shared" si="5"/>
        <v>-3.546099290780147E-2</v>
      </c>
    </row>
    <row r="138" spans="1:70">
      <c r="A138" s="62">
        <v>36951</v>
      </c>
      <c r="B138" s="63">
        <v>36951</v>
      </c>
      <c r="C138" s="39">
        <v>26.29</v>
      </c>
      <c r="D138" s="64">
        <v>27.41</v>
      </c>
      <c r="E138" s="40">
        <f t="shared" si="21"/>
        <v>-4.0860999635169648E-2</v>
      </c>
      <c r="F138" s="65"/>
      <c r="G138" s="63">
        <v>36951</v>
      </c>
      <c r="H138" s="39">
        <v>28.64</v>
      </c>
      <c r="I138" s="39">
        <v>29.66</v>
      </c>
      <c r="J138" s="40">
        <f t="shared" si="26"/>
        <v>-3.4389750505731564E-2</v>
      </c>
      <c r="K138" s="67"/>
      <c r="L138" s="68">
        <v>36951</v>
      </c>
      <c r="M138" s="98">
        <v>1160.3</v>
      </c>
      <c r="N138" s="98">
        <v>1239.9000000000001</v>
      </c>
      <c r="O138" s="70">
        <f t="shared" si="22"/>
        <v>-6.4198725703685899E-2</v>
      </c>
      <c r="P138" s="67"/>
      <c r="Q138" s="38">
        <v>36951</v>
      </c>
      <c r="R138" s="39">
        <v>5.0250000000000004</v>
      </c>
      <c r="S138" s="39">
        <v>5.2039999999999997</v>
      </c>
      <c r="T138" s="40">
        <f t="shared" si="28"/>
        <v>-3.4396617986164335E-2</v>
      </c>
      <c r="U138" s="67"/>
      <c r="V138" s="38">
        <v>36951</v>
      </c>
      <c r="W138" s="39">
        <v>0.70420000000000005</v>
      </c>
      <c r="X138" s="39">
        <v>0.69699999999999995</v>
      </c>
      <c r="Y138" s="40">
        <f t="shared" si="23"/>
        <v>1.0329985652797857E-2</v>
      </c>
      <c r="Z138" s="67"/>
      <c r="AA138" s="71">
        <v>36951</v>
      </c>
      <c r="AB138" s="72">
        <v>259.2</v>
      </c>
      <c r="AC138" s="72">
        <v>267.7</v>
      </c>
      <c r="AD138" s="73">
        <f t="shared" si="24"/>
        <v>-3.1751961150541685E-2</v>
      </c>
      <c r="AE138" s="67"/>
      <c r="AF138" s="71">
        <v>36951</v>
      </c>
      <c r="AG138" s="72">
        <v>117.37</v>
      </c>
      <c r="AH138" s="72">
        <v>112.04</v>
      </c>
      <c r="AI138" s="73">
        <f t="shared" si="25"/>
        <v>4.7572295608711235E-2</v>
      </c>
      <c r="AJ138" s="67"/>
      <c r="AK138" s="74">
        <v>36981</v>
      </c>
      <c r="AL138" s="41">
        <v>4.9299999999999997E-2</v>
      </c>
      <c r="AM138" s="41">
        <f t="shared" si="27"/>
        <v>9.9999999999995925E-5</v>
      </c>
      <c r="AN138" s="67"/>
      <c r="AO138" s="75">
        <v>36951</v>
      </c>
      <c r="AP138" s="76">
        <v>542135.80000000005</v>
      </c>
      <c r="AQ138" s="80">
        <f t="shared" si="7"/>
        <v>8.5023268092832005E-4</v>
      </c>
      <c r="AR138" s="67"/>
      <c r="AS138" s="94">
        <v>36951</v>
      </c>
      <c r="AT138" s="78">
        <v>0.90300000000000002</v>
      </c>
      <c r="AU138" s="67"/>
      <c r="AV138" s="79">
        <v>36951</v>
      </c>
      <c r="AW138" s="76">
        <v>275139.20000000001</v>
      </c>
      <c r="AX138" s="80">
        <f t="shared" si="8"/>
        <v>3.2027104199819467E-2</v>
      </c>
      <c r="AY138" s="67"/>
      <c r="AZ138" s="81">
        <v>36951</v>
      </c>
      <c r="BA138" s="82">
        <v>61.708953857421875</v>
      </c>
      <c r="BB138" s="82">
        <v>66.722183227539063</v>
      </c>
      <c r="BC138" s="67"/>
      <c r="BD138" s="83">
        <v>36965</v>
      </c>
      <c r="BE138" s="42">
        <v>5880</v>
      </c>
      <c r="BF138" s="41">
        <f t="shared" si="9"/>
        <v>1.730103806228378E-2</v>
      </c>
      <c r="BG138" s="67"/>
      <c r="BH138" s="84">
        <v>36951</v>
      </c>
      <c r="BI138" s="85">
        <v>91.116200000000006</v>
      </c>
      <c r="BJ138" s="87">
        <f t="shared" si="10"/>
        <v>-2.0503069984249001E-3</v>
      </c>
      <c r="BK138" s="67"/>
      <c r="BL138" s="84">
        <v>36951</v>
      </c>
      <c r="BM138" s="86">
        <v>-2.4918938000000002</v>
      </c>
      <c r="BN138" s="67"/>
      <c r="BO138" s="88">
        <v>36951</v>
      </c>
      <c r="BP138" s="89">
        <v>0.76649999999999996</v>
      </c>
      <c r="BQ138" s="89">
        <v>0.81599999999999995</v>
      </c>
      <c r="BR138" s="90">
        <f t="shared" si="5"/>
        <v>-6.0661764705882359E-2</v>
      </c>
    </row>
    <row r="139" spans="1:70">
      <c r="A139" s="62">
        <v>36982</v>
      </c>
      <c r="B139" s="63">
        <v>36982</v>
      </c>
      <c r="C139" s="39">
        <v>28.46</v>
      </c>
      <c r="D139" s="64">
        <v>26.35</v>
      </c>
      <c r="E139" s="40">
        <f t="shared" si="21"/>
        <v>8.0075901328273247E-2</v>
      </c>
      <c r="F139" s="65"/>
      <c r="G139" s="63">
        <v>36982</v>
      </c>
      <c r="H139" s="39">
        <v>25.48</v>
      </c>
      <c r="I139" s="39">
        <v>29.4</v>
      </c>
      <c r="J139" s="40">
        <f t="shared" si="26"/>
        <v>-0.1333333333333333</v>
      </c>
      <c r="K139" s="67"/>
      <c r="L139" s="68">
        <v>36982</v>
      </c>
      <c r="M139" s="98">
        <v>1249.5</v>
      </c>
      <c r="N139" s="98">
        <v>1160.3</v>
      </c>
      <c r="O139" s="70">
        <f t="shared" si="22"/>
        <v>7.6876669826768884E-2</v>
      </c>
      <c r="P139" s="67"/>
      <c r="Q139" s="38">
        <v>36982</v>
      </c>
      <c r="R139" s="39">
        <v>4.6950000000000003</v>
      </c>
      <c r="S139" s="39">
        <v>4.9850000000000003</v>
      </c>
      <c r="T139" s="40">
        <f t="shared" si="28"/>
        <v>-5.8174523570712178E-2</v>
      </c>
      <c r="U139" s="67"/>
      <c r="V139" s="38">
        <v>36982</v>
      </c>
      <c r="W139" s="39">
        <v>0.75309999999999999</v>
      </c>
      <c r="X139" s="39">
        <v>0.69799999999999995</v>
      </c>
      <c r="Y139" s="40">
        <f t="shared" si="23"/>
        <v>7.8939828080229368E-2</v>
      </c>
      <c r="Z139" s="67"/>
      <c r="AA139" s="71">
        <v>36982</v>
      </c>
      <c r="AB139" s="72">
        <v>264.39999999999998</v>
      </c>
      <c r="AC139" s="72">
        <v>259.10000000000002</v>
      </c>
      <c r="AD139" s="73">
        <f t="shared" si="24"/>
        <v>2.0455422616750152E-2</v>
      </c>
      <c r="AE139" s="67"/>
      <c r="AF139" s="71">
        <v>36982</v>
      </c>
      <c r="AG139" s="72">
        <v>115.85</v>
      </c>
      <c r="AH139" s="72">
        <v>117.7</v>
      </c>
      <c r="AI139" s="73">
        <f t="shared" si="25"/>
        <v>-1.5717926932880322E-2</v>
      </c>
      <c r="AJ139" s="67"/>
      <c r="AK139" s="74">
        <v>37011</v>
      </c>
      <c r="AL139" s="41">
        <v>5.3499999999999999E-2</v>
      </c>
      <c r="AM139" s="41">
        <f t="shared" si="27"/>
        <v>4.2000000000000023E-3</v>
      </c>
      <c r="AN139" s="67"/>
      <c r="AO139" s="75">
        <v>36982</v>
      </c>
      <c r="AP139" s="76">
        <v>542320.25</v>
      </c>
      <c r="AQ139" s="80">
        <f t="shared" si="7"/>
        <v>3.4022840771630314E-4</v>
      </c>
      <c r="AR139" s="67"/>
      <c r="AS139" s="94">
        <v>36982</v>
      </c>
      <c r="AT139" s="78">
        <v>0.94125000000000003</v>
      </c>
      <c r="AU139" s="67"/>
      <c r="AV139" s="79">
        <v>36982</v>
      </c>
      <c r="AW139" s="76">
        <v>296133</v>
      </c>
      <c r="AX139" s="80">
        <f t="shared" si="8"/>
        <v>7.6302467987113376E-2</v>
      </c>
      <c r="AY139" s="67"/>
      <c r="AZ139" s="81">
        <v>36982</v>
      </c>
      <c r="BA139" s="82">
        <v>50.568737030029297</v>
      </c>
      <c r="BB139" s="82">
        <v>52.773670196533203</v>
      </c>
      <c r="BC139" s="67"/>
      <c r="BD139" s="83">
        <v>36996</v>
      </c>
      <c r="BE139" s="42">
        <v>5863</v>
      </c>
      <c r="BF139" s="41">
        <f t="shared" si="9"/>
        <v>-2.8911564625850872E-3</v>
      </c>
      <c r="BG139" s="67"/>
      <c r="BH139" s="84">
        <v>36982</v>
      </c>
      <c r="BI139" s="85">
        <v>90.789100000000005</v>
      </c>
      <c r="BJ139" s="87">
        <f t="shared" si="10"/>
        <v>-3.5899214409731428E-3</v>
      </c>
      <c r="BK139" s="67"/>
      <c r="BL139" s="84">
        <v>36982</v>
      </c>
      <c r="BM139" s="86">
        <v>-6.7796506000000001</v>
      </c>
      <c r="BN139" s="67"/>
      <c r="BO139" s="88">
        <v>36982</v>
      </c>
      <c r="BP139" s="89">
        <v>0.77700000000000002</v>
      </c>
      <c r="BQ139" s="89">
        <v>0.76700000000000002</v>
      </c>
      <c r="BR139" s="90">
        <f t="shared" si="5"/>
        <v>1.3037809647979071E-2</v>
      </c>
    </row>
    <row r="140" spans="1:70">
      <c r="A140" s="62">
        <v>37012</v>
      </c>
      <c r="B140" s="63">
        <v>37012</v>
      </c>
      <c r="C140" s="39">
        <v>28.37</v>
      </c>
      <c r="D140" s="64">
        <v>28.43</v>
      </c>
      <c r="E140" s="40">
        <f t="shared" si="21"/>
        <v>-2.110446711220515E-3</v>
      </c>
      <c r="F140" s="65"/>
      <c r="G140" s="63">
        <v>37012</v>
      </c>
      <c r="H140" s="39">
        <v>22.64</v>
      </c>
      <c r="I140" s="39">
        <v>25.46</v>
      </c>
      <c r="J140" s="40">
        <f t="shared" si="26"/>
        <v>-0.11076197957580525</v>
      </c>
      <c r="K140" s="67"/>
      <c r="L140" s="68">
        <v>37012</v>
      </c>
      <c r="M140" s="98">
        <v>1255.8</v>
      </c>
      <c r="N140" s="98">
        <v>1249.5</v>
      </c>
      <c r="O140" s="70">
        <f t="shared" si="22"/>
        <v>5.0420168067226712E-3</v>
      </c>
      <c r="P140" s="67"/>
      <c r="Q140" s="38">
        <v>37012</v>
      </c>
      <c r="R140" s="39">
        <v>3.9140000000000001</v>
      </c>
      <c r="S140" s="39">
        <v>4.6849999999999996</v>
      </c>
      <c r="T140" s="40">
        <f t="shared" si="28"/>
        <v>-0.16456776947705432</v>
      </c>
      <c r="U140" s="67"/>
      <c r="V140" s="38">
        <v>37012</v>
      </c>
      <c r="W140" s="39">
        <v>0.77359999999999995</v>
      </c>
      <c r="X140" s="39">
        <v>0.75700000000000001</v>
      </c>
      <c r="Y140" s="40">
        <f t="shared" si="23"/>
        <v>2.1928665785997392E-2</v>
      </c>
      <c r="Z140" s="67"/>
      <c r="AA140" s="71">
        <v>37012</v>
      </c>
      <c r="AB140" s="72">
        <v>266.89999999999998</v>
      </c>
      <c r="AC140" s="72">
        <v>264.3</v>
      </c>
      <c r="AD140" s="73">
        <f t="shared" si="24"/>
        <v>9.8373060915624144E-3</v>
      </c>
      <c r="AE140" s="67"/>
      <c r="AF140" s="71">
        <v>37012</v>
      </c>
      <c r="AG140" s="72">
        <v>119.07</v>
      </c>
      <c r="AH140" s="72">
        <v>115.71</v>
      </c>
      <c r="AI140" s="73">
        <f t="shared" si="25"/>
        <v>2.9038112522685955E-2</v>
      </c>
      <c r="AJ140" s="67"/>
      <c r="AK140" s="74">
        <v>37042</v>
      </c>
      <c r="AL140" s="41">
        <v>5.4299999999999994E-2</v>
      </c>
      <c r="AM140" s="41">
        <f t="shared" si="27"/>
        <v>7.9999999999999516E-4</v>
      </c>
      <c r="AN140" s="67"/>
      <c r="AO140" s="92">
        <v>37012</v>
      </c>
      <c r="AP140" s="76">
        <v>543154.75</v>
      </c>
      <c r="AQ140" s="80">
        <f t="shared" si="7"/>
        <v>1.5387586947011034E-3</v>
      </c>
      <c r="AR140" s="67"/>
      <c r="AS140" s="97">
        <v>37012</v>
      </c>
      <c r="AT140" s="78">
        <v>0.95099999999999996</v>
      </c>
      <c r="AU140" s="67"/>
      <c r="AV140" s="93">
        <v>37012</v>
      </c>
      <c r="AW140" s="76">
        <v>305427.5</v>
      </c>
      <c r="AX140" s="80">
        <f t="shared" si="8"/>
        <v>3.1386235238896054E-2</v>
      </c>
      <c r="AY140" s="67"/>
      <c r="AZ140" s="81">
        <v>37012</v>
      </c>
      <c r="BA140" s="82">
        <v>60.376861572265625</v>
      </c>
      <c r="BB140" s="82">
        <v>61.344993591308594</v>
      </c>
      <c r="BC140" s="67"/>
      <c r="BD140" s="83">
        <v>37026</v>
      </c>
      <c r="BE140" s="42">
        <v>5829</v>
      </c>
      <c r="BF140" s="41">
        <f t="shared" si="9"/>
        <v>-5.7990789698106893E-3</v>
      </c>
      <c r="BG140" s="67"/>
      <c r="BH140" s="84">
        <v>37012</v>
      </c>
      <c r="BI140" s="85">
        <v>90.355500000000006</v>
      </c>
      <c r="BJ140" s="87">
        <f t="shared" si="10"/>
        <v>-4.7759037153137784E-3</v>
      </c>
      <c r="BK140" s="67"/>
      <c r="BL140" s="84">
        <v>37012</v>
      </c>
      <c r="BM140" s="86">
        <v>-6.4977023999999997</v>
      </c>
      <c r="BN140" s="67"/>
      <c r="BO140" s="88">
        <v>37012</v>
      </c>
      <c r="BP140" s="89">
        <v>0.76100000000000001</v>
      </c>
      <c r="BQ140" s="89">
        <v>0.77649999999999997</v>
      </c>
      <c r="BR140" s="90">
        <f t="shared" si="5"/>
        <v>-1.9961365099806727E-2</v>
      </c>
    </row>
    <row r="141" spans="1:70">
      <c r="A141" s="62">
        <v>37043</v>
      </c>
      <c r="B141" s="63">
        <v>37043</v>
      </c>
      <c r="C141" s="39">
        <v>26.25</v>
      </c>
      <c r="D141" s="64">
        <v>28.48</v>
      </c>
      <c r="E141" s="40">
        <f t="shared" si="21"/>
        <v>-7.8300561797752799E-2</v>
      </c>
      <c r="F141" s="65"/>
      <c r="G141" s="63">
        <v>37043</v>
      </c>
      <c r="H141" s="39">
        <v>19.059999999999999</v>
      </c>
      <c r="I141" s="39">
        <v>23.02</v>
      </c>
      <c r="J141" s="40">
        <f t="shared" si="26"/>
        <v>-0.17202432667245882</v>
      </c>
      <c r="K141" s="67"/>
      <c r="L141" s="68">
        <v>37043</v>
      </c>
      <c r="M141" s="98">
        <v>1224.4000000000001</v>
      </c>
      <c r="N141" s="98">
        <v>1255.8</v>
      </c>
      <c r="O141" s="70">
        <f t="shared" si="22"/>
        <v>-2.5003981525720587E-2</v>
      </c>
      <c r="P141" s="67"/>
      <c r="Q141" s="38">
        <v>37043</v>
      </c>
      <c r="R141" s="39">
        <v>3.0960000000000001</v>
      </c>
      <c r="S141" s="39">
        <v>3.8980000000000001</v>
      </c>
      <c r="T141" s="40">
        <f t="shared" si="28"/>
        <v>-0.20574653668547971</v>
      </c>
      <c r="U141" s="67"/>
      <c r="V141" s="38">
        <v>37043</v>
      </c>
      <c r="W141" s="39">
        <v>0.71830000000000005</v>
      </c>
      <c r="X141" s="39">
        <v>0.77849999999999997</v>
      </c>
      <c r="Y141" s="40">
        <f t="shared" si="23"/>
        <v>-7.7328195247270304E-2</v>
      </c>
      <c r="Z141" s="67"/>
      <c r="AA141" s="71">
        <v>37043</v>
      </c>
      <c r="AB141" s="72">
        <v>271.3</v>
      </c>
      <c r="AC141" s="72">
        <v>266.8</v>
      </c>
      <c r="AD141" s="73">
        <f t="shared" si="24"/>
        <v>1.6866566716641662E-2</v>
      </c>
      <c r="AE141" s="67"/>
      <c r="AF141" s="71">
        <v>37043</v>
      </c>
      <c r="AG141" s="72">
        <v>119.43</v>
      </c>
      <c r="AH141" s="72">
        <v>119.11</v>
      </c>
      <c r="AI141" s="73">
        <f t="shared" si="25"/>
        <v>2.6865922256738006E-3</v>
      </c>
      <c r="AJ141" s="67"/>
      <c r="AK141" s="74">
        <v>37072</v>
      </c>
      <c r="AL141" s="41">
        <v>5.4199999999999998E-2</v>
      </c>
      <c r="AM141" s="41">
        <f t="shared" si="27"/>
        <v>-9.9999999999995925E-5</v>
      </c>
      <c r="AN141" s="67"/>
      <c r="AO141" s="75">
        <v>37043</v>
      </c>
      <c r="AP141" s="76">
        <v>543270</v>
      </c>
      <c r="AQ141" s="80">
        <f t="shared" si="7"/>
        <v>2.1218630602048982E-4</v>
      </c>
      <c r="AR141" s="67"/>
      <c r="AS141" s="94">
        <v>37043</v>
      </c>
      <c r="AT141" s="78">
        <v>0.95440000000000003</v>
      </c>
      <c r="AU141" s="67"/>
      <c r="AV141" s="79">
        <v>37043</v>
      </c>
      <c r="AW141" s="76">
        <v>299959.2</v>
      </c>
      <c r="AX141" s="80">
        <f t="shared" si="8"/>
        <v>-1.7903757847607005E-2</v>
      </c>
      <c r="AY141" s="67"/>
      <c r="AZ141" s="81">
        <v>37043</v>
      </c>
      <c r="BA141" s="82">
        <v>72.064338684082031</v>
      </c>
      <c r="BB141" s="82">
        <v>79.313102722167969</v>
      </c>
      <c r="BC141" s="67"/>
      <c r="BD141" s="83">
        <v>37057</v>
      </c>
      <c r="BE141" s="42">
        <v>5766</v>
      </c>
      <c r="BF141" s="41">
        <f t="shared" si="9"/>
        <v>-1.0808028821410187E-2</v>
      </c>
      <c r="BG141" s="67"/>
      <c r="BH141" s="84">
        <v>37043</v>
      </c>
      <c r="BI141" s="85">
        <v>89.878399999999999</v>
      </c>
      <c r="BJ141" s="87">
        <f t="shared" si="10"/>
        <v>-5.2802541073869724E-3</v>
      </c>
      <c r="BK141" s="67"/>
      <c r="BL141" s="84">
        <v>37043</v>
      </c>
      <c r="BM141" s="86">
        <v>-11.583292999999999</v>
      </c>
      <c r="BN141" s="67"/>
      <c r="BO141" s="88">
        <v>37043</v>
      </c>
      <c r="BP141" s="89">
        <v>0.71350000000000002</v>
      </c>
      <c r="BQ141" s="89">
        <v>0.75900000000000001</v>
      </c>
      <c r="BR141" s="90">
        <f t="shared" si="5"/>
        <v>-5.9947299077733884E-2</v>
      </c>
    </row>
    <row r="142" spans="1:70">
      <c r="A142" s="62">
        <v>37073</v>
      </c>
      <c r="B142" s="63">
        <v>37073</v>
      </c>
      <c r="C142" s="39">
        <v>26.35</v>
      </c>
      <c r="D142" s="64">
        <v>26.31</v>
      </c>
      <c r="E142" s="40">
        <f t="shared" si="21"/>
        <v>1.5203344735843505E-3</v>
      </c>
      <c r="F142" s="65"/>
      <c r="G142" s="63">
        <v>37073</v>
      </c>
      <c r="H142" s="39">
        <v>21.62</v>
      </c>
      <c r="I142" s="39">
        <v>19.75</v>
      </c>
      <c r="J142" s="40">
        <f t="shared" si="26"/>
        <v>9.468354430379744E-2</v>
      </c>
      <c r="K142" s="67"/>
      <c r="L142" s="68">
        <v>37073</v>
      </c>
      <c r="M142" s="98">
        <v>1211.2</v>
      </c>
      <c r="N142" s="98">
        <v>1224.4000000000001</v>
      </c>
      <c r="O142" s="70">
        <f t="shared" si="22"/>
        <v>-1.0780790591310097E-2</v>
      </c>
      <c r="P142" s="67"/>
      <c r="Q142" s="38">
        <v>37073</v>
      </c>
      <c r="R142" s="39">
        <v>3.2959999999999998</v>
      </c>
      <c r="S142" s="39">
        <v>3.09</v>
      </c>
      <c r="T142" s="40">
        <f t="shared" si="28"/>
        <v>6.6666666666666652E-2</v>
      </c>
      <c r="U142" s="67"/>
      <c r="V142" s="38">
        <v>37073</v>
      </c>
      <c r="W142" s="39">
        <v>0.70099999999999996</v>
      </c>
      <c r="X142" s="39">
        <v>0.7389</v>
      </c>
      <c r="Y142" s="40">
        <f t="shared" si="23"/>
        <v>-5.1292461767492248E-2</v>
      </c>
      <c r="Z142" s="67"/>
      <c r="AA142" s="71">
        <v>37073</v>
      </c>
      <c r="AB142" s="72">
        <v>269.2</v>
      </c>
      <c r="AC142" s="72">
        <v>271.5</v>
      </c>
      <c r="AD142" s="73">
        <f t="shared" si="24"/>
        <v>-8.4714548802946599E-3</v>
      </c>
      <c r="AE142" s="67"/>
      <c r="AF142" s="71">
        <v>37073</v>
      </c>
      <c r="AG142" s="72">
        <v>117.18</v>
      </c>
      <c r="AH142" s="72">
        <v>119.39</v>
      </c>
      <c r="AI142" s="73">
        <f t="shared" si="25"/>
        <v>-1.851076304548116E-2</v>
      </c>
      <c r="AJ142" s="67"/>
      <c r="AK142" s="74">
        <v>37103</v>
      </c>
      <c r="AL142" s="41">
        <v>5.0700000000000002E-2</v>
      </c>
      <c r="AM142" s="41">
        <f t="shared" si="27"/>
        <v>-3.4999999999999962E-3</v>
      </c>
      <c r="AN142" s="67"/>
      <c r="AO142" s="75">
        <v>37073</v>
      </c>
      <c r="AP142" s="76">
        <v>543733</v>
      </c>
      <c r="AQ142" s="80">
        <f t="shared" si="7"/>
        <v>8.5224658088978167E-4</v>
      </c>
      <c r="AR142" s="67"/>
      <c r="AS142" s="94">
        <v>37073</v>
      </c>
      <c r="AT142" s="78">
        <v>0.94025000000000003</v>
      </c>
      <c r="AU142" s="67"/>
      <c r="AV142" s="79">
        <v>37073</v>
      </c>
      <c r="AW142" s="76">
        <v>296805.25</v>
      </c>
      <c r="AX142" s="80">
        <f t="shared" si="8"/>
        <v>-1.0514596651811314E-2</v>
      </c>
      <c r="AY142" s="67"/>
      <c r="AZ142" s="81">
        <v>37073</v>
      </c>
      <c r="BA142" s="82">
        <v>61.072940826416016</v>
      </c>
      <c r="BB142" s="82">
        <v>65.492782592773438</v>
      </c>
      <c r="BC142" s="67"/>
      <c r="BD142" s="83">
        <v>37087</v>
      </c>
      <c r="BE142" s="42">
        <v>5749</v>
      </c>
      <c r="BF142" s="41">
        <f t="shared" si="9"/>
        <v>-2.9483177245924752E-3</v>
      </c>
      <c r="BG142" s="67"/>
      <c r="BH142" s="84">
        <v>37073</v>
      </c>
      <c r="BI142" s="85">
        <v>89.302800000000005</v>
      </c>
      <c r="BJ142" s="87">
        <f t="shared" si="10"/>
        <v>-6.4042083526185678E-3</v>
      </c>
      <c r="BK142" s="67"/>
      <c r="BL142" s="84">
        <v>37073</v>
      </c>
      <c r="BM142" s="86">
        <v>-24.423886</v>
      </c>
      <c r="BN142" s="67"/>
      <c r="BO142" s="88">
        <v>37073</v>
      </c>
      <c r="BP142" s="89">
        <v>0.68600000000000005</v>
      </c>
      <c r="BQ142" s="89">
        <v>0.71199999999999997</v>
      </c>
      <c r="BR142" s="90">
        <f t="shared" si="5"/>
        <v>-3.6516853932584192E-2</v>
      </c>
    </row>
    <row r="143" spans="1:70">
      <c r="A143" s="62">
        <v>37104</v>
      </c>
      <c r="B143" s="63">
        <v>37104</v>
      </c>
      <c r="C143" s="39">
        <v>27.2</v>
      </c>
      <c r="D143" s="64">
        <v>26.35</v>
      </c>
      <c r="E143" s="40">
        <f t="shared" si="21"/>
        <v>3.2258064516129004E-2</v>
      </c>
      <c r="F143" s="65"/>
      <c r="G143" s="63">
        <v>37104</v>
      </c>
      <c r="H143" s="39">
        <v>24.92</v>
      </c>
      <c r="I143" s="39">
        <v>20.97</v>
      </c>
      <c r="J143" s="40">
        <f t="shared" si="26"/>
        <v>0.18836432999523134</v>
      </c>
      <c r="K143" s="67"/>
      <c r="L143" s="68">
        <v>37104</v>
      </c>
      <c r="M143" s="98">
        <v>1133.5999999999999</v>
      </c>
      <c r="N143" s="98">
        <v>1211.2</v>
      </c>
      <c r="O143" s="70">
        <f t="shared" si="22"/>
        <v>-6.4068692206076694E-2</v>
      </c>
      <c r="P143" s="67"/>
      <c r="Q143" s="38">
        <v>37104</v>
      </c>
      <c r="R143" s="39">
        <v>2.38</v>
      </c>
      <c r="S143" s="39">
        <v>3.3</v>
      </c>
      <c r="T143" s="40">
        <f t="shared" si="28"/>
        <v>-0.27878787878787881</v>
      </c>
      <c r="U143" s="67"/>
      <c r="V143" s="38">
        <v>37104</v>
      </c>
      <c r="W143" s="39">
        <v>0.77290000000000003</v>
      </c>
      <c r="X143" s="39">
        <v>0.70699999999999996</v>
      </c>
      <c r="Y143" s="40">
        <f t="shared" si="23"/>
        <v>9.321074964639342E-2</v>
      </c>
      <c r="Z143" s="67"/>
      <c r="AA143" s="71">
        <v>37104</v>
      </c>
      <c r="AB143" s="72">
        <v>276.5</v>
      </c>
      <c r="AC143" s="72">
        <v>269.2</v>
      </c>
      <c r="AD143" s="73">
        <f t="shared" si="24"/>
        <v>2.7117384843982295E-2</v>
      </c>
      <c r="AE143" s="67"/>
      <c r="AF143" s="71">
        <v>37104</v>
      </c>
      <c r="AG143" s="72">
        <v>113.42</v>
      </c>
      <c r="AH143" s="72">
        <v>117.07</v>
      </c>
      <c r="AI143" s="73">
        <f t="shared" si="25"/>
        <v>-3.1177927735542732E-2</v>
      </c>
      <c r="AJ143" s="67"/>
      <c r="AK143" s="74">
        <v>37134</v>
      </c>
      <c r="AL143" s="41">
        <v>4.8499999999999995E-2</v>
      </c>
      <c r="AM143" s="41">
        <f t="shared" si="27"/>
        <v>-2.2000000000000075E-3</v>
      </c>
      <c r="AN143" s="67"/>
      <c r="AO143" s="75">
        <v>37104</v>
      </c>
      <c r="AP143" s="76">
        <v>543733.80000000005</v>
      </c>
      <c r="AQ143" s="80">
        <f t="shared" si="7"/>
        <v>1.4713103675401129E-6</v>
      </c>
      <c r="AR143" s="67"/>
      <c r="AS143" s="94">
        <v>37104</v>
      </c>
      <c r="AT143" s="78">
        <v>0.92659999999999998</v>
      </c>
      <c r="AU143" s="67"/>
      <c r="AV143" s="79">
        <v>37104</v>
      </c>
      <c r="AW143" s="76">
        <v>287810.2</v>
      </c>
      <c r="AX143" s="80">
        <f t="shared" si="8"/>
        <v>-3.030623615990613E-2</v>
      </c>
      <c r="AY143" s="67"/>
      <c r="AZ143" s="81">
        <v>37104</v>
      </c>
      <c r="BA143" s="82">
        <v>64.107734680175781</v>
      </c>
      <c r="BB143" s="82">
        <v>55.232074737548828</v>
      </c>
      <c r="BC143" s="67"/>
      <c r="BD143" s="83">
        <v>37118</v>
      </c>
      <c r="BE143" s="42">
        <v>5725</v>
      </c>
      <c r="BF143" s="41">
        <f t="shared" si="9"/>
        <v>-4.17463906766391E-3</v>
      </c>
      <c r="BG143" s="67"/>
      <c r="BH143" s="84">
        <v>37104</v>
      </c>
      <c r="BI143" s="85">
        <v>89.200299999999999</v>
      </c>
      <c r="BJ143" s="87">
        <f t="shared" si="10"/>
        <v>-1.1477803607502501E-3</v>
      </c>
      <c r="BK143" s="67"/>
      <c r="BL143" s="84">
        <v>37104</v>
      </c>
      <c r="BM143" s="86">
        <v>-45.090583000000002</v>
      </c>
      <c r="BN143" s="67"/>
      <c r="BO143" s="88">
        <v>37104</v>
      </c>
      <c r="BP143" s="89">
        <v>0.68400000000000005</v>
      </c>
      <c r="BQ143" s="89">
        <v>0.68100000000000005</v>
      </c>
      <c r="BR143" s="90">
        <f t="shared" si="5"/>
        <v>4.405286343612369E-3</v>
      </c>
    </row>
    <row r="144" spans="1:70">
      <c r="A144" s="62">
        <v>37135</v>
      </c>
      <c r="B144" s="63">
        <v>37135</v>
      </c>
      <c r="C144" s="39">
        <v>23.43</v>
      </c>
      <c r="D144" s="64">
        <v>27.17</v>
      </c>
      <c r="E144" s="40">
        <f t="shared" si="21"/>
        <v>-0.13765182186234826</v>
      </c>
      <c r="F144" s="65"/>
      <c r="G144" s="63">
        <v>37135</v>
      </c>
      <c r="H144" s="39">
        <v>31.93</v>
      </c>
      <c r="I144" s="39">
        <v>26.11</v>
      </c>
      <c r="J144" s="40">
        <f t="shared" si="26"/>
        <v>0.22290310225967058</v>
      </c>
      <c r="K144" s="67"/>
      <c r="L144" s="68">
        <v>37135</v>
      </c>
      <c r="M144" s="98">
        <v>1040.9000000000001</v>
      </c>
      <c r="N144" s="98">
        <v>1133.5999999999999</v>
      </c>
      <c r="O144" s="70">
        <f t="shared" si="22"/>
        <v>-8.1774876499646987E-2</v>
      </c>
      <c r="P144" s="67"/>
      <c r="Q144" s="38">
        <v>37135</v>
      </c>
      <c r="R144" s="39">
        <v>2.2440000000000002</v>
      </c>
      <c r="S144" s="39">
        <v>2.2829999999999999</v>
      </c>
      <c r="T144" s="40">
        <f t="shared" si="28"/>
        <v>-1.7082785808147039E-2</v>
      </c>
      <c r="U144" s="67"/>
      <c r="V144" s="38">
        <v>37135</v>
      </c>
      <c r="W144" s="39">
        <v>0.66990000000000005</v>
      </c>
      <c r="X144" s="39">
        <v>0.77549999999999997</v>
      </c>
      <c r="Y144" s="40">
        <f t="shared" si="23"/>
        <v>-0.13617021276595731</v>
      </c>
      <c r="Z144" s="67"/>
      <c r="AA144" s="71">
        <v>37135</v>
      </c>
      <c r="AB144" s="72">
        <v>294</v>
      </c>
      <c r="AC144" s="72">
        <v>276.10000000000002</v>
      </c>
      <c r="AD144" s="73">
        <f t="shared" si="24"/>
        <v>6.4831582759869555E-2</v>
      </c>
      <c r="AE144" s="67"/>
      <c r="AF144" s="71">
        <v>37135</v>
      </c>
      <c r="AG144" s="72">
        <v>113.48</v>
      </c>
      <c r="AH144" s="72">
        <v>113.48</v>
      </c>
      <c r="AI144" s="73">
        <f t="shared" si="25"/>
        <v>0</v>
      </c>
      <c r="AJ144" s="67"/>
      <c r="AK144" s="74">
        <v>37164</v>
      </c>
      <c r="AL144" s="41">
        <v>4.5999999999999999E-2</v>
      </c>
      <c r="AM144" s="41">
        <f t="shared" si="27"/>
        <v>-2.4999999999999953E-3</v>
      </c>
      <c r="AN144" s="67"/>
      <c r="AO144" s="75">
        <v>37135</v>
      </c>
      <c r="AP144" s="76">
        <v>544382.5</v>
      </c>
      <c r="AQ144" s="80">
        <f t="shared" si="7"/>
        <v>1.1930470388266112E-3</v>
      </c>
      <c r="AR144" s="67"/>
      <c r="AS144" s="94">
        <v>37135</v>
      </c>
      <c r="AT144" s="78">
        <v>0.91599999999999993</v>
      </c>
      <c r="AU144" s="67"/>
      <c r="AV144" s="79">
        <v>37135</v>
      </c>
      <c r="AW144" s="76">
        <v>288181.5</v>
      </c>
      <c r="AX144" s="80">
        <f t="shared" si="8"/>
        <v>1.2900863138276542E-3</v>
      </c>
      <c r="AY144" s="67"/>
      <c r="AZ144" s="81">
        <v>37135</v>
      </c>
      <c r="BA144" s="82">
        <v>498.64788818359375</v>
      </c>
      <c r="BB144" s="82">
        <v>260.16961669921875</v>
      </c>
      <c r="BC144" s="67"/>
      <c r="BD144" s="83">
        <v>37149</v>
      </c>
      <c r="BE144" s="42">
        <v>5709</v>
      </c>
      <c r="BF144" s="41">
        <f t="shared" si="9"/>
        <v>-2.7947598253275086E-3</v>
      </c>
      <c r="BG144" s="67"/>
      <c r="BH144" s="84">
        <v>37135</v>
      </c>
      <c r="BI144" s="85">
        <v>88.748500000000007</v>
      </c>
      <c r="BJ144" s="87">
        <f t="shared" si="10"/>
        <v>-5.0650053867531408E-3</v>
      </c>
      <c r="BK144" s="67"/>
      <c r="BL144" s="84">
        <v>37135</v>
      </c>
      <c r="BM144" s="86">
        <v>-48.953789999999998</v>
      </c>
      <c r="BN144" s="67"/>
      <c r="BO144" s="88">
        <v>37135</v>
      </c>
      <c r="BP144" s="89">
        <v>0.65200000000000002</v>
      </c>
      <c r="BQ144" s="89">
        <v>0.67649999999999999</v>
      </c>
      <c r="BR144" s="90">
        <f t="shared" si="5"/>
        <v>-3.6215816703621506E-2</v>
      </c>
    </row>
    <row r="145" spans="1:70">
      <c r="A145" s="62">
        <v>37165</v>
      </c>
      <c r="B145" s="63">
        <v>37165</v>
      </c>
      <c r="C145" s="39">
        <v>21.18</v>
      </c>
      <c r="D145" s="64">
        <v>23.5</v>
      </c>
      <c r="E145" s="40">
        <f t="shared" si="21"/>
        <v>-9.8723404255319114E-2</v>
      </c>
      <c r="F145" s="65"/>
      <c r="G145" s="63">
        <v>37165</v>
      </c>
      <c r="H145" s="39">
        <v>33.56</v>
      </c>
      <c r="I145" s="39">
        <v>33.42</v>
      </c>
      <c r="J145" s="40">
        <f t="shared" si="26"/>
        <v>4.1891083183722699E-3</v>
      </c>
      <c r="K145" s="67"/>
      <c r="L145" s="68">
        <v>37165</v>
      </c>
      <c r="M145" s="98">
        <v>1059.8</v>
      </c>
      <c r="N145" s="98">
        <v>1037.9000000000001</v>
      </c>
      <c r="O145" s="70">
        <f t="shared" si="22"/>
        <v>2.110029868002683E-2</v>
      </c>
      <c r="P145" s="67"/>
      <c r="Q145" s="38">
        <v>37165</v>
      </c>
      <c r="R145" s="39">
        <v>3.2909999999999999</v>
      </c>
      <c r="S145" s="39">
        <v>2.2200000000000002</v>
      </c>
      <c r="T145" s="40">
        <f t="shared" si="28"/>
        <v>0.48243243243243228</v>
      </c>
      <c r="U145" s="67"/>
      <c r="V145" s="38">
        <v>37165</v>
      </c>
      <c r="W145" s="39">
        <v>0.61040000000000005</v>
      </c>
      <c r="X145" s="39">
        <v>0.67649999999999999</v>
      </c>
      <c r="Y145" s="40">
        <f t="shared" si="23"/>
        <v>-9.7708795269770832E-2</v>
      </c>
      <c r="Z145" s="67"/>
      <c r="AA145" s="71">
        <v>37165</v>
      </c>
      <c r="AB145" s="72">
        <v>280.5</v>
      </c>
      <c r="AC145" s="72">
        <v>293.7</v>
      </c>
      <c r="AD145" s="73">
        <f t="shared" si="24"/>
        <v>-4.49438202247191E-2</v>
      </c>
      <c r="AE145" s="67"/>
      <c r="AF145" s="71">
        <v>37165</v>
      </c>
      <c r="AG145" s="72">
        <v>114.86</v>
      </c>
      <c r="AH145" s="72">
        <v>113.69</v>
      </c>
      <c r="AI145" s="73">
        <f t="shared" si="25"/>
        <v>1.0291142580701962E-2</v>
      </c>
      <c r="AJ145" s="67"/>
      <c r="AK145" s="74">
        <v>37195</v>
      </c>
      <c r="AL145" s="41">
        <v>4.2999999999999997E-2</v>
      </c>
      <c r="AM145" s="41">
        <f t="shared" si="27"/>
        <v>-3.0000000000000027E-3</v>
      </c>
      <c r="AN145" s="67"/>
      <c r="AO145" s="75">
        <v>37165</v>
      </c>
      <c r="AP145" s="76">
        <v>544760</v>
      </c>
      <c r="AQ145" s="80">
        <f t="shared" si="7"/>
        <v>6.9344624413902878E-4</v>
      </c>
      <c r="AR145" s="67"/>
      <c r="AS145" s="94">
        <v>37165</v>
      </c>
      <c r="AT145" s="78">
        <v>0.91874999999999996</v>
      </c>
      <c r="AU145" s="67"/>
      <c r="AV145" s="79">
        <v>37165</v>
      </c>
      <c r="AW145" s="76">
        <v>289394.5</v>
      </c>
      <c r="AX145" s="80">
        <f t="shared" si="8"/>
        <v>4.2091529123140514E-3</v>
      </c>
      <c r="AY145" s="67"/>
      <c r="AZ145" s="81">
        <v>37165</v>
      </c>
      <c r="BA145" s="82">
        <v>512.52972412109375</v>
      </c>
      <c r="BB145" s="82">
        <v>261.347412109375</v>
      </c>
      <c r="BC145" s="67"/>
      <c r="BD145" s="83">
        <v>37179</v>
      </c>
      <c r="BE145" s="42">
        <v>5746</v>
      </c>
      <c r="BF145" s="41">
        <f t="shared" si="9"/>
        <v>6.4809949203012973E-3</v>
      </c>
      <c r="BG145" s="67"/>
      <c r="BH145" s="84">
        <v>37165</v>
      </c>
      <c r="BI145" s="85">
        <v>88.505200000000002</v>
      </c>
      <c r="BJ145" s="87">
        <f t="shared" si="10"/>
        <v>-2.7414547851513094E-3</v>
      </c>
      <c r="BK145" s="67"/>
      <c r="BL145" s="84">
        <v>37165</v>
      </c>
      <c r="BM145" s="86">
        <v>-53.606771999999999</v>
      </c>
      <c r="BN145" s="67"/>
      <c r="BO145" s="88">
        <v>37165</v>
      </c>
      <c r="BP145" s="89">
        <v>0.62749999999999995</v>
      </c>
      <c r="BQ145" s="89">
        <v>0.64749999999999996</v>
      </c>
      <c r="BR145" s="90">
        <f t="shared" si="5"/>
        <v>-3.0888030888030937E-2</v>
      </c>
    </row>
    <row r="146" spans="1:70">
      <c r="A146" s="62">
        <v>37196</v>
      </c>
      <c r="B146" s="63">
        <v>37196</v>
      </c>
      <c r="C146" s="39">
        <v>19.440000000000001</v>
      </c>
      <c r="D146" s="64">
        <v>21.26</v>
      </c>
      <c r="E146" s="40">
        <f t="shared" si="21"/>
        <v>-8.5606773283160909E-2</v>
      </c>
      <c r="F146" s="65"/>
      <c r="G146" s="63">
        <v>37196</v>
      </c>
      <c r="H146" s="39">
        <v>23.84</v>
      </c>
      <c r="I146" s="39">
        <v>33.97</v>
      </c>
      <c r="J146" s="40">
        <f t="shared" si="26"/>
        <v>-0.29820429790992053</v>
      </c>
      <c r="K146" s="67"/>
      <c r="L146" s="68">
        <v>37196</v>
      </c>
      <c r="M146" s="98">
        <v>1139.5</v>
      </c>
      <c r="N146" s="98">
        <v>1063.0999999999999</v>
      </c>
      <c r="O146" s="70">
        <f t="shared" si="22"/>
        <v>7.186529959552268E-2</v>
      </c>
      <c r="P146" s="67"/>
      <c r="Q146" s="38">
        <v>37196</v>
      </c>
      <c r="R146" s="39">
        <v>2.7010000000000001</v>
      </c>
      <c r="S146" s="39">
        <v>3.3210000000000002</v>
      </c>
      <c r="T146" s="40">
        <f t="shared" si="28"/>
        <v>-0.18669075579644689</v>
      </c>
      <c r="U146" s="67"/>
      <c r="V146" s="38">
        <v>37196</v>
      </c>
      <c r="W146" s="39">
        <v>0.54590000000000005</v>
      </c>
      <c r="X146" s="39">
        <v>0.61699999999999999</v>
      </c>
      <c r="Y146" s="40">
        <f t="shared" si="23"/>
        <v>-0.11523500810372767</v>
      </c>
      <c r="Z146" s="67"/>
      <c r="AA146" s="71">
        <v>37196</v>
      </c>
      <c r="AB146" s="72">
        <v>274.89999999999998</v>
      </c>
      <c r="AC146" s="72">
        <v>280.5</v>
      </c>
      <c r="AD146" s="73">
        <f t="shared" si="24"/>
        <v>-1.9964349376114132E-2</v>
      </c>
      <c r="AE146" s="67"/>
      <c r="AF146" s="71">
        <v>37196</v>
      </c>
      <c r="AG146" s="72">
        <v>116.13</v>
      </c>
      <c r="AH146" s="72">
        <v>114.71</v>
      </c>
      <c r="AI146" s="73">
        <f t="shared" si="25"/>
        <v>1.23790428035917E-2</v>
      </c>
      <c r="AJ146" s="67"/>
      <c r="AK146" s="74">
        <v>37225</v>
      </c>
      <c r="AL146" s="41">
        <v>4.7800000000000002E-2</v>
      </c>
      <c r="AM146" s="41">
        <f t="shared" si="27"/>
        <v>4.8000000000000057E-3</v>
      </c>
      <c r="AN146" s="67"/>
      <c r="AO146" s="75">
        <v>37196</v>
      </c>
      <c r="AP146" s="76">
        <v>546259.6</v>
      </c>
      <c r="AQ146" s="80">
        <f t="shared" si="7"/>
        <v>2.7527718628386211E-3</v>
      </c>
      <c r="AR146" s="67"/>
      <c r="AS146" s="94">
        <v>37196</v>
      </c>
      <c r="AT146" s="78">
        <v>0.90319999999999989</v>
      </c>
      <c r="AU146" s="67"/>
      <c r="AV146" s="79">
        <v>37196</v>
      </c>
      <c r="AW146" s="76">
        <v>294185.40000000002</v>
      </c>
      <c r="AX146" s="80">
        <f t="shared" si="8"/>
        <v>1.6554910338655526E-2</v>
      </c>
      <c r="AY146" s="67"/>
      <c r="AZ146" s="81">
        <v>37196</v>
      </c>
      <c r="BA146" s="82">
        <v>306.785888671875</v>
      </c>
      <c r="BB146" s="82">
        <v>149.79522705078125</v>
      </c>
      <c r="BC146" s="67"/>
      <c r="BD146" s="83">
        <v>37210</v>
      </c>
      <c r="BE146" s="42">
        <v>5881</v>
      </c>
      <c r="BF146" s="41">
        <f t="shared" si="9"/>
        <v>2.3494604942568831E-2</v>
      </c>
      <c r="BG146" s="67"/>
      <c r="BH146" s="84">
        <v>37196</v>
      </c>
      <c r="BI146" s="85">
        <v>87.97</v>
      </c>
      <c r="BJ146" s="87">
        <f t="shared" si="10"/>
        <v>-6.0471023171519978E-3</v>
      </c>
      <c r="BK146" s="67"/>
      <c r="BL146" s="84">
        <v>37196</v>
      </c>
      <c r="BM146" s="86">
        <v>-58.289940999999999</v>
      </c>
      <c r="BN146" s="67"/>
      <c r="BO146" s="88">
        <v>37196</v>
      </c>
      <c r="BP146" s="89">
        <v>0.72899999999999998</v>
      </c>
      <c r="BQ146" s="89">
        <v>0.627</v>
      </c>
      <c r="BR146" s="90">
        <f t="shared" si="5"/>
        <v>0.16267942583732053</v>
      </c>
    </row>
    <row r="147" spans="1:70">
      <c r="A147" s="62">
        <v>37226</v>
      </c>
      <c r="B147" s="63">
        <v>37226</v>
      </c>
      <c r="C147" s="39">
        <v>19.84</v>
      </c>
      <c r="D147" s="64">
        <v>19.399999999999999</v>
      </c>
      <c r="E147" s="40">
        <f t="shared" si="21"/>
        <v>2.2680412371134162E-2</v>
      </c>
      <c r="F147" s="65"/>
      <c r="G147" s="63">
        <v>37226</v>
      </c>
      <c r="H147" s="39">
        <v>23.8</v>
      </c>
      <c r="I147" s="39">
        <v>25.92</v>
      </c>
      <c r="J147" s="40">
        <f t="shared" si="26"/>
        <v>-8.1790123456790154E-2</v>
      </c>
      <c r="K147" s="67"/>
      <c r="L147" s="68">
        <v>37226</v>
      </c>
      <c r="M147" s="98">
        <v>1148.0999999999999</v>
      </c>
      <c r="N147" s="98">
        <v>1139.5</v>
      </c>
      <c r="O147" s="70">
        <f t="shared" si="22"/>
        <v>7.547169811320753E-3</v>
      </c>
      <c r="P147" s="67"/>
      <c r="Q147" s="38">
        <v>37226</v>
      </c>
      <c r="R147" s="39">
        <v>2.57</v>
      </c>
      <c r="S147" s="39">
        <v>2.63</v>
      </c>
      <c r="T147" s="40">
        <f t="shared" si="28"/>
        <v>-2.281368821292773E-2</v>
      </c>
      <c r="U147" s="67"/>
      <c r="V147" s="38">
        <v>37226</v>
      </c>
      <c r="W147" s="39">
        <v>0.55330000000000001</v>
      </c>
      <c r="X147" s="39">
        <v>0.55100000000000005</v>
      </c>
      <c r="Y147" s="40">
        <f t="shared" si="23"/>
        <v>4.1742286751360602E-3</v>
      </c>
      <c r="Z147" s="67"/>
      <c r="AA147" s="71">
        <v>37226</v>
      </c>
      <c r="AB147" s="72">
        <v>279</v>
      </c>
      <c r="AC147" s="72">
        <v>275.2</v>
      </c>
      <c r="AD147" s="73">
        <f t="shared" si="24"/>
        <v>1.380813953488369E-2</v>
      </c>
      <c r="AE147" s="67"/>
      <c r="AF147" s="71">
        <v>37226</v>
      </c>
      <c r="AG147" s="72">
        <v>116.75</v>
      </c>
      <c r="AH147" s="72">
        <v>115.61</v>
      </c>
      <c r="AI147" s="73">
        <f t="shared" si="25"/>
        <v>9.8607386904248084E-3</v>
      </c>
      <c r="AJ147" s="67"/>
      <c r="AK147" s="74">
        <v>37256</v>
      </c>
      <c r="AL147" s="41">
        <v>5.0700000000000002E-2</v>
      </c>
      <c r="AM147" s="41">
        <f t="shared" si="27"/>
        <v>2.8999999999999998E-3</v>
      </c>
      <c r="AN147" s="67"/>
      <c r="AO147" s="75">
        <v>37226</v>
      </c>
      <c r="AP147" s="76">
        <v>548440.75</v>
      </c>
      <c r="AQ147" s="80">
        <f t="shared" si="7"/>
        <v>3.9928817726957444E-3</v>
      </c>
      <c r="AR147" s="67"/>
      <c r="AS147" s="94">
        <v>37226</v>
      </c>
      <c r="AT147" s="78">
        <v>0.89124999999999999</v>
      </c>
      <c r="AU147" s="67"/>
      <c r="AV147" s="79">
        <v>37226</v>
      </c>
      <c r="AW147" s="76">
        <v>293837.75</v>
      </c>
      <c r="AX147" s="80">
        <f t="shared" si="8"/>
        <v>-1.1817377748862823E-3</v>
      </c>
      <c r="AY147" s="67"/>
      <c r="AZ147" s="81">
        <v>37226</v>
      </c>
      <c r="BA147" s="82">
        <v>236.09974670410156</v>
      </c>
      <c r="BB147" s="82">
        <v>126.19801330566406</v>
      </c>
      <c r="BC147" s="67"/>
      <c r="BD147" s="83">
        <v>37240</v>
      </c>
      <c r="BE147" s="42">
        <v>5887</v>
      </c>
      <c r="BF147" s="41">
        <f t="shared" si="9"/>
        <v>1.0202346539704976E-3</v>
      </c>
      <c r="BG147" s="67"/>
      <c r="BH147" s="84">
        <v>37226</v>
      </c>
      <c r="BI147" s="85">
        <v>87.932400000000001</v>
      </c>
      <c r="BJ147" s="87">
        <f t="shared" si="10"/>
        <v>-4.2741843810389923E-4</v>
      </c>
      <c r="BK147" s="67"/>
      <c r="BL147" s="84">
        <v>37226</v>
      </c>
      <c r="BM147" s="86">
        <v>-56.327044000000001</v>
      </c>
      <c r="BN147" s="67"/>
      <c r="BO147" s="88">
        <v>37226</v>
      </c>
      <c r="BP147" s="89">
        <v>0.65900000000000003</v>
      </c>
      <c r="BQ147" s="89">
        <v>0.72050000000000003</v>
      </c>
      <c r="BR147" s="90">
        <f t="shared" si="5"/>
        <v>-8.5357390700902092E-2</v>
      </c>
    </row>
    <row r="148" spans="1:70">
      <c r="A148" s="62">
        <v>37257</v>
      </c>
      <c r="B148" s="63">
        <v>37257</v>
      </c>
      <c r="C148" s="39">
        <v>19.48</v>
      </c>
      <c r="D148" s="64">
        <v>19.899999999999999</v>
      </c>
      <c r="E148" s="40">
        <f t="shared" si="21"/>
        <v>-2.1105527638190846E-2</v>
      </c>
      <c r="F148" s="65"/>
      <c r="G148" s="63">
        <v>37257</v>
      </c>
      <c r="H148" s="39">
        <v>21.09</v>
      </c>
      <c r="I148" s="39">
        <v>23.78</v>
      </c>
      <c r="J148" s="40">
        <f t="shared" si="26"/>
        <v>-0.11312026913372586</v>
      </c>
      <c r="K148" s="67"/>
      <c r="L148" s="68">
        <v>37257</v>
      </c>
      <c r="M148" s="98">
        <v>1130.2</v>
      </c>
      <c r="N148" s="98">
        <v>1149</v>
      </c>
      <c r="O148" s="70">
        <f t="shared" si="22"/>
        <v>-1.636205395996515E-2</v>
      </c>
      <c r="P148" s="67"/>
      <c r="Q148" s="38">
        <v>37257</v>
      </c>
      <c r="R148" s="39">
        <v>2.1379999999999999</v>
      </c>
      <c r="S148" s="39">
        <v>2.5499999999999998</v>
      </c>
      <c r="T148" s="40">
        <f t="shared" si="28"/>
        <v>-0.16156862745098033</v>
      </c>
      <c r="U148" s="67"/>
      <c r="V148" s="38">
        <v>37257</v>
      </c>
      <c r="W148" s="39">
        <v>0.53159999999999996</v>
      </c>
      <c r="X148" s="39">
        <v>0.55149999999999999</v>
      </c>
      <c r="Y148" s="40">
        <f t="shared" si="23"/>
        <v>-3.6083408884859502E-2</v>
      </c>
      <c r="Z148" s="67"/>
      <c r="AA148" s="71">
        <v>37257</v>
      </c>
      <c r="AB148" s="72">
        <v>282.89999999999998</v>
      </c>
      <c r="AC148" s="72">
        <v>279.5</v>
      </c>
      <c r="AD148" s="73">
        <f t="shared" si="24"/>
        <v>1.2164579606440018E-2</v>
      </c>
      <c r="AE148" s="67"/>
      <c r="AF148" s="71">
        <v>37257</v>
      </c>
      <c r="AG148" s="72">
        <v>120.24</v>
      </c>
      <c r="AH148" s="72">
        <v>116.4</v>
      </c>
      <c r="AI148" s="73">
        <f t="shared" si="25"/>
        <v>3.2989690721649367E-2</v>
      </c>
      <c r="AJ148" s="67"/>
      <c r="AK148" s="74">
        <v>37287</v>
      </c>
      <c r="AL148" s="41">
        <v>5.0700000000000002E-2</v>
      </c>
      <c r="AM148" s="41">
        <f t="shared" si="27"/>
        <v>0</v>
      </c>
      <c r="AN148" s="67"/>
      <c r="AO148" s="75">
        <v>37257</v>
      </c>
      <c r="AP148" s="76">
        <v>551867.75</v>
      </c>
      <c r="AQ148" s="80">
        <f t="shared" si="7"/>
        <v>6.2486239397783194E-3</v>
      </c>
      <c r="AR148" s="67"/>
      <c r="AS148" s="94">
        <v>37257</v>
      </c>
      <c r="AT148" s="78">
        <v>0.88025000000000009</v>
      </c>
      <c r="AU148" s="67"/>
      <c r="AV148" s="79">
        <v>37257</v>
      </c>
      <c r="AW148" s="76">
        <v>297078</v>
      </c>
      <c r="AX148" s="80">
        <f t="shared" si="8"/>
        <v>1.1027344172081399E-2</v>
      </c>
      <c r="AY148" s="67"/>
      <c r="AZ148" s="81">
        <v>37257</v>
      </c>
      <c r="BA148" s="82">
        <v>172.47720336914063</v>
      </c>
      <c r="BB148" s="82">
        <v>106.91623687744141</v>
      </c>
      <c r="BC148" s="67"/>
      <c r="BD148" s="83">
        <v>37271</v>
      </c>
      <c r="BE148" s="42">
        <v>5873</v>
      </c>
      <c r="BF148" s="41">
        <f t="shared" si="9"/>
        <v>-2.3781212841854638E-3</v>
      </c>
      <c r="BG148" s="67"/>
      <c r="BH148" s="84">
        <v>37257</v>
      </c>
      <c r="BI148" s="85">
        <v>88.517600000000002</v>
      </c>
      <c r="BJ148" s="87">
        <f t="shared" si="10"/>
        <v>6.6551123362947884E-3</v>
      </c>
      <c r="BK148" s="67"/>
      <c r="BL148" s="84">
        <v>37257</v>
      </c>
      <c r="BM148" s="86">
        <v>-49.552036000000001</v>
      </c>
      <c r="BN148" s="67"/>
      <c r="BO148" s="88">
        <v>37257</v>
      </c>
      <c r="BP148" s="89">
        <v>0.73599999999999999</v>
      </c>
      <c r="BQ148" s="89">
        <v>0.66</v>
      </c>
      <c r="BR148" s="90">
        <f t="shared" si="5"/>
        <v>0.115151515151515</v>
      </c>
    </row>
    <row r="149" spans="1:70">
      <c r="A149" s="62">
        <v>37288</v>
      </c>
      <c r="B149" s="63">
        <v>37288</v>
      </c>
      <c r="C149" s="39">
        <v>21.74</v>
      </c>
      <c r="D149" s="64">
        <v>19.47</v>
      </c>
      <c r="E149" s="40">
        <f t="shared" si="21"/>
        <v>0.11658962506420134</v>
      </c>
      <c r="F149" s="65"/>
      <c r="G149" s="63">
        <v>37288</v>
      </c>
      <c r="H149" s="39">
        <v>21.59</v>
      </c>
      <c r="I149" s="39">
        <v>21.12</v>
      </c>
      <c r="J149" s="40">
        <f t="shared" si="26"/>
        <v>2.2253787878787845E-2</v>
      </c>
      <c r="K149" s="67"/>
      <c r="L149" s="68">
        <v>37288</v>
      </c>
      <c r="M149" s="98">
        <v>1106.7</v>
      </c>
      <c r="N149" s="98">
        <v>1127.4000000000001</v>
      </c>
      <c r="O149" s="70">
        <f t="shared" si="22"/>
        <v>-1.836083022884516E-2</v>
      </c>
      <c r="P149" s="67"/>
      <c r="Q149" s="38">
        <v>37288</v>
      </c>
      <c r="R149" s="39">
        <v>2.3570000000000002</v>
      </c>
      <c r="S149" s="39">
        <v>2.145</v>
      </c>
      <c r="T149" s="40">
        <f t="shared" si="28"/>
        <v>9.8834498834498907E-2</v>
      </c>
      <c r="U149" s="67"/>
      <c r="V149" s="38">
        <v>37288</v>
      </c>
      <c r="W149" s="39">
        <v>0.57150000000000001</v>
      </c>
      <c r="X149" s="39">
        <v>0.53400000000000003</v>
      </c>
      <c r="Y149" s="40">
        <f t="shared" si="23"/>
        <v>7.02247191011236E-2</v>
      </c>
      <c r="Z149" s="67"/>
      <c r="AA149" s="71">
        <v>37288</v>
      </c>
      <c r="AB149" s="72">
        <v>297.10000000000002</v>
      </c>
      <c r="AC149" s="72">
        <v>283</v>
      </c>
      <c r="AD149" s="73">
        <f t="shared" si="24"/>
        <v>4.9823321554770317E-2</v>
      </c>
      <c r="AE149" s="67"/>
      <c r="AF149" s="71">
        <v>37288</v>
      </c>
      <c r="AG149" s="72">
        <v>119.16</v>
      </c>
      <c r="AH149" s="72">
        <v>120.21</v>
      </c>
      <c r="AI149" s="73">
        <f t="shared" si="25"/>
        <v>-8.7347142500623365E-3</v>
      </c>
      <c r="AJ149" s="67"/>
      <c r="AK149" s="74">
        <v>37315</v>
      </c>
      <c r="AL149" s="41">
        <v>4.8799999999999996E-2</v>
      </c>
      <c r="AM149" s="41">
        <f t="shared" si="27"/>
        <v>-1.9000000000000059E-3</v>
      </c>
      <c r="AN149" s="67"/>
      <c r="AO149" s="75">
        <v>37288</v>
      </c>
      <c r="AP149" s="76">
        <v>556977.25</v>
      </c>
      <c r="AQ149" s="80">
        <f t="shared" si="7"/>
        <v>9.2585587760836141E-3</v>
      </c>
      <c r="AR149" s="67"/>
      <c r="AS149" s="94">
        <v>37288</v>
      </c>
      <c r="AT149" s="78">
        <v>0.86474999999999991</v>
      </c>
      <c r="AU149" s="67"/>
      <c r="AV149" s="79">
        <v>37288</v>
      </c>
      <c r="AW149" s="76">
        <v>302201.75</v>
      </c>
      <c r="AX149" s="80">
        <f t="shared" si="8"/>
        <v>1.7247153946101657E-2</v>
      </c>
      <c r="AY149" s="67"/>
      <c r="AZ149" s="81">
        <v>37288</v>
      </c>
      <c r="BA149" s="82">
        <v>146.18571472167969</v>
      </c>
      <c r="BB149" s="82">
        <v>95.780311584472656</v>
      </c>
      <c r="BC149" s="67"/>
      <c r="BD149" s="83">
        <v>37302</v>
      </c>
      <c r="BE149" s="42">
        <v>5881</v>
      </c>
      <c r="BF149" s="41">
        <f t="shared" si="9"/>
        <v>1.3621658436915318E-3</v>
      </c>
      <c r="BG149" s="67"/>
      <c r="BH149" s="84">
        <v>37288</v>
      </c>
      <c r="BI149" s="85">
        <v>88.527799999999999</v>
      </c>
      <c r="BJ149" s="87">
        <f t="shared" si="10"/>
        <v>1.1523132122870372E-4</v>
      </c>
      <c r="BK149" s="67"/>
      <c r="BL149" s="84">
        <v>37288</v>
      </c>
      <c r="BM149" s="86">
        <v>-46.485948</v>
      </c>
      <c r="BN149" s="67"/>
      <c r="BO149" s="88">
        <v>37288</v>
      </c>
      <c r="BP149" s="89">
        <v>0.72050000000000003</v>
      </c>
      <c r="BQ149" s="89">
        <v>0.73850000000000005</v>
      </c>
      <c r="BR149" s="90">
        <f t="shared" si="5"/>
        <v>-2.4373730534868021E-2</v>
      </c>
    </row>
    <row r="150" spans="1:70">
      <c r="A150" s="62">
        <v>37316</v>
      </c>
      <c r="B150" s="63">
        <v>37316</v>
      </c>
      <c r="C150" s="39">
        <v>26.31</v>
      </c>
      <c r="D150" s="64">
        <v>21.8</v>
      </c>
      <c r="E150" s="40">
        <f t="shared" si="21"/>
        <v>0.2068807339449541</v>
      </c>
      <c r="F150" s="65"/>
      <c r="G150" s="63">
        <v>37316</v>
      </c>
      <c r="H150" s="39">
        <v>17.399999999999999</v>
      </c>
      <c r="I150" s="39">
        <v>21.06</v>
      </c>
      <c r="J150" s="40">
        <f t="shared" si="26"/>
        <v>-0.1737891737891738</v>
      </c>
      <c r="K150" s="67"/>
      <c r="L150" s="68">
        <v>37316</v>
      </c>
      <c r="M150" s="98">
        <v>1147.4000000000001</v>
      </c>
      <c r="N150" s="98">
        <v>1108.7</v>
      </c>
      <c r="O150" s="70">
        <f t="shared" si="22"/>
        <v>3.4905745467664895E-2</v>
      </c>
      <c r="P150" s="67"/>
      <c r="Q150" s="38">
        <v>37316</v>
      </c>
      <c r="R150" s="39">
        <v>3.2829999999999999</v>
      </c>
      <c r="S150" s="39">
        <v>2.359</v>
      </c>
      <c r="T150" s="40">
        <f t="shared" si="28"/>
        <v>0.39169139465875369</v>
      </c>
      <c r="U150" s="67"/>
      <c r="V150" s="38">
        <v>37316</v>
      </c>
      <c r="W150" s="39">
        <v>0.67330000000000001</v>
      </c>
      <c r="X150" s="39">
        <v>0.57099999999999995</v>
      </c>
      <c r="Y150" s="40">
        <f t="shared" si="23"/>
        <v>0.1791593695271454</v>
      </c>
      <c r="Z150" s="67"/>
      <c r="AA150" s="71">
        <v>37316</v>
      </c>
      <c r="AB150" s="72">
        <v>303.7</v>
      </c>
      <c r="AC150" s="72">
        <v>297.39999999999998</v>
      </c>
      <c r="AD150" s="73">
        <f t="shared" si="24"/>
        <v>2.118359112306667E-2</v>
      </c>
      <c r="AE150" s="67"/>
      <c r="AF150" s="71">
        <v>37316</v>
      </c>
      <c r="AG150" s="72">
        <v>118.62</v>
      </c>
      <c r="AH150" s="72">
        <v>119.29</v>
      </c>
      <c r="AI150" s="73">
        <f t="shared" si="25"/>
        <v>-5.6165646743231434E-3</v>
      </c>
      <c r="AJ150" s="67"/>
      <c r="AK150" s="74">
        <v>37346</v>
      </c>
      <c r="AL150" s="41">
        <v>5.4199999999999998E-2</v>
      </c>
      <c r="AM150" s="41">
        <f t="shared" si="27"/>
        <v>5.400000000000002E-3</v>
      </c>
      <c r="AN150" s="67"/>
      <c r="AO150" s="75">
        <v>37316</v>
      </c>
      <c r="AP150" s="76">
        <v>560487.19999999995</v>
      </c>
      <c r="AQ150" s="80">
        <f t="shared" si="7"/>
        <v>6.3017834211360757E-3</v>
      </c>
      <c r="AR150" s="67"/>
      <c r="AS150" s="94">
        <v>37316</v>
      </c>
      <c r="AT150" s="78">
        <v>0.86439999999999995</v>
      </c>
      <c r="AU150" s="67"/>
      <c r="AV150" s="79">
        <v>37316</v>
      </c>
      <c r="AW150" s="76">
        <v>305014.59999999998</v>
      </c>
      <c r="AX150" s="80">
        <f t="shared" si="8"/>
        <v>9.3078547692062585E-3</v>
      </c>
      <c r="AY150" s="67"/>
      <c r="AZ150" s="81">
        <v>37316</v>
      </c>
      <c r="BA150" s="82">
        <v>151.97636413574219</v>
      </c>
      <c r="BB150" s="82">
        <v>99.123344421386719</v>
      </c>
      <c r="BC150" s="67"/>
      <c r="BD150" s="83">
        <v>37330</v>
      </c>
      <c r="BE150" s="42">
        <v>5886</v>
      </c>
      <c r="BF150" s="41">
        <f t="shared" si="9"/>
        <v>8.5019554497534067E-4</v>
      </c>
      <c r="BG150" s="67"/>
      <c r="BH150" s="84">
        <v>37316</v>
      </c>
      <c r="BI150" s="85">
        <v>89.168599999999998</v>
      </c>
      <c r="BJ150" s="87">
        <f t="shared" si="10"/>
        <v>7.2384042074917776E-3</v>
      </c>
      <c r="BK150" s="67"/>
      <c r="BL150" s="84">
        <v>37316</v>
      </c>
      <c r="BM150" s="86">
        <v>-36.219405000000002</v>
      </c>
      <c r="BN150" s="67"/>
      <c r="BO150" s="88">
        <v>37316</v>
      </c>
      <c r="BP150" s="89">
        <v>0.76649999999999996</v>
      </c>
      <c r="BQ150" s="89">
        <v>0.72050000000000003</v>
      </c>
      <c r="BR150" s="90">
        <f t="shared" si="5"/>
        <v>6.3844552394170639E-2</v>
      </c>
    </row>
    <row r="151" spans="1:70">
      <c r="A151" s="62">
        <v>37347</v>
      </c>
      <c r="B151" s="63">
        <v>37347</v>
      </c>
      <c r="C151" s="39">
        <v>27.29</v>
      </c>
      <c r="D151" s="64">
        <v>26.46</v>
      </c>
      <c r="E151" s="40">
        <f t="shared" si="21"/>
        <v>3.1368102796674124E-2</v>
      </c>
      <c r="F151" s="65"/>
      <c r="G151" s="63">
        <v>37347</v>
      </c>
      <c r="H151" s="39">
        <v>21.91</v>
      </c>
      <c r="I151" s="39">
        <v>18.989999999999998</v>
      </c>
      <c r="J151" s="40">
        <f t="shared" si="26"/>
        <v>0.15376513954713023</v>
      </c>
      <c r="K151" s="67"/>
      <c r="L151" s="68">
        <v>37347</v>
      </c>
      <c r="M151" s="98">
        <v>1076.9000000000001</v>
      </c>
      <c r="N151" s="98">
        <v>1146</v>
      </c>
      <c r="O151" s="70">
        <f t="shared" si="22"/>
        <v>-6.0296684118673616E-2</v>
      </c>
      <c r="P151" s="67"/>
      <c r="Q151" s="38">
        <v>37347</v>
      </c>
      <c r="R151" s="39">
        <v>3.7949999999999999</v>
      </c>
      <c r="S151" s="39">
        <v>3.21</v>
      </c>
      <c r="T151" s="40">
        <f t="shared" si="28"/>
        <v>0.18224299065420557</v>
      </c>
      <c r="U151" s="67"/>
      <c r="V151" s="38">
        <v>37347</v>
      </c>
      <c r="W151" s="39">
        <v>0.69189999999999996</v>
      </c>
      <c r="X151" s="39">
        <v>0.6885</v>
      </c>
      <c r="Y151" s="40">
        <f t="shared" si="23"/>
        <v>4.9382716049382047E-3</v>
      </c>
      <c r="Z151" s="67"/>
      <c r="AA151" s="71">
        <v>37347</v>
      </c>
      <c r="AB151" s="72">
        <v>309.2</v>
      </c>
      <c r="AC151" s="72">
        <v>304</v>
      </c>
      <c r="AD151" s="73">
        <f t="shared" si="24"/>
        <v>1.7105263157894735E-2</v>
      </c>
      <c r="AE151" s="67"/>
      <c r="AF151" s="71">
        <v>37347</v>
      </c>
      <c r="AG151" s="72">
        <v>115.19</v>
      </c>
      <c r="AH151" s="72">
        <v>118.56</v>
      </c>
      <c r="AI151" s="73">
        <f t="shared" si="25"/>
        <v>-2.8424426450742279E-2</v>
      </c>
      <c r="AJ151" s="67"/>
      <c r="AK151" s="74">
        <v>37376</v>
      </c>
      <c r="AL151" s="41">
        <v>5.1100000000000007E-2</v>
      </c>
      <c r="AM151" s="41">
        <f t="shared" si="27"/>
        <v>-3.0999999999999917E-3</v>
      </c>
      <c r="AN151" s="67"/>
      <c r="AO151" s="75">
        <v>37347</v>
      </c>
      <c r="AP151" s="76">
        <v>563766</v>
      </c>
      <c r="AQ151" s="80">
        <f t="shared" si="7"/>
        <v>5.8499105777973792E-3</v>
      </c>
      <c r="AR151" s="67"/>
      <c r="AS151" s="94">
        <v>37347</v>
      </c>
      <c r="AT151" s="78">
        <v>0.90625</v>
      </c>
      <c r="AU151" s="67"/>
      <c r="AV151" s="79">
        <v>37347</v>
      </c>
      <c r="AW151" s="76">
        <v>306228.25</v>
      </c>
      <c r="AX151" s="80">
        <f t="shared" si="8"/>
        <v>3.9789898581905625E-3</v>
      </c>
      <c r="AY151" s="67"/>
      <c r="AZ151" s="81">
        <v>37347</v>
      </c>
      <c r="BA151" s="82">
        <v>157.49655151367188</v>
      </c>
      <c r="BB151" s="82">
        <v>100.74444580078125</v>
      </c>
      <c r="BC151" s="67"/>
      <c r="BD151" s="83">
        <v>37361</v>
      </c>
      <c r="BE151" s="42">
        <v>5844</v>
      </c>
      <c r="BF151" s="41">
        <f t="shared" si="9"/>
        <v>-7.135575942915362E-3</v>
      </c>
      <c r="BG151" s="67"/>
      <c r="BH151" s="84">
        <v>37347</v>
      </c>
      <c r="BI151" s="85">
        <v>89.603999999999999</v>
      </c>
      <c r="BJ151" s="87">
        <f t="shared" si="10"/>
        <v>4.8828847823112476E-3</v>
      </c>
      <c r="BK151" s="67"/>
      <c r="BL151" s="84">
        <v>37347</v>
      </c>
      <c r="BM151" s="86">
        <v>-35.378754999999998</v>
      </c>
      <c r="BN151" s="67"/>
      <c r="BO151" s="88">
        <v>37347</v>
      </c>
      <c r="BP151" s="89">
        <v>0.73899999999999999</v>
      </c>
      <c r="BQ151" s="89">
        <v>0.76500000000000001</v>
      </c>
      <c r="BR151" s="90">
        <f t="shared" si="5"/>
        <v>-3.3986928104575154E-2</v>
      </c>
    </row>
    <row r="152" spans="1:70">
      <c r="A152" s="62">
        <v>37377</v>
      </c>
      <c r="B152" s="63">
        <v>37377</v>
      </c>
      <c r="C152" s="39">
        <v>25.31</v>
      </c>
      <c r="D152" s="64">
        <v>27.25</v>
      </c>
      <c r="E152" s="40">
        <f t="shared" si="21"/>
        <v>-7.1192660550458808E-2</v>
      </c>
      <c r="F152" s="65"/>
      <c r="G152" s="63">
        <v>37377</v>
      </c>
      <c r="H152" s="39">
        <v>19.98</v>
      </c>
      <c r="I152" s="39">
        <v>21.44</v>
      </c>
      <c r="J152" s="40">
        <f t="shared" si="26"/>
        <v>-6.8097014925373123E-2</v>
      </c>
      <c r="K152" s="67"/>
      <c r="L152" s="68">
        <v>37377</v>
      </c>
      <c r="M152" s="98">
        <v>1067.0999999999999</v>
      </c>
      <c r="N152" s="98">
        <v>1076.9000000000001</v>
      </c>
      <c r="O152" s="70">
        <f t="shared" si="22"/>
        <v>-9.1001950041788016E-3</v>
      </c>
      <c r="P152" s="67"/>
      <c r="Q152" s="38">
        <v>37377</v>
      </c>
      <c r="R152" s="39">
        <v>3.2170000000000001</v>
      </c>
      <c r="S152" s="39">
        <v>3.76</v>
      </c>
      <c r="T152" s="40">
        <f t="shared" si="28"/>
        <v>-0.1444148936170212</v>
      </c>
      <c r="U152" s="67"/>
      <c r="V152" s="38">
        <v>37377</v>
      </c>
      <c r="W152" s="39">
        <v>0.6411</v>
      </c>
      <c r="X152" s="39">
        <v>0.68289999999999995</v>
      </c>
      <c r="Y152" s="40">
        <f t="shared" si="23"/>
        <v>-6.1209547517938168E-2</v>
      </c>
      <c r="Z152" s="67"/>
      <c r="AA152" s="71">
        <v>37377</v>
      </c>
      <c r="AB152" s="72">
        <v>327.5</v>
      </c>
      <c r="AC152" s="72">
        <v>309.10000000000002</v>
      </c>
      <c r="AD152" s="73">
        <f t="shared" si="24"/>
        <v>5.9527660951148365E-2</v>
      </c>
      <c r="AE152" s="67"/>
      <c r="AF152" s="71">
        <v>37377</v>
      </c>
      <c r="AG152" s="72">
        <v>111.81</v>
      </c>
      <c r="AH152" s="72">
        <v>115.18</v>
      </c>
      <c r="AI152" s="73">
        <f t="shared" si="25"/>
        <v>-2.925855183191528E-2</v>
      </c>
      <c r="AJ152" s="67"/>
      <c r="AK152" s="74">
        <v>37407</v>
      </c>
      <c r="AL152" s="41">
        <v>5.0799999999999998E-2</v>
      </c>
      <c r="AM152" s="41">
        <f t="shared" si="27"/>
        <v>-3.0000000000000859E-4</v>
      </c>
      <c r="AN152" s="67"/>
      <c r="AO152" s="92">
        <v>37377</v>
      </c>
      <c r="AP152" s="76">
        <v>568609.19999999995</v>
      </c>
      <c r="AQ152" s="80">
        <f t="shared" si="7"/>
        <v>8.5907983099369201E-3</v>
      </c>
      <c r="AR152" s="67"/>
      <c r="AS152" s="97">
        <v>37377</v>
      </c>
      <c r="AT152" s="78">
        <v>0.92220000000000002</v>
      </c>
      <c r="AU152" s="67"/>
      <c r="AV152" s="93">
        <v>37377</v>
      </c>
      <c r="AW152" s="76">
        <v>303378.40000000002</v>
      </c>
      <c r="AX152" s="80">
        <f t="shared" si="8"/>
        <v>-9.3062935898303722E-3</v>
      </c>
      <c r="AY152" s="67"/>
      <c r="AZ152" s="81">
        <v>37377</v>
      </c>
      <c r="BA152" s="82">
        <v>163.32231140136719</v>
      </c>
      <c r="BB152" s="82">
        <v>142.246826171875</v>
      </c>
      <c r="BC152" s="67"/>
      <c r="BD152" s="83">
        <v>37391</v>
      </c>
      <c r="BE152" s="42">
        <v>5905</v>
      </c>
      <c r="BF152" s="41">
        <f t="shared" si="9"/>
        <v>1.0438056125941175E-2</v>
      </c>
      <c r="BG152" s="67"/>
      <c r="BH152" s="84">
        <v>37377</v>
      </c>
      <c r="BI152" s="85">
        <v>89.963999999999999</v>
      </c>
      <c r="BJ152" s="87">
        <f t="shared" si="10"/>
        <v>4.0176777822418241E-3</v>
      </c>
      <c r="BK152" s="67"/>
      <c r="BL152" s="84">
        <v>37377</v>
      </c>
      <c r="BM152" s="86">
        <v>-39.49409</v>
      </c>
      <c r="BN152" s="67"/>
      <c r="BO152" s="88">
        <v>37377</v>
      </c>
      <c r="BP152" s="89">
        <v>0.76700000000000002</v>
      </c>
      <c r="BQ152" s="89">
        <v>0.74</v>
      </c>
      <c r="BR152" s="90">
        <f t="shared" si="5"/>
        <v>3.6486486486486447E-2</v>
      </c>
    </row>
    <row r="153" spans="1:70">
      <c r="A153" s="62">
        <v>37408</v>
      </c>
      <c r="B153" s="63">
        <v>37408</v>
      </c>
      <c r="C153" s="39">
        <v>26.86</v>
      </c>
      <c r="D153" s="64">
        <v>25.26</v>
      </c>
      <c r="E153" s="40">
        <f t="shared" si="21"/>
        <v>6.3341250989706888E-2</v>
      </c>
      <c r="F153" s="65"/>
      <c r="G153" s="63">
        <v>37408</v>
      </c>
      <c r="H153" s="39">
        <v>25.4</v>
      </c>
      <c r="I153" s="39">
        <v>20.98</v>
      </c>
      <c r="J153" s="40">
        <f t="shared" si="26"/>
        <v>0.21067683508102952</v>
      </c>
      <c r="K153" s="67"/>
      <c r="L153" s="68">
        <v>37408</v>
      </c>
      <c r="M153" s="98">
        <v>989.8</v>
      </c>
      <c r="N153" s="98">
        <v>1067.0999999999999</v>
      </c>
      <c r="O153" s="70">
        <f t="shared" si="22"/>
        <v>-7.2439321525630151E-2</v>
      </c>
      <c r="P153" s="67"/>
      <c r="Q153" s="38">
        <v>37408</v>
      </c>
      <c r="R153" s="39">
        <v>3.2450000000000001</v>
      </c>
      <c r="S153" s="39">
        <v>3.23</v>
      </c>
      <c r="T153" s="40">
        <f t="shared" si="28"/>
        <v>4.6439628482972672E-3</v>
      </c>
      <c r="U153" s="67"/>
      <c r="V153" s="38">
        <v>37408</v>
      </c>
      <c r="W153" s="39">
        <v>0.68030000000000002</v>
      </c>
      <c r="X153" s="39">
        <v>0.64749999999999996</v>
      </c>
      <c r="Y153" s="40">
        <f t="shared" si="23"/>
        <v>5.0656370656370742E-2</v>
      </c>
      <c r="Z153" s="67"/>
      <c r="AA153" s="71">
        <v>37408</v>
      </c>
      <c r="AB153" s="72">
        <v>313.89999999999998</v>
      </c>
      <c r="AC153" s="72">
        <v>327.5</v>
      </c>
      <c r="AD153" s="73">
        <f t="shared" si="24"/>
        <v>-4.1526717557252013E-2</v>
      </c>
      <c r="AE153" s="67"/>
      <c r="AF153" s="71">
        <v>37408</v>
      </c>
      <c r="AG153" s="72">
        <v>106.11</v>
      </c>
      <c r="AH153" s="72">
        <v>111.93</v>
      </c>
      <c r="AI153" s="73">
        <f t="shared" si="25"/>
        <v>-5.199678370410088E-2</v>
      </c>
      <c r="AJ153" s="67"/>
      <c r="AK153" s="74">
        <v>37437</v>
      </c>
      <c r="AL153" s="41">
        <v>4.8600000000000004E-2</v>
      </c>
      <c r="AM153" s="41">
        <f t="shared" si="27"/>
        <v>-2.1999999999999936E-3</v>
      </c>
      <c r="AN153" s="67"/>
      <c r="AO153" s="75">
        <v>37408</v>
      </c>
      <c r="AP153" s="76">
        <v>573589.75</v>
      </c>
      <c r="AQ153" s="80">
        <f t="shared" si="7"/>
        <v>8.7591794153172309E-3</v>
      </c>
      <c r="AR153" s="67"/>
      <c r="AS153" s="94">
        <v>37408</v>
      </c>
      <c r="AT153" s="78">
        <v>0.93099999999999994</v>
      </c>
      <c r="AU153" s="67"/>
      <c r="AV153" s="79">
        <v>37408</v>
      </c>
      <c r="AW153" s="76">
        <v>305426.5</v>
      </c>
      <c r="AX153" s="80">
        <f t="shared" si="8"/>
        <v>6.750975019975014E-3</v>
      </c>
      <c r="AY153" s="67"/>
      <c r="AZ153" s="81">
        <v>37408</v>
      </c>
      <c r="BA153" s="82">
        <v>149.33042907714844</v>
      </c>
      <c r="BB153" s="82">
        <v>127.79074859619141</v>
      </c>
      <c r="BC153" s="67"/>
      <c r="BD153" s="83">
        <v>37422</v>
      </c>
      <c r="BE153" s="42">
        <v>5884</v>
      </c>
      <c r="BF153" s="41">
        <f t="shared" si="9"/>
        <v>-3.5563082133784896E-3</v>
      </c>
      <c r="BG153" s="67"/>
      <c r="BH153" s="84">
        <v>37408</v>
      </c>
      <c r="BI153" s="85">
        <v>90.706100000000006</v>
      </c>
      <c r="BJ153" s="87">
        <f t="shared" si="10"/>
        <v>8.248855097594765E-3</v>
      </c>
      <c r="BK153" s="67"/>
      <c r="BL153" s="84">
        <v>37408</v>
      </c>
      <c r="BM153" s="86">
        <v>-43.130389000000001</v>
      </c>
      <c r="BN153" s="67"/>
      <c r="BO153" s="88">
        <v>37408</v>
      </c>
      <c r="BP153" s="89">
        <v>0.77449999999999997</v>
      </c>
      <c r="BQ153" s="89">
        <v>0.77500000000000002</v>
      </c>
      <c r="BR153" s="90">
        <f t="shared" si="5"/>
        <v>-6.4516129032266001E-4</v>
      </c>
    </row>
    <row r="154" spans="1:70">
      <c r="A154" s="62">
        <v>37438</v>
      </c>
      <c r="B154" s="63">
        <v>37438</v>
      </c>
      <c r="C154" s="39">
        <v>27.02</v>
      </c>
      <c r="D154" s="64">
        <v>26.89</v>
      </c>
      <c r="E154" s="40">
        <f t="shared" si="21"/>
        <v>4.834510970620931E-3</v>
      </c>
      <c r="F154" s="65"/>
      <c r="G154" s="63">
        <v>37438</v>
      </c>
      <c r="H154" s="39">
        <v>32.03</v>
      </c>
      <c r="I154" s="39">
        <v>25.71</v>
      </c>
      <c r="J154" s="40">
        <f t="shared" si="26"/>
        <v>0.24581874756903921</v>
      </c>
      <c r="K154" s="67"/>
      <c r="L154" s="68">
        <v>37438</v>
      </c>
      <c r="M154" s="69">
        <v>911.6</v>
      </c>
      <c r="N154" s="69">
        <v>989.8</v>
      </c>
      <c r="O154" s="70">
        <f t="shared" si="22"/>
        <v>-7.9005859769650355E-2</v>
      </c>
      <c r="P154" s="67"/>
      <c r="Q154" s="38">
        <v>37438</v>
      </c>
      <c r="R154" s="39">
        <v>2.9540000000000002</v>
      </c>
      <c r="S154" s="39">
        <v>3.24</v>
      </c>
      <c r="T154" s="40">
        <f t="shared" si="28"/>
        <v>-8.8271604938271575E-2</v>
      </c>
      <c r="U154" s="67"/>
      <c r="V154" s="38">
        <v>37438</v>
      </c>
      <c r="W154" s="39">
        <v>0.68620000000000003</v>
      </c>
      <c r="X154" s="39">
        <v>0.69</v>
      </c>
      <c r="Y154" s="40">
        <f t="shared" si="23"/>
        <v>-5.5072463768114366E-3</v>
      </c>
      <c r="Z154" s="67"/>
      <c r="AA154" s="71">
        <v>37438</v>
      </c>
      <c r="AB154" s="72">
        <v>305.2</v>
      </c>
      <c r="AC154" s="72">
        <v>314.5</v>
      </c>
      <c r="AD154" s="73">
        <f t="shared" si="24"/>
        <v>-2.9570747217806059E-2</v>
      </c>
      <c r="AE154" s="67"/>
      <c r="AF154" s="71">
        <v>37438</v>
      </c>
      <c r="AG154" s="72">
        <v>107.41</v>
      </c>
      <c r="AH154" s="72">
        <v>105.76</v>
      </c>
      <c r="AI154" s="73">
        <f t="shared" si="25"/>
        <v>1.5601361573373662E-2</v>
      </c>
      <c r="AJ154" s="67"/>
      <c r="AK154" s="74">
        <v>37468</v>
      </c>
      <c r="AL154" s="41">
        <v>4.5100000000000001E-2</v>
      </c>
      <c r="AM154" s="41">
        <f t="shared" si="27"/>
        <v>-3.5000000000000031E-3</v>
      </c>
      <c r="AN154" s="67"/>
      <c r="AO154" s="75">
        <v>37438</v>
      </c>
      <c r="AP154" s="76">
        <v>577516.25</v>
      </c>
      <c r="AQ154" s="80">
        <f t="shared" si="7"/>
        <v>6.8454849480834579E-3</v>
      </c>
      <c r="AR154" s="67"/>
      <c r="AS154" s="94">
        <v>37438</v>
      </c>
      <c r="AT154" s="78">
        <v>0.93400000000000005</v>
      </c>
      <c r="AU154" s="67"/>
      <c r="AV154" s="79">
        <v>37438</v>
      </c>
      <c r="AW154" s="76">
        <v>296540.75</v>
      </c>
      <c r="AX154" s="80">
        <f t="shared" si="8"/>
        <v>-2.9092924156875699E-2</v>
      </c>
      <c r="AY154" s="67"/>
      <c r="AZ154" s="81">
        <v>37438</v>
      </c>
      <c r="BA154" s="82">
        <v>122.77834320068359</v>
      </c>
      <c r="BB154" s="82">
        <v>94.349678039550781</v>
      </c>
      <c r="BC154" s="67"/>
      <c r="BD154" s="83">
        <v>37452</v>
      </c>
      <c r="BE154" s="42">
        <v>5751</v>
      </c>
      <c r="BF154" s="41">
        <f t="shared" si="9"/>
        <v>-2.2603670972127787E-2</v>
      </c>
      <c r="BG154" s="67"/>
      <c r="BH154" s="84">
        <v>37438</v>
      </c>
      <c r="BI154" s="85">
        <v>90.676900000000003</v>
      </c>
      <c r="BJ154" s="87">
        <f t="shared" si="10"/>
        <v>-3.2191881251653065E-4</v>
      </c>
      <c r="BK154" s="67"/>
      <c r="BL154" s="84">
        <v>37438</v>
      </c>
      <c r="BM154" s="86">
        <v>-43.891494000000002</v>
      </c>
      <c r="BN154" s="67"/>
      <c r="BO154" s="88">
        <v>37438</v>
      </c>
      <c r="BP154" s="89">
        <v>0.68400000000000005</v>
      </c>
      <c r="BQ154" s="89">
        <v>0.77449999999999997</v>
      </c>
      <c r="BR154" s="90">
        <f t="shared" si="5"/>
        <v>-0.11684958037443505</v>
      </c>
    </row>
    <row r="155" spans="1:70">
      <c r="A155" s="62">
        <v>37469</v>
      </c>
      <c r="B155" s="63">
        <v>37469</v>
      </c>
      <c r="C155" s="39">
        <v>28.98</v>
      </c>
      <c r="D155" s="64">
        <v>27</v>
      </c>
      <c r="E155" s="40">
        <f t="shared" si="21"/>
        <v>7.333333333333325E-2</v>
      </c>
      <c r="F155" s="65"/>
      <c r="G155" s="63">
        <v>37469</v>
      </c>
      <c r="H155" s="39">
        <v>32.64</v>
      </c>
      <c r="I155" s="39">
        <v>32.770000000000003</v>
      </c>
      <c r="J155" s="40">
        <f t="shared" si="26"/>
        <v>-3.9670430271591117E-3</v>
      </c>
      <c r="K155" s="67"/>
      <c r="L155" s="68">
        <v>37469</v>
      </c>
      <c r="M155" s="69">
        <v>916.1</v>
      </c>
      <c r="N155" s="69">
        <v>911.6</v>
      </c>
      <c r="O155" s="70">
        <f t="shared" si="22"/>
        <v>4.9363756033347084E-3</v>
      </c>
      <c r="P155" s="67"/>
      <c r="Q155" s="38">
        <v>37469</v>
      </c>
      <c r="R155" s="39">
        <v>3.2959999999999998</v>
      </c>
      <c r="S155" s="39">
        <v>2.97</v>
      </c>
      <c r="T155" s="40">
        <f t="shared" si="28"/>
        <v>0.10976430976430973</v>
      </c>
      <c r="U155" s="67"/>
      <c r="V155" s="38">
        <v>37469</v>
      </c>
      <c r="W155" s="39">
        <v>0.76349999999999996</v>
      </c>
      <c r="X155" s="39">
        <v>0.69259999999999999</v>
      </c>
      <c r="Y155" s="40">
        <f t="shared" si="23"/>
        <v>0.10236788911348538</v>
      </c>
      <c r="Z155" s="67"/>
      <c r="AA155" s="71">
        <v>37469</v>
      </c>
      <c r="AB155" s="72">
        <v>313.89999999999998</v>
      </c>
      <c r="AC155" s="72">
        <v>305.2</v>
      </c>
      <c r="AD155" s="73">
        <f t="shared" si="24"/>
        <v>2.8505897771952782E-2</v>
      </c>
      <c r="AE155" s="67"/>
      <c r="AF155" s="71">
        <v>37469</v>
      </c>
      <c r="AG155" s="72">
        <v>106.98</v>
      </c>
      <c r="AH155" s="72">
        <v>107.61</v>
      </c>
      <c r="AI155" s="73">
        <f t="shared" si="25"/>
        <v>-5.8544744912182312E-3</v>
      </c>
      <c r="AJ155" s="67"/>
      <c r="AK155" s="74">
        <v>37499</v>
      </c>
      <c r="AL155" s="41">
        <v>4.1399999999999999E-2</v>
      </c>
      <c r="AM155" s="41">
        <f t="shared" si="27"/>
        <v>-3.7000000000000019E-3</v>
      </c>
      <c r="AN155" s="67"/>
      <c r="AO155" s="75">
        <v>37469</v>
      </c>
      <c r="AP155" s="76">
        <v>579660.6</v>
      </c>
      <c r="AQ155" s="80">
        <f t="shared" si="7"/>
        <v>3.7130556932380987E-3</v>
      </c>
      <c r="AR155" s="67"/>
      <c r="AS155" s="94">
        <v>37469</v>
      </c>
      <c r="AT155" s="78">
        <v>0.92159999999999997</v>
      </c>
      <c r="AU155" s="67"/>
      <c r="AV155" s="79">
        <v>37469</v>
      </c>
      <c r="AW155" s="76">
        <v>285769.8</v>
      </c>
      <c r="AX155" s="80">
        <f t="shared" si="8"/>
        <v>-3.6321989473622085E-2</v>
      </c>
      <c r="AY155" s="67"/>
      <c r="AZ155" s="81">
        <v>37469</v>
      </c>
      <c r="BA155" s="82">
        <v>127.06451416015625</v>
      </c>
      <c r="BB155" s="82">
        <v>101.69573974609375</v>
      </c>
      <c r="BC155" s="67"/>
      <c r="BD155" s="83">
        <v>37483</v>
      </c>
      <c r="BE155" s="42">
        <v>5796</v>
      </c>
      <c r="BF155" s="41">
        <f t="shared" si="9"/>
        <v>7.8247261345851804E-3</v>
      </c>
      <c r="BG155" s="67"/>
      <c r="BH155" s="84">
        <v>37469</v>
      </c>
      <c r="BI155" s="85">
        <v>90.5762</v>
      </c>
      <c r="BJ155" s="87">
        <f t="shared" si="10"/>
        <v>-1.1105364210730606E-3</v>
      </c>
      <c r="BK155" s="67"/>
      <c r="BL155" s="84">
        <v>37469</v>
      </c>
      <c r="BM155" s="86">
        <v>-42.594459999999998</v>
      </c>
      <c r="BN155" s="67"/>
      <c r="BO155" s="88">
        <v>37469</v>
      </c>
      <c r="BP155" s="89">
        <v>0.6925</v>
      </c>
      <c r="BQ155" s="89">
        <v>0.67900000000000005</v>
      </c>
      <c r="BR155" s="90">
        <f t="shared" si="5"/>
        <v>1.9882179675994038E-2</v>
      </c>
    </row>
    <row r="156" spans="1:70">
      <c r="A156" s="62">
        <v>37500</v>
      </c>
      <c r="B156" s="63">
        <v>37500</v>
      </c>
      <c r="C156" s="39">
        <v>30.45</v>
      </c>
      <c r="D156" s="64">
        <v>29</v>
      </c>
      <c r="E156" s="40">
        <f t="shared" si="21"/>
        <v>5.0000000000000044E-2</v>
      </c>
      <c r="F156" s="65"/>
      <c r="G156" s="63">
        <v>37500</v>
      </c>
      <c r="H156" s="39">
        <v>39.69</v>
      </c>
      <c r="I156" s="39">
        <v>37.119999999999997</v>
      </c>
      <c r="J156" s="40">
        <f t="shared" si="26"/>
        <v>6.9234913793103425E-2</v>
      </c>
      <c r="K156" s="67"/>
      <c r="L156" s="68">
        <v>37500</v>
      </c>
      <c r="M156" s="69">
        <v>815.3</v>
      </c>
      <c r="N156" s="69">
        <v>916.1</v>
      </c>
      <c r="O156" s="70">
        <f t="shared" si="22"/>
        <v>-0.11003165593275854</v>
      </c>
      <c r="P156" s="67"/>
      <c r="Q156" s="38">
        <v>37500</v>
      </c>
      <c r="R156" s="39">
        <v>4.1379999999999999</v>
      </c>
      <c r="S156" s="39">
        <v>3.25</v>
      </c>
      <c r="T156" s="40">
        <f t="shared" si="28"/>
        <v>0.27323076923076917</v>
      </c>
      <c r="U156" s="67"/>
      <c r="V156" s="38">
        <v>37500</v>
      </c>
      <c r="W156" s="39">
        <v>0.80769999999999997</v>
      </c>
      <c r="X156" s="39">
        <v>0.76200000000000001</v>
      </c>
      <c r="Y156" s="40">
        <f t="shared" si="23"/>
        <v>5.9973753280839759E-2</v>
      </c>
      <c r="Z156" s="67"/>
      <c r="AA156" s="71">
        <v>37500</v>
      </c>
      <c r="AB156" s="72">
        <v>325.2</v>
      </c>
      <c r="AC156" s="72">
        <v>313.8</v>
      </c>
      <c r="AD156" s="73">
        <f t="shared" si="24"/>
        <v>3.632887189292533E-2</v>
      </c>
      <c r="AE156" s="67"/>
      <c r="AF156" s="71">
        <v>37500</v>
      </c>
      <c r="AG156" s="72">
        <v>106.87</v>
      </c>
      <c r="AH156" s="72">
        <v>106.43</v>
      </c>
      <c r="AI156" s="73">
        <f t="shared" si="25"/>
        <v>4.1341726956685143E-3</v>
      </c>
      <c r="AJ156" s="67"/>
      <c r="AK156" s="74">
        <v>37529</v>
      </c>
      <c r="AL156" s="41">
        <v>3.6299999999999999E-2</v>
      </c>
      <c r="AM156" s="41">
        <f t="shared" si="27"/>
        <v>-5.1000000000000004E-3</v>
      </c>
      <c r="AN156" s="67"/>
      <c r="AO156" s="75">
        <v>37500</v>
      </c>
      <c r="AP156" s="76">
        <v>583790.5</v>
      </c>
      <c r="AQ156" s="80">
        <f t="shared" si="7"/>
        <v>7.1246864113241326E-3</v>
      </c>
      <c r="AR156" s="67"/>
      <c r="AS156" s="94">
        <v>37500</v>
      </c>
      <c r="AT156" s="78">
        <v>0.91374999999999995</v>
      </c>
      <c r="AU156" s="67"/>
      <c r="AV156" s="79">
        <v>37500</v>
      </c>
      <c r="AW156" s="76">
        <v>269029.5</v>
      </c>
      <c r="AX156" s="80">
        <f t="shared" si="8"/>
        <v>-5.8579667970513283E-2</v>
      </c>
      <c r="AY156" s="67"/>
      <c r="AZ156" s="81">
        <v>37500</v>
      </c>
      <c r="BA156" s="82">
        <v>174.90333557128906</v>
      </c>
      <c r="BB156" s="82">
        <v>174.53144836425781</v>
      </c>
      <c r="BC156" s="67"/>
      <c r="BD156" s="83">
        <v>37514</v>
      </c>
      <c r="BE156" s="42">
        <v>5411</v>
      </c>
      <c r="BF156" s="41">
        <f t="shared" si="9"/>
        <v>-6.6425120772946822E-2</v>
      </c>
      <c r="BG156" s="67"/>
      <c r="BH156" s="84">
        <v>37500</v>
      </c>
      <c r="BI156" s="85">
        <v>90.653099999999995</v>
      </c>
      <c r="BJ156" s="87">
        <f t="shared" si="10"/>
        <v>8.4900890079286917E-4</v>
      </c>
      <c r="BK156" s="67"/>
      <c r="BL156" s="84">
        <v>37500</v>
      </c>
      <c r="BM156" s="86">
        <v>-26.072167</v>
      </c>
      <c r="BN156" s="67"/>
      <c r="BO156" s="88">
        <v>37500</v>
      </c>
      <c r="BP156" s="89">
        <v>0.66600000000000004</v>
      </c>
      <c r="BQ156" s="89">
        <v>0.68149999999999999</v>
      </c>
      <c r="BR156" s="90">
        <f t="shared" si="5"/>
        <v>-2.2743947175348445E-2</v>
      </c>
    </row>
    <row r="157" spans="1:70">
      <c r="A157" s="62">
        <v>37530</v>
      </c>
      <c r="B157" s="63">
        <v>37530</v>
      </c>
      <c r="C157" s="39">
        <v>27.22</v>
      </c>
      <c r="D157" s="64">
        <v>30.45</v>
      </c>
      <c r="E157" s="40">
        <f t="shared" si="21"/>
        <v>-0.10607553366174061</v>
      </c>
      <c r="F157" s="65"/>
      <c r="G157" s="63">
        <v>37530</v>
      </c>
      <c r="H157" s="39">
        <v>31.14</v>
      </c>
      <c r="I157" s="39">
        <v>37.25</v>
      </c>
      <c r="J157" s="40">
        <f t="shared" si="26"/>
        <v>-0.16402684563758385</v>
      </c>
      <c r="K157" s="67"/>
      <c r="L157" s="68">
        <v>37530</v>
      </c>
      <c r="M157" s="69">
        <v>885.8</v>
      </c>
      <c r="N157" s="69">
        <v>815.3</v>
      </c>
      <c r="O157" s="70">
        <f t="shared" si="22"/>
        <v>8.6471237581258409E-2</v>
      </c>
      <c r="P157" s="67"/>
      <c r="Q157" s="38">
        <v>37530</v>
      </c>
      <c r="R157" s="39">
        <v>4.1559999999999997</v>
      </c>
      <c r="S157" s="39">
        <v>4.1399999999999997</v>
      </c>
      <c r="T157" s="40">
        <f t="shared" si="28"/>
        <v>3.8647342995168366E-3</v>
      </c>
      <c r="U157" s="67"/>
      <c r="V157" s="38">
        <v>37530</v>
      </c>
      <c r="W157" s="39">
        <v>0.749</v>
      </c>
      <c r="X157" s="39">
        <v>0.81699999999999995</v>
      </c>
      <c r="Y157" s="40">
        <f t="shared" si="23"/>
        <v>-8.3231334149326708E-2</v>
      </c>
      <c r="Z157" s="67"/>
      <c r="AA157" s="71">
        <v>37530</v>
      </c>
      <c r="AB157" s="72">
        <v>318.39999999999998</v>
      </c>
      <c r="AC157" s="72">
        <v>324.3</v>
      </c>
      <c r="AD157" s="73">
        <f t="shared" si="24"/>
        <v>-1.8193031144002614E-2</v>
      </c>
      <c r="AE157" s="67"/>
      <c r="AF157" s="71">
        <v>37530</v>
      </c>
      <c r="AG157" s="72">
        <v>106.64</v>
      </c>
      <c r="AH157" s="72">
        <v>106.74</v>
      </c>
      <c r="AI157" s="73">
        <f t="shared" si="25"/>
        <v>-9.3685591156078551E-4</v>
      </c>
      <c r="AJ157" s="67"/>
      <c r="AK157" s="74">
        <v>37560</v>
      </c>
      <c r="AL157" s="41">
        <v>3.9300000000000002E-2</v>
      </c>
      <c r="AM157" s="41">
        <f t="shared" si="27"/>
        <v>3.0000000000000027E-3</v>
      </c>
      <c r="AN157" s="67"/>
      <c r="AO157" s="75">
        <v>37530</v>
      </c>
      <c r="AP157" s="76">
        <v>587664</v>
      </c>
      <c r="AQ157" s="80">
        <f t="shared" si="7"/>
        <v>6.6350857028334431E-3</v>
      </c>
      <c r="AR157" s="67"/>
      <c r="AS157" s="94">
        <v>37530</v>
      </c>
      <c r="AT157" s="78">
        <v>0.84375</v>
      </c>
      <c r="AU157" s="67"/>
      <c r="AV157" s="79">
        <v>37530</v>
      </c>
      <c r="AW157" s="76">
        <v>264596.25</v>
      </c>
      <c r="AX157" s="80">
        <f t="shared" si="8"/>
        <v>-1.6478676130312842E-2</v>
      </c>
      <c r="AY157" s="67"/>
      <c r="AZ157" s="81">
        <v>37530</v>
      </c>
      <c r="BA157" s="82">
        <v>172.03192138671875</v>
      </c>
      <c r="BB157" s="82">
        <v>167.02581787109375</v>
      </c>
      <c r="BC157" s="67"/>
      <c r="BD157" s="83">
        <v>37544</v>
      </c>
      <c r="BE157" s="42">
        <v>5358</v>
      </c>
      <c r="BF157" s="41">
        <f t="shared" si="9"/>
        <v>-9.7948623175013738E-3</v>
      </c>
      <c r="BG157" s="67"/>
      <c r="BH157" s="84">
        <v>37530</v>
      </c>
      <c r="BI157" s="85">
        <v>90.464299999999994</v>
      </c>
      <c r="BJ157" s="87">
        <f t="shared" si="10"/>
        <v>-2.082664575177251E-3</v>
      </c>
      <c r="BK157" s="67"/>
      <c r="BL157" s="84">
        <v>37530</v>
      </c>
      <c r="BM157" s="86">
        <v>-11.731142</v>
      </c>
      <c r="BN157" s="67"/>
      <c r="BO157" s="88">
        <v>37530</v>
      </c>
      <c r="BP157" s="89">
        <v>0.71950000000000003</v>
      </c>
      <c r="BQ157" s="89">
        <v>0.66600000000000004</v>
      </c>
      <c r="BR157" s="90">
        <f t="shared" si="5"/>
        <v>8.0330330330330213E-2</v>
      </c>
    </row>
    <row r="158" spans="1:70">
      <c r="A158" s="62">
        <v>37561</v>
      </c>
      <c r="B158" s="63">
        <v>37561</v>
      </c>
      <c r="C158" s="39">
        <v>26.89</v>
      </c>
      <c r="D158" s="64">
        <v>27.2</v>
      </c>
      <c r="E158" s="40">
        <f t="shared" si="21"/>
        <v>-1.1397058823529371E-2</v>
      </c>
      <c r="F158" s="65"/>
      <c r="G158" s="63">
        <v>37561</v>
      </c>
      <c r="H158" s="39">
        <v>27.5</v>
      </c>
      <c r="I158" s="39">
        <v>31.57</v>
      </c>
      <c r="J158" s="40">
        <f t="shared" si="26"/>
        <v>-0.12891986062717775</v>
      </c>
      <c r="K158" s="67"/>
      <c r="L158" s="68">
        <v>37561</v>
      </c>
      <c r="M158" s="69">
        <v>936.3</v>
      </c>
      <c r="N158" s="69">
        <v>885.8</v>
      </c>
      <c r="O158" s="70">
        <f t="shared" si="22"/>
        <v>5.7010611876270101E-2</v>
      </c>
      <c r="P158" s="67"/>
      <c r="Q158" s="38">
        <v>37561</v>
      </c>
      <c r="R158" s="39">
        <v>4.2</v>
      </c>
      <c r="S158" s="39">
        <v>4.16</v>
      </c>
      <c r="T158" s="40">
        <f t="shared" si="28"/>
        <v>9.6153846153845812E-3</v>
      </c>
      <c r="U158" s="67"/>
      <c r="V158" s="38">
        <v>37561</v>
      </c>
      <c r="W158" s="39">
        <v>0.75980000000000003</v>
      </c>
      <c r="X158" s="39">
        <v>0.75429999999999997</v>
      </c>
      <c r="Y158" s="40">
        <f t="shared" si="23"/>
        <v>7.2915285695347443E-3</v>
      </c>
      <c r="Z158" s="67"/>
      <c r="AA158" s="71">
        <v>37561</v>
      </c>
      <c r="AB158" s="72">
        <v>316.8</v>
      </c>
      <c r="AC158" s="72">
        <v>318.3</v>
      </c>
      <c r="AD158" s="73">
        <f t="shared" si="24"/>
        <v>-4.7125353440150564E-3</v>
      </c>
      <c r="AE158" s="67"/>
      <c r="AF158" s="71">
        <v>37561</v>
      </c>
      <c r="AG158" s="72">
        <v>106.41</v>
      </c>
      <c r="AH158" s="72">
        <v>106.55</v>
      </c>
      <c r="AI158" s="73">
        <f t="shared" si="25"/>
        <v>-1.3139371187236293E-3</v>
      </c>
      <c r="AJ158" s="67"/>
      <c r="AK158" s="74">
        <v>37590</v>
      </c>
      <c r="AL158" s="41">
        <v>4.2199999999999994E-2</v>
      </c>
      <c r="AM158" s="41">
        <f t="shared" si="27"/>
        <v>2.8999999999999929E-3</v>
      </c>
      <c r="AN158" s="67"/>
      <c r="AO158" s="75">
        <v>37561</v>
      </c>
      <c r="AP158" s="76">
        <v>591961.59999999998</v>
      </c>
      <c r="AQ158" s="80">
        <f t="shared" si="7"/>
        <v>7.3130224073620909E-3</v>
      </c>
      <c r="AR158" s="67"/>
      <c r="AS158" s="94">
        <v>37561</v>
      </c>
      <c r="AT158" s="78">
        <v>0.90400000000000003</v>
      </c>
      <c r="AU158" s="67"/>
      <c r="AV158" s="79">
        <v>37561</v>
      </c>
      <c r="AW158" s="76">
        <v>270612.59999999998</v>
      </c>
      <c r="AX158" s="80">
        <f t="shared" si="8"/>
        <v>2.2737850593120612E-2</v>
      </c>
      <c r="AY158" s="67"/>
      <c r="AZ158" s="81">
        <v>37561</v>
      </c>
      <c r="BA158" s="82">
        <v>159.12759399414063</v>
      </c>
      <c r="BB158" s="82">
        <v>155.01374816894531</v>
      </c>
      <c r="BC158" s="67"/>
      <c r="BD158" s="83">
        <v>37575</v>
      </c>
      <c r="BE158" s="42">
        <v>5624</v>
      </c>
      <c r="BF158" s="41">
        <f t="shared" si="9"/>
        <v>4.9645390070921946E-2</v>
      </c>
      <c r="BG158" s="67"/>
      <c r="BH158" s="84">
        <v>37561</v>
      </c>
      <c r="BI158" s="85">
        <v>90.971100000000007</v>
      </c>
      <c r="BJ158" s="87">
        <f t="shared" si="10"/>
        <v>5.6022099325370167E-3</v>
      </c>
      <c r="BK158" s="67"/>
      <c r="BL158" s="84">
        <v>37561</v>
      </c>
      <c r="BM158" s="86">
        <v>-5.0009984000000003</v>
      </c>
      <c r="BN158" s="67"/>
      <c r="BO158" s="88">
        <v>37561</v>
      </c>
      <c r="BP158" s="89">
        <v>0.75249999999999995</v>
      </c>
      <c r="BQ158" s="89">
        <v>0.72</v>
      </c>
      <c r="BR158" s="90">
        <f t="shared" si="5"/>
        <v>4.513888888888884E-2</v>
      </c>
    </row>
    <row r="159" spans="1:70">
      <c r="A159" s="62">
        <v>37591</v>
      </c>
      <c r="B159" s="63">
        <v>37591</v>
      </c>
      <c r="C159" s="39">
        <v>31.2</v>
      </c>
      <c r="D159" s="64">
        <v>26.9</v>
      </c>
      <c r="E159" s="40">
        <f t="shared" si="21"/>
        <v>0.1598513011152416</v>
      </c>
      <c r="F159" s="65"/>
      <c r="G159" s="63">
        <v>37591</v>
      </c>
      <c r="H159" s="39">
        <v>28.62</v>
      </c>
      <c r="I159" s="39">
        <v>28.35</v>
      </c>
      <c r="J159" s="40">
        <f t="shared" si="26"/>
        <v>9.52380952380949E-3</v>
      </c>
      <c r="K159" s="67"/>
      <c r="L159" s="68">
        <v>37591</v>
      </c>
      <c r="M159" s="69">
        <v>879.8</v>
      </c>
      <c r="N159" s="69">
        <v>936.3</v>
      </c>
      <c r="O159" s="70">
        <f t="shared" si="22"/>
        <v>-6.0343906867457053E-2</v>
      </c>
      <c r="P159" s="67"/>
      <c r="Q159" s="38">
        <v>37591</v>
      </c>
      <c r="R159" s="39">
        <v>4.7889999999999997</v>
      </c>
      <c r="S159" s="39">
        <v>4.2</v>
      </c>
      <c r="T159" s="40">
        <f t="shared" si="28"/>
        <v>0.14023809523809505</v>
      </c>
      <c r="U159" s="67"/>
      <c r="V159" s="38">
        <v>37591</v>
      </c>
      <c r="W159" s="39">
        <v>0.86860000000000004</v>
      </c>
      <c r="X159" s="39">
        <v>0.75049999999999994</v>
      </c>
      <c r="Y159" s="40">
        <f t="shared" si="23"/>
        <v>0.15736175882744852</v>
      </c>
      <c r="Z159" s="67"/>
      <c r="AA159" s="71">
        <v>37591</v>
      </c>
      <c r="AB159" s="72">
        <v>348.2</v>
      </c>
      <c r="AC159" s="72">
        <v>319.10000000000002</v>
      </c>
      <c r="AD159" s="73">
        <f t="shared" si="24"/>
        <v>9.1193983077405116E-2</v>
      </c>
      <c r="AE159" s="67"/>
      <c r="AF159" s="71">
        <v>37591</v>
      </c>
      <c r="AG159" s="72">
        <v>101.85</v>
      </c>
      <c r="AH159" s="72">
        <v>106.57</v>
      </c>
      <c r="AI159" s="73">
        <f t="shared" si="25"/>
        <v>-4.4290137937505802E-2</v>
      </c>
      <c r="AJ159" s="67"/>
      <c r="AK159" s="74">
        <v>37621</v>
      </c>
      <c r="AL159" s="41">
        <v>3.8300000000000001E-2</v>
      </c>
      <c r="AM159" s="41">
        <f t="shared" si="27"/>
        <v>-3.8999999999999937E-3</v>
      </c>
      <c r="AN159" s="67"/>
      <c r="AO159" s="75">
        <v>37591</v>
      </c>
      <c r="AP159" s="76">
        <v>598227.5</v>
      </c>
      <c r="AQ159" s="80">
        <f t="shared" si="7"/>
        <v>1.0584977133651918E-2</v>
      </c>
      <c r="AR159" s="67"/>
      <c r="AS159" s="94">
        <v>37591</v>
      </c>
      <c r="AT159" s="78">
        <v>0.89724999999999999</v>
      </c>
      <c r="AU159" s="67"/>
      <c r="AV159" s="79">
        <v>37591</v>
      </c>
      <c r="AW159" s="76">
        <v>269091.25</v>
      </c>
      <c r="AX159" s="80">
        <f t="shared" si="8"/>
        <v>-5.621874221673262E-3</v>
      </c>
      <c r="AY159" s="67"/>
      <c r="AZ159" s="81">
        <v>37591</v>
      </c>
      <c r="BA159" s="82">
        <v>175.81172180175781</v>
      </c>
      <c r="BB159" s="82">
        <v>182.99955749511719</v>
      </c>
      <c r="BC159" s="67"/>
      <c r="BD159" s="83">
        <v>37605</v>
      </c>
      <c r="BE159" s="42">
        <v>5722</v>
      </c>
      <c r="BF159" s="41">
        <f t="shared" si="9"/>
        <v>1.7425320056899007E-2</v>
      </c>
      <c r="BG159" s="67"/>
      <c r="BH159" s="84">
        <v>37591</v>
      </c>
      <c r="BI159" s="85">
        <v>90.465199999999996</v>
      </c>
      <c r="BJ159" s="87">
        <f t="shared" si="10"/>
        <v>-5.5611067690729543E-3</v>
      </c>
      <c r="BK159" s="67"/>
      <c r="BL159" s="84">
        <v>37591</v>
      </c>
      <c r="BM159" s="86">
        <v>8.2001282</v>
      </c>
      <c r="BN159" s="67"/>
      <c r="BO159" s="88">
        <v>37591</v>
      </c>
      <c r="BP159" s="89">
        <v>0.70250000000000001</v>
      </c>
      <c r="BQ159" s="89">
        <v>0.76600000000000001</v>
      </c>
      <c r="BR159" s="90">
        <f t="shared" si="5"/>
        <v>-8.2898172323759844E-2</v>
      </c>
    </row>
    <row r="160" spans="1:70">
      <c r="A160" s="62">
        <v>37622</v>
      </c>
      <c r="B160" s="63">
        <v>37622</v>
      </c>
      <c r="C160" s="39">
        <v>33.51</v>
      </c>
      <c r="D160" s="64">
        <v>31.6</v>
      </c>
      <c r="E160" s="40">
        <f t="shared" si="21"/>
        <v>6.0443037974683422E-2</v>
      </c>
      <c r="F160" s="65"/>
      <c r="G160" s="63">
        <v>37622</v>
      </c>
      <c r="H160" s="39">
        <v>31.17</v>
      </c>
      <c r="I160" s="39">
        <v>28.74</v>
      </c>
      <c r="J160" s="40">
        <f t="shared" si="26"/>
        <v>8.4551148225469941E-2</v>
      </c>
      <c r="K160" s="67"/>
      <c r="L160" s="68">
        <v>37622</v>
      </c>
      <c r="M160" s="69">
        <v>855.7</v>
      </c>
      <c r="N160" s="69">
        <v>879.8</v>
      </c>
      <c r="O160" s="70">
        <f t="shared" si="22"/>
        <v>-2.7392589224823682E-2</v>
      </c>
      <c r="P160" s="67"/>
      <c r="Q160" s="38">
        <v>37622</v>
      </c>
      <c r="R160" s="39">
        <v>5.6050000000000004</v>
      </c>
      <c r="S160" s="39">
        <v>4.9000000000000004</v>
      </c>
      <c r="T160" s="40">
        <f t="shared" si="28"/>
        <v>0.14387755102040822</v>
      </c>
      <c r="U160" s="67"/>
      <c r="V160" s="38">
        <v>37622</v>
      </c>
      <c r="W160" s="39">
        <v>0.93259999999999998</v>
      </c>
      <c r="X160" s="39">
        <v>0.84350000000000003</v>
      </c>
      <c r="Y160" s="40">
        <f t="shared" si="23"/>
        <v>0.10563129816241834</v>
      </c>
      <c r="Z160" s="67"/>
      <c r="AA160" s="71">
        <v>37622</v>
      </c>
      <c r="AB160" s="72">
        <v>369.1</v>
      </c>
      <c r="AC160" s="72">
        <v>347.6</v>
      </c>
      <c r="AD160" s="73">
        <f t="shared" si="24"/>
        <v>6.1852704257767455E-2</v>
      </c>
      <c r="AE160" s="67"/>
      <c r="AF160" s="71">
        <v>37622</v>
      </c>
      <c r="AG160" s="72">
        <v>99.91</v>
      </c>
      <c r="AH160" s="72">
        <v>102.36</v>
      </c>
      <c r="AI160" s="73">
        <f t="shared" si="25"/>
        <v>-2.3935130910511915E-2</v>
      </c>
      <c r="AJ160" s="67"/>
      <c r="AK160" s="74">
        <v>37652</v>
      </c>
      <c r="AL160" s="41">
        <v>0.04</v>
      </c>
      <c r="AM160" s="41">
        <f t="shared" si="27"/>
        <v>1.7000000000000001E-3</v>
      </c>
      <c r="AN160" s="67"/>
      <c r="AO160" s="75">
        <v>37622</v>
      </c>
      <c r="AP160" s="76">
        <v>599218.19999999995</v>
      </c>
      <c r="AQ160" s="80">
        <f t="shared" si="7"/>
        <v>1.6560589407874637E-3</v>
      </c>
      <c r="AR160" s="67"/>
      <c r="AS160" s="94">
        <v>37622</v>
      </c>
      <c r="AT160" s="78">
        <v>0.87219999999999998</v>
      </c>
      <c r="AU160" s="67"/>
      <c r="AV160" s="79">
        <v>37622</v>
      </c>
      <c r="AW160" s="76">
        <v>258301.4</v>
      </c>
      <c r="AX160" s="80">
        <f t="shared" si="8"/>
        <v>-4.0097364741514263E-2</v>
      </c>
      <c r="AY160" s="67"/>
      <c r="AZ160" s="81">
        <v>37622</v>
      </c>
      <c r="BA160" s="82">
        <v>206.43460083007813</v>
      </c>
      <c r="BB160" s="82">
        <v>245.81755065917969</v>
      </c>
      <c r="BC160" s="67"/>
      <c r="BD160" s="83">
        <v>37636</v>
      </c>
      <c r="BE160" s="42">
        <v>5755</v>
      </c>
      <c r="BF160" s="41">
        <f t="shared" si="9"/>
        <v>5.7672142607478882E-3</v>
      </c>
      <c r="BG160" s="67"/>
      <c r="BH160" s="84">
        <v>37622</v>
      </c>
      <c r="BI160" s="85">
        <v>91.236099999999993</v>
      </c>
      <c r="BJ160" s="87">
        <f t="shared" si="10"/>
        <v>8.5215088232823977E-3</v>
      </c>
      <c r="BK160" s="67"/>
      <c r="BL160" s="84">
        <v>37622</v>
      </c>
      <c r="BM160" s="86">
        <v>9.5951232999999991</v>
      </c>
      <c r="BN160" s="67"/>
      <c r="BO160" s="88">
        <v>37622</v>
      </c>
      <c r="BP160" s="89">
        <v>0.79749999999999999</v>
      </c>
      <c r="BQ160" s="89">
        <v>0.70250000000000001</v>
      </c>
      <c r="BR160" s="90">
        <f t="shared" si="5"/>
        <v>0.13523131672597866</v>
      </c>
    </row>
    <row r="161" spans="1:70">
      <c r="A161" s="62">
        <v>37653</v>
      </c>
      <c r="B161" s="63">
        <v>37653</v>
      </c>
      <c r="C161" s="39">
        <v>36.6</v>
      </c>
      <c r="D161" s="64">
        <v>33.33</v>
      </c>
      <c r="E161" s="40">
        <f t="shared" si="21"/>
        <v>9.8109810981098278E-2</v>
      </c>
      <c r="F161" s="65"/>
      <c r="G161" s="63">
        <v>37653</v>
      </c>
      <c r="H161" s="39">
        <v>29.63</v>
      </c>
      <c r="I161" s="39">
        <v>32.450000000000003</v>
      </c>
      <c r="J161" s="40">
        <f t="shared" si="26"/>
        <v>-8.6902927580893796E-2</v>
      </c>
      <c r="K161" s="67"/>
      <c r="L161" s="68">
        <v>37653</v>
      </c>
      <c r="M161" s="69">
        <v>841.1</v>
      </c>
      <c r="N161" s="69">
        <v>855.7</v>
      </c>
      <c r="O161" s="70">
        <f t="shared" si="22"/>
        <v>-1.7062054458338194E-2</v>
      </c>
      <c r="P161" s="67"/>
      <c r="Q161" s="38">
        <v>37653</v>
      </c>
      <c r="R161" s="39">
        <v>8.1010000000000009</v>
      </c>
      <c r="S161" s="39">
        <v>5.6050000000000004</v>
      </c>
      <c r="T161" s="40">
        <f t="shared" si="28"/>
        <v>0.44531668153434434</v>
      </c>
      <c r="U161" s="67"/>
      <c r="V161" s="38">
        <v>37653</v>
      </c>
      <c r="W161" s="39">
        <v>1.0721000000000001</v>
      </c>
      <c r="X161" s="39">
        <v>0.87790000000000001</v>
      </c>
      <c r="Y161" s="40">
        <f t="shared" si="23"/>
        <v>0.22120970497778791</v>
      </c>
      <c r="Z161" s="67"/>
      <c r="AA161" s="71">
        <v>37653</v>
      </c>
      <c r="AB161" s="72">
        <v>350.3</v>
      </c>
      <c r="AC161" s="72">
        <v>368.9</v>
      </c>
      <c r="AD161" s="73">
        <f t="shared" si="24"/>
        <v>-5.0420168067226823E-2</v>
      </c>
      <c r="AE161" s="67"/>
      <c r="AF161" s="71">
        <v>37653</v>
      </c>
      <c r="AG161" s="72">
        <v>99.71</v>
      </c>
      <c r="AH161" s="72">
        <v>100.26</v>
      </c>
      <c r="AI161" s="73">
        <f t="shared" si="25"/>
        <v>-5.4857370835827979E-3</v>
      </c>
      <c r="AJ161" s="67"/>
      <c r="AK161" s="74">
        <v>37680</v>
      </c>
      <c r="AL161" s="41">
        <v>3.7100000000000001E-2</v>
      </c>
      <c r="AM161" s="41">
        <f t="shared" si="27"/>
        <v>-2.8999999999999998E-3</v>
      </c>
      <c r="AN161" s="67"/>
      <c r="AO161" s="75">
        <v>37653</v>
      </c>
      <c r="AP161" s="76">
        <v>599247</v>
      </c>
      <c r="AQ161" s="80">
        <f t="shared" si="7"/>
        <v>4.806262560119734E-5</v>
      </c>
      <c r="AR161" s="67"/>
      <c r="AS161" s="94">
        <v>37653</v>
      </c>
      <c r="AT161" s="78">
        <v>0.85825000000000007</v>
      </c>
      <c r="AU161" s="67"/>
      <c r="AV161" s="79">
        <v>37653</v>
      </c>
      <c r="AW161" s="76">
        <v>255979.75</v>
      </c>
      <c r="AX161" s="80">
        <f t="shared" si="8"/>
        <v>-8.9881433085534645E-3</v>
      </c>
      <c r="AY161" s="67"/>
      <c r="AZ161" s="81">
        <v>37653</v>
      </c>
      <c r="BA161" s="82">
        <v>239.61093139648438</v>
      </c>
      <c r="BB161" s="82">
        <v>296.75979614257813</v>
      </c>
      <c r="BC161" s="67"/>
      <c r="BD161" s="83">
        <v>37667</v>
      </c>
      <c r="BE161" s="42">
        <v>5783</v>
      </c>
      <c r="BF161" s="41">
        <f t="shared" si="9"/>
        <v>4.8653344917461983E-3</v>
      </c>
      <c r="BG161" s="67"/>
      <c r="BH161" s="84">
        <v>37653</v>
      </c>
      <c r="BI161" s="85">
        <v>91.344499999999996</v>
      </c>
      <c r="BJ161" s="87">
        <f t="shared" si="10"/>
        <v>1.1881261912773944E-3</v>
      </c>
      <c r="BK161" s="67"/>
      <c r="BL161" s="84">
        <v>37653</v>
      </c>
      <c r="BM161" s="86">
        <v>8.0286784999999998</v>
      </c>
      <c r="BN161" s="67"/>
      <c r="BO161" s="88">
        <v>37653</v>
      </c>
      <c r="BP161" s="89">
        <v>0.78100000000000003</v>
      </c>
      <c r="BQ161" s="89">
        <v>0.79449999999999998</v>
      </c>
      <c r="BR161" s="90">
        <f t="shared" si="5"/>
        <v>-1.6991818753933186E-2</v>
      </c>
    </row>
    <row r="162" spans="1:70">
      <c r="A162" s="62">
        <v>37681</v>
      </c>
      <c r="B162" s="63">
        <v>37681</v>
      </c>
      <c r="C162" s="39">
        <v>31.04</v>
      </c>
      <c r="D162" s="64">
        <v>36.450000000000003</v>
      </c>
      <c r="E162" s="40">
        <f t="shared" si="21"/>
        <v>-0.14842249657064477</v>
      </c>
      <c r="F162" s="65"/>
      <c r="G162" s="63">
        <v>37681</v>
      </c>
      <c r="H162" s="39">
        <v>29.15</v>
      </c>
      <c r="I162" s="39">
        <v>29.78</v>
      </c>
      <c r="J162" s="40">
        <f t="shared" si="26"/>
        <v>-2.1155137676292846E-2</v>
      </c>
      <c r="K162" s="67"/>
      <c r="L162" s="68">
        <v>37681</v>
      </c>
      <c r="M162" s="69">
        <v>848.2</v>
      </c>
      <c r="N162" s="69">
        <v>841.1</v>
      </c>
      <c r="O162" s="70">
        <f t="shared" si="22"/>
        <v>8.4413268339080805E-3</v>
      </c>
      <c r="P162" s="67"/>
      <c r="Q162" s="38">
        <v>37681</v>
      </c>
      <c r="R162" s="39">
        <v>5.0599999999999996</v>
      </c>
      <c r="S162" s="39">
        <v>8.18</v>
      </c>
      <c r="T162" s="40">
        <f t="shared" si="28"/>
        <v>-0.38141809290953543</v>
      </c>
      <c r="U162" s="67"/>
      <c r="V162" s="38">
        <v>37681</v>
      </c>
      <c r="W162" s="39">
        <v>0.77080000000000004</v>
      </c>
      <c r="X162" s="39">
        <v>0.9355</v>
      </c>
      <c r="Y162" s="40">
        <f t="shared" si="23"/>
        <v>-0.17605558524853016</v>
      </c>
      <c r="Z162" s="67"/>
      <c r="AA162" s="71">
        <v>37681</v>
      </c>
      <c r="AB162" s="72">
        <v>336.9</v>
      </c>
      <c r="AC162" s="72">
        <v>349.8</v>
      </c>
      <c r="AD162" s="73">
        <f t="shared" si="24"/>
        <v>-3.6878216123499286E-2</v>
      </c>
      <c r="AE162" s="67"/>
      <c r="AF162" s="71">
        <v>37681</v>
      </c>
      <c r="AG162" s="72">
        <v>99.06</v>
      </c>
      <c r="AH162" s="72">
        <v>99.74</v>
      </c>
      <c r="AI162" s="73">
        <f t="shared" si="25"/>
        <v>-6.8177260878282686E-3</v>
      </c>
      <c r="AJ162" s="67"/>
      <c r="AK162" s="74">
        <v>37711</v>
      </c>
      <c r="AL162" s="41">
        <v>3.8300000000000001E-2</v>
      </c>
      <c r="AM162" s="41">
        <f t="shared" si="27"/>
        <v>1.1999999999999997E-3</v>
      </c>
      <c r="AN162" s="67"/>
      <c r="AO162" s="75">
        <v>37681</v>
      </c>
      <c r="AP162" s="76">
        <v>599247</v>
      </c>
      <c r="AQ162" s="80">
        <f t="shared" si="7"/>
        <v>0</v>
      </c>
      <c r="AR162" s="67"/>
      <c r="AS162" s="94">
        <v>37681</v>
      </c>
      <c r="AT162" s="78">
        <v>0.89075000000000004</v>
      </c>
      <c r="AU162" s="67"/>
      <c r="AV162" s="79">
        <v>37681</v>
      </c>
      <c r="AW162" s="76">
        <v>257101.75</v>
      </c>
      <c r="AX162" s="80">
        <f t="shared" si="8"/>
        <v>4.3831592147425269E-3</v>
      </c>
      <c r="AY162" s="67"/>
      <c r="AZ162" s="81">
        <v>37681</v>
      </c>
      <c r="BA162" s="82">
        <v>358.711181640625</v>
      </c>
      <c r="BB162" s="82">
        <v>362.41107177734375</v>
      </c>
      <c r="BC162" s="67"/>
      <c r="BD162" s="83">
        <v>37695</v>
      </c>
      <c r="BE162" s="42">
        <v>5803</v>
      </c>
      <c r="BF162" s="41">
        <f t="shared" si="9"/>
        <v>3.4584125886218953E-3</v>
      </c>
      <c r="BG162" s="67"/>
      <c r="BH162" s="84">
        <v>37681</v>
      </c>
      <c r="BI162" s="85">
        <v>91.104399999999998</v>
      </c>
      <c r="BJ162" s="87">
        <f t="shared" si="10"/>
        <v>-2.6285107477734826E-3</v>
      </c>
      <c r="BK162" s="67"/>
      <c r="BL162" s="84">
        <v>37681</v>
      </c>
      <c r="BM162" s="86">
        <v>18.029748000000001</v>
      </c>
      <c r="BN162" s="67"/>
      <c r="BO162" s="88">
        <v>37681</v>
      </c>
      <c r="BP162" s="89">
        <v>0.71699999999999997</v>
      </c>
      <c r="BQ162" s="89">
        <v>0.78300000000000003</v>
      </c>
      <c r="BR162" s="90">
        <f t="shared" si="5"/>
        <v>-8.4291187739463647E-2</v>
      </c>
    </row>
    <row r="163" spans="1:70">
      <c r="A163" s="62">
        <v>37712</v>
      </c>
      <c r="B163" s="63">
        <v>37712</v>
      </c>
      <c r="C163" s="39">
        <v>25.8</v>
      </c>
      <c r="D163" s="64">
        <v>31.16</v>
      </c>
      <c r="E163" s="40">
        <f t="shared" si="21"/>
        <v>-0.17201540436456997</v>
      </c>
      <c r="F163" s="65"/>
      <c r="G163" s="63">
        <v>37712</v>
      </c>
      <c r="H163" s="39">
        <v>21.21</v>
      </c>
      <c r="I163" s="39">
        <v>29.58</v>
      </c>
      <c r="J163" s="40">
        <f t="shared" si="26"/>
        <v>-0.28296146044624737</v>
      </c>
      <c r="K163" s="67"/>
      <c r="L163" s="68">
        <v>37712</v>
      </c>
      <c r="M163" s="69">
        <v>916.9</v>
      </c>
      <c r="N163" s="69">
        <v>848.2</v>
      </c>
      <c r="O163" s="70">
        <f t="shared" si="22"/>
        <v>8.0995048337656028E-2</v>
      </c>
      <c r="P163" s="67"/>
      <c r="Q163" s="38">
        <v>37712</v>
      </c>
      <c r="R163" s="39">
        <v>5.3849999999999998</v>
      </c>
      <c r="S163" s="39">
        <v>5.0750000000000002</v>
      </c>
      <c r="T163" s="40">
        <f t="shared" si="28"/>
        <v>6.1083743842364369E-2</v>
      </c>
      <c r="U163" s="67"/>
      <c r="V163" s="38">
        <v>37712</v>
      </c>
      <c r="W163" s="39">
        <v>0.68510000000000004</v>
      </c>
      <c r="X163" s="39">
        <v>0.75660000000000005</v>
      </c>
      <c r="Y163" s="40">
        <f t="shared" si="23"/>
        <v>-9.4501718213058417E-2</v>
      </c>
      <c r="Z163" s="67"/>
      <c r="AA163" s="71">
        <v>37712</v>
      </c>
      <c r="AB163" s="72">
        <v>339.4</v>
      </c>
      <c r="AC163" s="72">
        <v>335.7</v>
      </c>
      <c r="AD163" s="73">
        <f t="shared" si="24"/>
        <v>1.1021745606196065E-2</v>
      </c>
      <c r="AE163" s="67"/>
      <c r="AF163" s="71">
        <v>37712</v>
      </c>
      <c r="AG163" s="72">
        <v>97.19</v>
      </c>
      <c r="AH163" s="72">
        <v>98.86</v>
      </c>
      <c r="AI163" s="73">
        <f t="shared" si="25"/>
        <v>-1.689257535909372E-2</v>
      </c>
      <c r="AJ163" s="67"/>
      <c r="AK163" s="74">
        <v>37741</v>
      </c>
      <c r="AL163" s="41">
        <v>3.8900000000000004E-2</v>
      </c>
      <c r="AM163" s="41">
        <f t="shared" si="27"/>
        <v>6.0000000000000331E-4</v>
      </c>
      <c r="AN163" s="67"/>
      <c r="AO163" s="75">
        <v>37712</v>
      </c>
      <c r="AP163" s="76">
        <v>599397.75</v>
      </c>
      <c r="AQ163" s="80">
        <f t="shared" si="7"/>
        <v>2.515657149722017E-4</v>
      </c>
      <c r="AR163" s="67"/>
      <c r="AS163" s="94">
        <v>37712</v>
      </c>
      <c r="AT163" s="78">
        <v>0.92799999999999994</v>
      </c>
      <c r="AU163" s="67"/>
      <c r="AV163" s="79">
        <v>37712</v>
      </c>
      <c r="AW163" s="76">
        <v>265664</v>
      </c>
      <c r="AX163" s="80">
        <f t="shared" si="8"/>
        <v>3.3302962737515429E-2</v>
      </c>
      <c r="AY163" s="67"/>
      <c r="AZ163" s="81">
        <v>37712</v>
      </c>
      <c r="BA163" s="82">
        <v>255.77517700195313</v>
      </c>
      <c r="BB163" s="82">
        <v>212.60545349121094</v>
      </c>
      <c r="BC163" s="67"/>
      <c r="BD163" s="83">
        <v>37726</v>
      </c>
      <c r="BE163" s="42">
        <v>5726</v>
      </c>
      <c r="BF163" s="41">
        <f t="shared" si="9"/>
        <v>-1.3268998793727338E-2</v>
      </c>
      <c r="BG163" s="67"/>
      <c r="BH163" s="84">
        <v>37712</v>
      </c>
      <c r="BI163" s="85">
        <v>90.561700000000002</v>
      </c>
      <c r="BJ163" s="87">
        <f t="shared" si="10"/>
        <v>-5.9569021913320475E-3</v>
      </c>
      <c r="BK163" s="67"/>
      <c r="BL163" s="84">
        <v>37712</v>
      </c>
      <c r="BM163" s="86">
        <v>29.524505999999999</v>
      </c>
      <c r="BN163" s="67"/>
      <c r="BO163" s="88">
        <v>37712</v>
      </c>
      <c r="BP163" s="89">
        <v>0.73099999999999998</v>
      </c>
      <c r="BQ163" s="89">
        <v>0.72499999999999998</v>
      </c>
      <c r="BR163" s="90">
        <f t="shared" si="5"/>
        <v>8.2758620689655782E-3</v>
      </c>
    </row>
    <row r="164" spans="1:70">
      <c r="A164" s="62">
        <v>37742</v>
      </c>
      <c r="B164" s="63">
        <v>37742</v>
      </c>
      <c r="C164" s="39">
        <v>29.56</v>
      </c>
      <c r="D164" s="64">
        <v>25.95</v>
      </c>
      <c r="E164" s="40">
        <f t="shared" si="21"/>
        <v>0.1391136801541426</v>
      </c>
      <c r="F164" s="65"/>
      <c r="G164" s="63">
        <v>37742</v>
      </c>
      <c r="H164" s="39">
        <v>19.47</v>
      </c>
      <c r="I164" s="39">
        <v>21.35</v>
      </c>
      <c r="J164" s="40">
        <f t="shared" si="26"/>
        <v>-8.8056206088993116E-2</v>
      </c>
      <c r="K164" s="67"/>
      <c r="L164" s="68">
        <v>37742</v>
      </c>
      <c r="M164" s="69">
        <v>963.6</v>
      </c>
      <c r="N164" s="69">
        <v>916.9</v>
      </c>
      <c r="O164" s="70">
        <f t="shared" si="22"/>
        <v>5.0932489911658996E-2</v>
      </c>
      <c r="P164" s="67"/>
      <c r="Q164" s="38">
        <v>37742</v>
      </c>
      <c r="R164" s="39">
        <v>6.2510000000000003</v>
      </c>
      <c r="S164" s="39">
        <v>5.39</v>
      </c>
      <c r="T164" s="40">
        <f t="shared" si="28"/>
        <v>0.15974025974025996</v>
      </c>
      <c r="U164" s="67"/>
      <c r="V164" s="38">
        <v>37742</v>
      </c>
      <c r="W164" s="39">
        <v>0.74819999999999998</v>
      </c>
      <c r="X164" s="39">
        <v>0.6865</v>
      </c>
      <c r="Y164" s="40">
        <f t="shared" si="23"/>
        <v>8.9876183539694177E-2</v>
      </c>
      <c r="Z164" s="67"/>
      <c r="AA164" s="71">
        <v>37742</v>
      </c>
      <c r="AB164" s="72">
        <v>365.6</v>
      </c>
      <c r="AC164" s="72">
        <v>339.2</v>
      </c>
      <c r="AD164" s="73">
        <f t="shared" si="24"/>
        <v>7.7830188679245405E-2</v>
      </c>
      <c r="AE164" s="67"/>
      <c r="AF164" s="71">
        <v>37742</v>
      </c>
      <c r="AG164" s="72">
        <v>93.27</v>
      </c>
      <c r="AH164" s="72">
        <v>97.18</v>
      </c>
      <c r="AI164" s="73">
        <f t="shared" si="25"/>
        <v>-4.0234616176168081E-2</v>
      </c>
      <c r="AJ164" s="67"/>
      <c r="AK164" s="74">
        <v>37772</v>
      </c>
      <c r="AL164" s="41">
        <v>3.3700000000000001E-2</v>
      </c>
      <c r="AM164" s="41">
        <f t="shared" si="27"/>
        <v>-5.2000000000000032E-3</v>
      </c>
      <c r="AN164" s="67"/>
      <c r="AO164" s="92">
        <v>37742</v>
      </c>
      <c r="AP164" s="76">
        <v>601036.80000000005</v>
      </c>
      <c r="AQ164" s="80">
        <f t="shared" si="7"/>
        <v>2.7344947491045879E-3</v>
      </c>
      <c r="AR164" s="67"/>
      <c r="AS164" s="97">
        <v>37742</v>
      </c>
      <c r="AT164" s="78">
        <v>0.95279999999999998</v>
      </c>
      <c r="AU164" s="67"/>
      <c r="AV164" s="93">
        <v>37742</v>
      </c>
      <c r="AW164" s="76">
        <v>270302.59999999998</v>
      </c>
      <c r="AX164" s="80">
        <f t="shared" si="8"/>
        <v>1.7460401108166712E-2</v>
      </c>
      <c r="AY164" s="67"/>
      <c r="AZ164" s="81">
        <v>37742</v>
      </c>
      <c r="BA164" s="82">
        <v>162.12187194824219</v>
      </c>
      <c r="BB164" s="82">
        <v>153.39628601074219</v>
      </c>
      <c r="BC164" s="67"/>
      <c r="BD164" s="83">
        <v>37756</v>
      </c>
      <c r="BE164" s="42">
        <v>5663</v>
      </c>
      <c r="BF164" s="41">
        <f t="shared" si="9"/>
        <v>-1.1002444987775029E-2</v>
      </c>
      <c r="BG164" s="67"/>
      <c r="BH164" s="84">
        <v>37742</v>
      </c>
      <c r="BI164" s="85">
        <v>90.537000000000006</v>
      </c>
      <c r="BJ164" s="87">
        <f t="shared" si="10"/>
        <v>-2.7274222988304953E-4</v>
      </c>
      <c r="BK164" s="67"/>
      <c r="BL164" s="84">
        <v>37742</v>
      </c>
      <c r="BM164" s="86">
        <v>37.636170999999997</v>
      </c>
      <c r="BN164" s="67"/>
      <c r="BO164" s="88">
        <v>37742</v>
      </c>
      <c r="BP164" s="89">
        <v>0.78400000000000003</v>
      </c>
      <c r="BQ164" s="89">
        <v>0.73150000000000004</v>
      </c>
      <c r="BR164" s="90">
        <f t="shared" si="5"/>
        <v>7.1770334928229707E-2</v>
      </c>
    </row>
    <row r="165" spans="1:70">
      <c r="A165" s="62">
        <v>37773</v>
      </c>
      <c r="B165" s="63">
        <v>37773</v>
      </c>
      <c r="C165" s="39">
        <v>30.19</v>
      </c>
      <c r="D165" s="64">
        <v>29.49</v>
      </c>
      <c r="E165" s="40">
        <f t="shared" si="21"/>
        <v>2.3736859952526279E-2</v>
      </c>
      <c r="F165" s="65"/>
      <c r="G165" s="63">
        <v>37773</v>
      </c>
      <c r="H165" s="39">
        <v>19.52</v>
      </c>
      <c r="I165" s="39">
        <v>20.350000000000001</v>
      </c>
      <c r="J165" s="40">
        <f t="shared" si="26"/>
        <v>-4.0786240786240824E-2</v>
      </c>
      <c r="K165" s="67"/>
      <c r="L165" s="68">
        <v>37773</v>
      </c>
      <c r="M165" s="69">
        <v>974.5</v>
      </c>
      <c r="N165" s="98">
        <v>963.6</v>
      </c>
      <c r="O165" s="70">
        <f t="shared" si="22"/>
        <v>1.1311747613117484E-2</v>
      </c>
      <c r="P165" s="67"/>
      <c r="Q165" s="38">
        <v>37773</v>
      </c>
      <c r="R165" s="39">
        <v>5.4109999999999996</v>
      </c>
      <c r="S165" s="39">
        <v>6.25</v>
      </c>
      <c r="T165" s="40">
        <f t="shared" si="28"/>
        <v>-0.13424000000000003</v>
      </c>
      <c r="U165" s="67"/>
      <c r="V165" s="38">
        <v>37773</v>
      </c>
      <c r="W165" s="39">
        <v>0.78580000000000005</v>
      </c>
      <c r="X165" s="39">
        <v>0.75860000000000005</v>
      </c>
      <c r="Y165" s="40">
        <f t="shared" si="23"/>
        <v>3.5855523332454453E-2</v>
      </c>
      <c r="Z165" s="67"/>
      <c r="AA165" s="71">
        <v>37773</v>
      </c>
      <c r="AB165" s="72">
        <v>346.3</v>
      </c>
      <c r="AC165" s="72">
        <v>364</v>
      </c>
      <c r="AD165" s="73">
        <f t="shared" si="24"/>
        <v>-4.8626373626373565E-2</v>
      </c>
      <c r="AE165" s="67"/>
      <c r="AF165" s="71">
        <v>37773</v>
      </c>
      <c r="AG165" s="72">
        <v>94.73</v>
      </c>
      <c r="AH165" s="72">
        <v>93.73</v>
      </c>
      <c r="AI165" s="73">
        <f t="shared" si="25"/>
        <v>1.066894270777774E-2</v>
      </c>
      <c r="AJ165" s="67"/>
      <c r="AK165" s="74">
        <v>37802</v>
      </c>
      <c r="AL165" s="41">
        <v>3.5400000000000001E-2</v>
      </c>
      <c r="AM165" s="41">
        <f t="shared" si="27"/>
        <v>1.7000000000000001E-3</v>
      </c>
      <c r="AN165" s="67"/>
      <c r="AO165" s="75">
        <v>37773</v>
      </c>
      <c r="AP165" s="76">
        <v>605517</v>
      </c>
      <c r="AQ165" s="80">
        <f t="shared" si="7"/>
        <v>7.4541192818808888E-3</v>
      </c>
      <c r="AR165" s="67"/>
      <c r="AS165" s="94">
        <v>37773</v>
      </c>
      <c r="AT165" s="78">
        <v>0.94625000000000004</v>
      </c>
      <c r="AU165" s="67"/>
      <c r="AV165" s="79">
        <v>37773</v>
      </c>
      <c r="AW165" s="76">
        <v>268626.5</v>
      </c>
      <c r="AX165" s="80">
        <f t="shared" si="8"/>
        <v>-6.2008282569238071E-3</v>
      </c>
      <c r="AY165" s="67"/>
      <c r="AZ165" s="81">
        <v>37773</v>
      </c>
      <c r="BA165" s="82">
        <v>145.76972961425781</v>
      </c>
      <c r="BB165" s="82">
        <v>127.83353424072266</v>
      </c>
      <c r="BC165" s="67"/>
      <c r="BD165" s="83">
        <v>37787</v>
      </c>
      <c r="BE165" s="42">
        <v>5659</v>
      </c>
      <c r="BF165" s="41">
        <f t="shared" si="9"/>
        <v>-7.0633939607978036E-4</v>
      </c>
      <c r="BG165" s="67"/>
      <c r="BH165" s="84">
        <v>37773</v>
      </c>
      <c r="BI165" s="85">
        <v>90.652699999999996</v>
      </c>
      <c r="BJ165" s="87">
        <f t="shared" si="10"/>
        <v>1.2779305698220611E-3</v>
      </c>
      <c r="BK165" s="67"/>
      <c r="BL165" s="84">
        <v>37773</v>
      </c>
      <c r="BM165" s="86">
        <v>33.342750000000002</v>
      </c>
      <c r="BN165" s="67"/>
      <c r="BO165" s="88">
        <v>37773</v>
      </c>
      <c r="BP165" s="89">
        <v>0.753</v>
      </c>
      <c r="BQ165" s="89">
        <v>0.78749999999999998</v>
      </c>
      <c r="BR165" s="90">
        <f t="shared" si="5"/>
        <v>-4.3809523809523743E-2</v>
      </c>
    </row>
    <row r="166" spans="1:70">
      <c r="A166" s="62">
        <v>37803</v>
      </c>
      <c r="B166" s="63">
        <v>37803</v>
      </c>
      <c r="C166" s="39">
        <v>30.54</v>
      </c>
      <c r="D166" s="64">
        <v>30.12</v>
      </c>
      <c r="E166" s="40">
        <f t="shared" si="21"/>
        <v>1.3944223107569709E-2</v>
      </c>
      <c r="F166" s="65"/>
      <c r="G166" s="63">
        <v>37803</v>
      </c>
      <c r="H166" s="39">
        <v>19.489999999999998</v>
      </c>
      <c r="I166" s="39">
        <v>20.49</v>
      </c>
      <c r="J166" s="40">
        <f t="shared" si="26"/>
        <v>-4.880429477794046E-2</v>
      </c>
      <c r="K166" s="67"/>
      <c r="L166" s="68">
        <v>37803</v>
      </c>
      <c r="M166" s="69">
        <v>990.3</v>
      </c>
      <c r="N166" s="98">
        <v>974.5</v>
      </c>
      <c r="O166" s="70">
        <f t="shared" si="22"/>
        <v>1.621344279117487E-2</v>
      </c>
      <c r="P166" s="67"/>
      <c r="Q166" s="38">
        <v>37803</v>
      </c>
      <c r="R166" s="39">
        <v>4.718</v>
      </c>
      <c r="S166" s="39">
        <v>5.4050000000000002</v>
      </c>
      <c r="T166" s="40">
        <f t="shared" si="28"/>
        <v>-0.12710453283996304</v>
      </c>
      <c r="U166" s="67"/>
      <c r="V166" s="38">
        <v>37803</v>
      </c>
      <c r="W166" s="39">
        <v>0.79859999999999998</v>
      </c>
      <c r="X166" s="39">
        <v>0.78700000000000003</v>
      </c>
      <c r="Y166" s="40">
        <f t="shared" si="23"/>
        <v>1.4739517153748327E-2</v>
      </c>
      <c r="Z166" s="67"/>
      <c r="AA166" s="71">
        <v>37803</v>
      </c>
      <c r="AB166" s="72">
        <v>355.8</v>
      </c>
      <c r="AC166" s="72">
        <v>346.4</v>
      </c>
      <c r="AD166" s="73">
        <f t="shared" si="24"/>
        <v>2.7136258660508172E-2</v>
      </c>
      <c r="AE166" s="67"/>
      <c r="AF166" s="71">
        <v>37803</v>
      </c>
      <c r="AG166" s="72">
        <v>96.89</v>
      </c>
      <c r="AH166" s="72">
        <v>94.54</v>
      </c>
      <c r="AI166" s="73">
        <f t="shared" si="25"/>
        <v>2.4857203300190367E-2</v>
      </c>
      <c r="AJ166" s="67"/>
      <c r="AK166" s="74">
        <v>37833</v>
      </c>
      <c r="AL166" s="41">
        <v>4.4900000000000002E-2</v>
      </c>
      <c r="AM166" s="41">
        <f t="shared" si="27"/>
        <v>9.5000000000000015E-3</v>
      </c>
      <c r="AN166" s="67"/>
      <c r="AO166" s="75">
        <v>37803</v>
      </c>
      <c r="AP166" s="76">
        <v>609673</v>
      </c>
      <c r="AQ166" s="80">
        <f t="shared" si="7"/>
        <v>6.8635562667935801E-3</v>
      </c>
      <c r="AR166" s="67"/>
      <c r="AS166" s="94">
        <v>37803</v>
      </c>
      <c r="AT166" s="78">
        <v>0.93775000000000008</v>
      </c>
      <c r="AU166" s="67"/>
      <c r="AV166" s="79">
        <v>37803</v>
      </c>
      <c r="AW166" s="76">
        <v>262200.5</v>
      </c>
      <c r="AX166" s="80">
        <f t="shared" si="8"/>
        <v>-2.3921690525692707E-2</v>
      </c>
      <c r="AY166" s="67"/>
      <c r="AZ166" s="81">
        <v>37803</v>
      </c>
      <c r="BA166" s="82">
        <v>134.89891052246094</v>
      </c>
      <c r="BB166" s="82">
        <v>108.39279937744141</v>
      </c>
      <c r="BC166" s="67"/>
      <c r="BD166" s="83">
        <v>37817</v>
      </c>
      <c r="BE166" s="42">
        <v>5498</v>
      </c>
      <c r="BF166" s="41">
        <f t="shared" si="9"/>
        <v>-2.8450256229015758E-2</v>
      </c>
      <c r="BG166" s="67"/>
      <c r="BH166" s="84">
        <v>37803</v>
      </c>
      <c r="BI166" s="85">
        <v>91.118499999999997</v>
      </c>
      <c r="BJ166" s="87">
        <f t="shared" si="10"/>
        <v>5.1382915235840265E-3</v>
      </c>
      <c r="BK166" s="67"/>
      <c r="BL166" s="84">
        <v>37803</v>
      </c>
      <c r="BM166" s="86">
        <v>35.770909000000003</v>
      </c>
      <c r="BN166" s="67"/>
      <c r="BO166" s="88">
        <v>37803</v>
      </c>
      <c r="BP166" s="89">
        <v>0.82099999999999995</v>
      </c>
      <c r="BQ166" s="89">
        <v>0.753</v>
      </c>
      <c r="BR166" s="90">
        <f t="shared" si="5"/>
        <v>9.0305444887118114E-2</v>
      </c>
    </row>
    <row r="167" spans="1:70">
      <c r="A167" s="62">
        <v>37834</v>
      </c>
      <c r="B167" s="63">
        <v>37834</v>
      </c>
      <c r="C167" s="39">
        <v>31.57</v>
      </c>
      <c r="D167" s="64">
        <v>30.58</v>
      </c>
      <c r="E167" s="40">
        <f t="shared" si="21"/>
        <v>3.2374100719424481E-2</v>
      </c>
      <c r="F167" s="65"/>
      <c r="G167" s="63">
        <v>37834</v>
      </c>
      <c r="H167" s="39">
        <v>18.63</v>
      </c>
      <c r="I167" s="39">
        <v>20.059999999999999</v>
      </c>
      <c r="J167" s="40">
        <f t="shared" si="26"/>
        <v>-7.1286141575274131E-2</v>
      </c>
      <c r="K167" s="67"/>
      <c r="L167" s="68">
        <v>37834</v>
      </c>
      <c r="M167" s="98">
        <v>1008</v>
      </c>
      <c r="N167" s="98">
        <v>990.3</v>
      </c>
      <c r="O167" s="70">
        <f t="shared" si="22"/>
        <v>1.7873371705543928E-2</v>
      </c>
      <c r="P167" s="67"/>
      <c r="Q167" s="38">
        <v>37834</v>
      </c>
      <c r="R167" s="39">
        <v>4.7309999999999999</v>
      </c>
      <c r="S167" s="39">
        <v>4.7149999999999999</v>
      </c>
      <c r="T167" s="40">
        <f t="shared" si="28"/>
        <v>3.3934252386003116E-3</v>
      </c>
      <c r="U167" s="67"/>
      <c r="V167" s="38">
        <v>37834</v>
      </c>
      <c r="W167" s="39">
        <v>0.82630000000000003</v>
      </c>
      <c r="X167" s="39">
        <v>0.80840000000000001</v>
      </c>
      <c r="Y167" s="40">
        <f t="shared" si="23"/>
        <v>2.2142503711034101E-2</v>
      </c>
      <c r="Z167" s="67"/>
      <c r="AA167" s="71">
        <v>37834</v>
      </c>
      <c r="AB167" s="72">
        <v>376.8</v>
      </c>
      <c r="AC167" s="72">
        <v>356</v>
      </c>
      <c r="AD167" s="73">
        <f t="shared" si="24"/>
        <v>5.8426966292134841E-2</v>
      </c>
      <c r="AE167" s="67"/>
      <c r="AF167" s="71">
        <v>37834</v>
      </c>
      <c r="AG167" s="72">
        <v>98.1</v>
      </c>
      <c r="AH167" s="72">
        <v>96.87</v>
      </c>
      <c r="AI167" s="73">
        <f t="shared" si="25"/>
        <v>1.2697429544750616E-2</v>
      </c>
      <c r="AJ167" s="67"/>
      <c r="AK167" s="74">
        <v>37864</v>
      </c>
      <c r="AL167" s="41">
        <v>4.4500000000000005E-2</v>
      </c>
      <c r="AM167" s="41">
        <f t="shared" si="27"/>
        <v>-3.9999999999999758E-4</v>
      </c>
      <c r="AN167" s="67"/>
      <c r="AO167" s="75">
        <v>37834</v>
      </c>
      <c r="AP167" s="76">
        <v>614118.80000000005</v>
      </c>
      <c r="AQ167" s="80">
        <f t="shared" si="7"/>
        <v>7.2921057681740731E-3</v>
      </c>
      <c r="AR167" s="67"/>
      <c r="AS167" s="94">
        <v>37834</v>
      </c>
      <c r="AT167" s="78">
        <v>0.93340000000000001</v>
      </c>
      <c r="AU167" s="67"/>
      <c r="AV167" s="79">
        <v>37834</v>
      </c>
      <c r="AW167" s="76">
        <v>263553</v>
      </c>
      <c r="AX167" s="80">
        <f t="shared" si="8"/>
        <v>5.1582662885845121E-3</v>
      </c>
      <c r="AY167" s="67"/>
      <c r="AZ167" s="81">
        <v>37834</v>
      </c>
      <c r="BA167" s="82">
        <v>138.23092651367188</v>
      </c>
      <c r="BB167" s="82">
        <v>109.64905548095703</v>
      </c>
      <c r="BC167" s="67"/>
      <c r="BD167" s="83">
        <v>37848</v>
      </c>
      <c r="BE167" s="42">
        <v>5574</v>
      </c>
      <c r="BF167" s="41">
        <f t="shared" si="9"/>
        <v>1.3823208439432522E-2</v>
      </c>
      <c r="BG167" s="67"/>
      <c r="BH167" s="84">
        <v>37834</v>
      </c>
      <c r="BI167" s="85">
        <v>90.919700000000006</v>
      </c>
      <c r="BJ167" s="87">
        <f t="shared" si="10"/>
        <v>-2.1817742829391973E-3</v>
      </c>
      <c r="BK167" s="67"/>
      <c r="BL167" s="84">
        <v>37834</v>
      </c>
      <c r="BM167" s="86">
        <v>39.702651000000003</v>
      </c>
      <c r="BN167" s="67"/>
      <c r="BO167" s="88">
        <v>37834</v>
      </c>
      <c r="BP167" s="89">
        <v>0.80800000000000005</v>
      </c>
      <c r="BQ167" s="89">
        <v>0.82250000000000001</v>
      </c>
      <c r="BR167" s="90">
        <f t="shared" si="5"/>
        <v>-1.7629179331306921E-2</v>
      </c>
    </row>
    <row r="168" spans="1:70">
      <c r="A168" s="62">
        <v>37865</v>
      </c>
      <c r="B168" s="63">
        <v>37865</v>
      </c>
      <c r="C168" s="39">
        <v>29.2</v>
      </c>
      <c r="D168" s="64">
        <v>31.28</v>
      </c>
      <c r="E168" s="40">
        <f t="shared" si="21"/>
        <v>-6.6496163682864484E-2</v>
      </c>
      <c r="F168" s="65"/>
      <c r="G168" s="63">
        <v>37865</v>
      </c>
      <c r="H168" s="39">
        <v>22.72</v>
      </c>
      <c r="I168" s="39">
        <v>19.309999999999999</v>
      </c>
      <c r="J168" s="40">
        <f t="shared" si="26"/>
        <v>0.17659243915069922</v>
      </c>
      <c r="K168" s="67"/>
      <c r="L168" s="68">
        <v>37865</v>
      </c>
      <c r="M168" s="98">
        <v>996</v>
      </c>
      <c r="N168" s="98">
        <v>1008</v>
      </c>
      <c r="O168" s="70">
        <f t="shared" si="22"/>
        <v>-1.1904761904761862E-2</v>
      </c>
      <c r="P168" s="67"/>
      <c r="Q168" s="38">
        <v>37865</v>
      </c>
      <c r="R168" s="39">
        <v>4.83</v>
      </c>
      <c r="S168" s="39">
        <v>4.7</v>
      </c>
      <c r="T168" s="40">
        <f t="shared" si="28"/>
        <v>2.765957446808498E-2</v>
      </c>
      <c r="U168" s="67"/>
      <c r="V168" s="38">
        <v>37865</v>
      </c>
      <c r="W168" s="39">
        <v>0.78749999999999998</v>
      </c>
      <c r="X168" s="39">
        <v>0.83069999999999999</v>
      </c>
      <c r="Y168" s="40">
        <f t="shared" si="23"/>
        <v>-5.2004333694474547E-2</v>
      </c>
      <c r="Z168" s="67"/>
      <c r="AA168" s="71">
        <v>37865</v>
      </c>
      <c r="AB168" s="72">
        <v>386.1</v>
      </c>
      <c r="AC168" s="72">
        <v>376.8</v>
      </c>
      <c r="AD168" s="73">
        <f t="shared" si="24"/>
        <v>2.468152866242046E-2</v>
      </c>
      <c r="AE168" s="67"/>
      <c r="AF168" s="71">
        <v>37865</v>
      </c>
      <c r="AG168" s="72">
        <v>92.85</v>
      </c>
      <c r="AH168" s="72">
        <v>97.88</v>
      </c>
      <c r="AI168" s="73">
        <f t="shared" si="25"/>
        <v>-5.1389456477319184E-2</v>
      </c>
      <c r="AJ168" s="67"/>
      <c r="AK168" s="74">
        <v>37894</v>
      </c>
      <c r="AL168" s="41">
        <v>3.9599999999999996E-2</v>
      </c>
      <c r="AM168" s="41">
        <f t="shared" si="27"/>
        <v>-4.9000000000000085E-3</v>
      </c>
      <c r="AN168" s="67"/>
      <c r="AO168" s="75">
        <v>37865</v>
      </c>
      <c r="AP168" s="76">
        <v>620512.75</v>
      </c>
      <c r="AQ168" s="80">
        <f t="shared" si="7"/>
        <v>1.0411584859476575E-2</v>
      </c>
      <c r="AR168" s="67"/>
      <c r="AS168" s="94">
        <v>37865</v>
      </c>
      <c r="AT168" s="78">
        <v>0.9325</v>
      </c>
      <c r="AU168" s="67"/>
      <c r="AV168" s="79">
        <v>37865</v>
      </c>
      <c r="AW168" s="76">
        <v>262879</v>
      </c>
      <c r="AX168" s="80">
        <f t="shared" si="8"/>
        <v>-2.557360379126794E-3</v>
      </c>
      <c r="AY168" s="67"/>
      <c r="AZ168" s="81">
        <v>37865</v>
      </c>
      <c r="BA168" s="82">
        <v>118.19628143310547</v>
      </c>
      <c r="BB168" s="82">
        <v>99.720466613769531</v>
      </c>
      <c r="BC168" s="67"/>
      <c r="BD168" s="83">
        <v>37879</v>
      </c>
      <c r="BE168" s="42">
        <v>5609</v>
      </c>
      <c r="BF168" s="41">
        <f t="shared" si="9"/>
        <v>6.2791532113384285E-3</v>
      </c>
      <c r="BG168" s="67"/>
      <c r="BH168" s="84">
        <v>37865</v>
      </c>
      <c r="BI168" s="85">
        <v>91.505899999999997</v>
      </c>
      <c r="BJ168" s="87">
        <f t="shared" si="10"/>
        <v>6.447447582867083E-3</v>
      </c>
      <c r="BK168" s="67"/>
      <c r="BL168" s="84">
        <v>37865</v>
      </c>
      <c r="BM168" s="86">
        <v>47.002999000000003</v>
      </c>
      <c r="BN168" s="67"/>
      <c r="BO168" s="88">
        <v>37865</v>
      </c>
      <c r="BP168" s="89">
        <v>0.81850000000000001</v>
      </c>
      <c r="BQ168" s="89">
        <v>0.81799999999999995</v>
      </c>
      <c r="BR168" s="90">
        <f t="shared" si="5"/>
        <v>6.1124694376535338E-4</v>
      </c>
    </row>
    <row r="169" spans="1:70">
      <c r="A169" s="62">
        <v>37895</v>
      </c>
      <c r="B169" s="63">
        <v>37895</v>
      </c>
      <c r="C169" s="39">
        <v>29.11</v>
      </c>
      <c r="D169" s="64">
        <v>29.15</v>
      </c>
      <c r="E169" s="40">
        <f t="shared" si="21"/>
        <v>-1.3722126929673895E-3</v>
      </c>
      <c r="F169" s="65"/>
      <c r="G169" s="63">
        <v>37895</v>
      </c>
      <c r="H169" s="39">
        <v>16.100000000000001</v>
      </c>
      <c r="I169" s="39">
        <v>22.81</v>
      </c>
      <c r="J169" s="40">
        <f t="shared" si="26"/>
        <v>-0.29416922402455048</v>
      </c>
      <c r="K169" s="67"/>
      <c r="L169" s="68">
        <v>37895</v>
      </c>
      <c r="M169" s="98">
        <v>1050.7</v>
      </c>
      <c r="N169" s="98">
        <v>996</v>
      </c>
      <c r="O169" s="70">
        <f t="shared" si="22"/>
        <v>5.4919678714859588E-2</v>
      </c>
      <c r="P169" s="67"/>
      <c r="Q169" s="38">
        <v>37895</v>
      </c>
      <c r="R169" s="39">
        <v>4.8929999999999998</v>
      </c>
      <c r="S169" s="39">
        <v>4.83</v>
      </c>
      <c r="T169" s="40">
        <f t="shared" si="28"/>
        <v>1.304347826086949E-2</v>
      </c>
      <c r="U169" s="67"/>
      <c r="V169" s="38">
        <v>37895</v>
      </c>
      <c r="W169" s="39">
        <v>0.8004</v>
      </c>
      <c r="X169" s="39">
        <v>0.79400000000000004</v>
      </c>
      <c r="Y169" s="40">
        <f t="shared" si="23"/>
        <v>8.0604534005037642E-3</v>
      </c>
      <c r="Z169" s="67"/>
      <c r="AA169" s="71">
        <v>37895</v>
      </c>
      <c r="AB169" s="72">
        <v>384.6</v>
      </c>
      <c r="AC169" s="72">
        <v>385.9</v>
      </c>
      <c r="AD169" s="73">
        <f t="shared" si="24"/>
        <v>-3.3687483804093477E-3</v>
      </c>
      <c r="AE169" s="67"/>
      <c r="AF169" s="71">
        <v>37895</v>
      </c>
      <c r="AG169" s="72">
        <v>92.73</v>
      </c>
      <c r="AH169" s="72">
        <v>92.73</v>
      </c>
      <c r="AI169" s="73">
        <f t="shared" si="25"/>
        <v>0</v>
      </c>
      <c r="AJ169" s="67"/>
      <c r="AK169" s="74">
        <v>37925</v>
      </c>
      <c r="AL169" s="41">
        <v>4.3299999999999998E-2</v>
      </c>
      <c r="AM169" s="41">
        <f t="shared" si="27"/>
        <v>3.7000000000000019E-3</v>
      </c>
      <c r="AN169" s="67"/>
      <c r="AO169" s="75">
        <v>37895</v>
      </c>
      <c r="AP169" s="76">
        <v>627064</v>
      </c>
      <c r="AQ169" s="80">
        <f t="shared" si="7"/>
        <v>1.0557800786527016E-2</v>
      </c>
      <c r="AR169" s="67"/>
      <c r="AS169" s="94">
        <v>37895</v>
      </c>
      <c r="AT169" s="78">
        <v>0.92</v>
      </c>
      <c r="AU169" s="67"/>
      <c r="AV169" s="79">
        <v>37895</v>
      </c>
      <c r="AW169" s="76">
        <v>272649.40000000002</v>
      </c>
      <c r="AX169" s="80">
        <f t="shared" si="8"/>
        <v>3.7166909490678357E-2</v>
      </c>
      <c r="AY169" s="67"/>
      <c r="AZ169" s="81">
        <v>37895</v>
      </c>
      <c r="BA169" s="82">
        <v>108.3173828125</v>
      </c>
      <c r="BB169" s="82">
        <v>93.028327941894531</v>
      </c>
      <c r="BC169" s="67"/>
      <c r="BD169" s="83">
        <v>37909</v>
      </c>
      <c r="BE169" s="42">
        <v>5614</v>
      </c>
      <c r="BF169" s="41">
        <f t="shared" si="9"/>
        <v>8.9142449634516119E-4</v>
      </c>
      <c r="BG169" s="67"/>
      <c r="BH169" s="84">
        <v>37895</v>
      </c>
      <c r="BI169" s="85">
        <v>91.618600000000001</v>
      </c>
      <c r="BJ169" s="87">
        <f t="shared" si="10"/>
        <v>1.231614573486528E-3</v>
      </c>
      <c r="BK169" s="67"/>
      <c r="BL169" s="84">
        <v>37895</v>
      </c>
      <c r="BM169" s="86">
        <v>99.764060000000001</v>
      </c>
      <c r="BN169" s="67"/>
      <c r="BO169" s="88">
        <v>37895</v>
      </c>
      <c r="BP169" s="89">
        <v>0.94099999999999995</v>
      </c>
      <c r="BQ169" s="89">
        <v>0.81899999999999995</v>
      </c>
      <c r="BR169" s="90">
        <f t="shared" si="5"/>
        <v>0.14896214896214888</v>
      </c>
    </row>
    <row r="170" spans="1:70">
      <c r="A170" s="62">
        <v>37926</v>
      </c>
      <c r="B170" s="63">
        <v>37926</v>
      </c>
      <c r="C170" s="39">
        <v>30.41</v>
      </c>
      <c r="D170" s="64">
        <v>29.13</v>
      </c>
      <c r="E170" s="40">
        <f t="shared" si="21"/>
        <v>4.3940954342602145E-2</v>
      </c>
      <c r="F170" s="65"/>
      <c r="G170" s="63">
        <v>37926</v>
      </c>
      <c r="H170" s="39">
        <v>16.32</v>
      </c>
      <c r="I170" s="39">
        <v>16.329999999999998</v>
      </c>
      <c r="J170" s="40">
        <f t="shared" si="26"/>
        <v>-6.1236987140222965E-4</v>
      </c>
      <c r="K170" s="67"/>
      <c r="L170" s="68">
        <v>37926</v>
      </c>
      <c r="M170" s="98">
        <v>1058.2</v>
      </c>
      <c r="N170" s="98">
        <v>1050.7</v>
      </c>
      <c r="O170" s="70">
        <f t="shared" si="22"/>
        <v>7.1380984105833267E-3</v>
      </c>
      <c r="P170" s="67"/>
      <c r="Q170" s="38">
        <v>37926</v>
      </c>
      <c r="R170" s="39">
        <v>4.9249999999999998</v>
      </c>
      <c r="S170" s="39">
        <v>4.8899999999999997</v>
      </c>
      <c r="T170" s="40">
        <f t="shared" si="28"/>
        <v>7.1574642126790433E-3</v>
      </c>
      <c r="U170" s="67"/>
      <c r="V170" s="38">
        <v>37926</v>
      </c>
      <c r="W170" s="39">
        <v>0.8427</v>
      </c>
      <c r="X170" s="39">
        <v>0.8075</v>
      </c>
      <c r="Y170" s="40">
        <f t="shared" si="23"/>
        <v>4.3591331269349887E-2</v>
      </c>
      <c r="Z170" s="67"/>
      <c r="AA170" s="71">
        <v>37926</v>
      </c>
      <c r="AB170" s="72">
        <v>396.8</v>
      </c>
      <c r="AC170" s="72">
        <v>384.7</v>
      </c>
      <c r="AD170" s="73">
        <f t="shared" si="24"/>
        <v>3.1453080322329185E-2</v>
      </c>
      <c r="AE170" s="67"/>
      <c r="AF170" s="71">
        <v>37926</v>
      </c>
      <c r="AG170" s="72">
        <v>90.21</v>
      </c>
      <c r="AH170" s="72">
        <v>92.64</v>
      </c>
      <c r="AI170" s="73">
        <f t="shared" si="25"/>
        <v>-2.6230569948186622E-2</v>
      </c>
      <c r="AJ170" s="67"/>
      <c r="AK170" s="74">
        <v>37955</v>
      </c>
      <c r="AL170" s="41">
        <v>4.3400000000000001E-2</v>
      </c>
      <c r="AM170" s="41">
        <f t="shared" si="27"/>
        <v>1.0000000000000286E-4</v>
      </c>
      <c r="AN170" s="67"/>
      <c r="AO170" s="75">
        <v>37926</v>
      </c>
      <c r="AP170" s="76">
        <v>632361.5</v>
      </c>
      <c r="AQ170" s="80">
        <f t="shared" si="7"/>
        <v>8.4481009912864558E-3</v>
      </c>
      <c r="AR170" s="67"/>
      <c r="AS170" s="94">
        <v>37926</v>
      </c>
      <c r="AT170" s="78">
        <v>0.92174999999999996</v>
      </c>
      <c r="AU170" s="67"/>
      <c r="AV170" s="79">
        <v>37926</v>
      </c>
      <c r="AW170" s="76">
        <v>272505.75</v>
      </c>
      <c r="AX170" s="80">
        <f t="shared" si="8"/>
        <v>-5.2686710478744292E-4</v>
      </c>
      <c r="AY170" s="67"/>
      <c r="AZ170" s="81">
        <v>37926</v>
      </c>
      <c r="BA170" s="82">
        <v>118.08669281005859</v>
      </c>
      <c r="BB170" s="82">
        <v>93.331588745117188</v>
      </c>
      <c r="BC170" s="67"/>
      <c r="BD170" s="83">
        <v>37940</v>
      </c>
      <c r="BE170" s="42">
        <v>5547</v>
      </c>
      <c r="BF170" s="41">
        <f t="shared" si="9"/>
        <v>-1.1934449590309981E-2</v>
      </c>
      <c r="BG170" s="67"/>
      <c r="BH170" s="84">
        <v>37926</v>
      </c>
      <c r="BI170" s="85">
        <v>92.232900000000001</v>
      </c>
      <c r="BJ170" s="87">
        <f t="shared" si="10"/>
        <v>6.7049703881090217E-3</v>
      </c>
      <c r="BK170" s="67"/>
      <c r="BL170" s="84">
        <v>37926</v>
      </c>
      <c r="BM170" s="86">
        <v>101.94566</v>
      </c>
      <c r="BN170" s="67"/>
      <c r="BO170" s="88">
        <v>37926</v>
      </c>
      <c r="BP170" s="89">
        <v>0.91249999999999998</v>
      </c>
      <c r="BQ170" s="89">
        <v>0.93700000000000006</v>
      </c>
      <c r="BR170" s="90">
        <f t="shared" si="5"/>
        <v>-2.6147278548559361E-2</v>
      </c>
    </row>
    <row r="171" spans="1:70">
      <c r="A171" s="62">
        <v>37956</v>
      </c>
      <c r="B171" s="63">
        <v>37956</v>
      </c>
      <c r="C171" s="39">
        <v>32.520000000000003</v>
      </c>
      <c r="D171" s="64">
        <v>30.26</v>
      </c>
      <c r="E171" s="40">
        <f t="shared" si="21"/>
        <v>7.4686054196959839E-2</v>
      </c>
      <c r="F171" s="65"/>
      <c r="G171" s="63">
        <v>37956</v>
      </c>
      <c r="H171" s="39">
        <v>18.309999999999999</v>
      </c>
      <c r="I171" s="39">
        <v>16.739999999999998</v>
      </c>
      <c r="J171" s="40">
        <f t="shared" si="26"/>
        <v>9.3787335722819609E-2</v>
      </c>
      <c r="K171" s="67"/>
      <c r="L171" s="68">
        <v>37956</v>
      </c>
      <c r="M171" s="98">
        <v>1111.9000000000001</v>
      </c>
      <c r="N171" s="98">
        <v>1058.2</v>
      </c>
      <c r="O171" s="70">
        <f t="shared" si="22"/>
        <v>5.0746550746550767E-2</v>
      </c>
      <c r="P171" s="67"/>
      <c r="Q171" s="38">
        <v>37956</v>
      </c>
      <c r="R171" s="39">
        <v>6.1890000000000001</v>
      </c>
      <c r="S171" s="39">
        <v>4.8899999999999997</v>
      </c>
      <c r="T171" s="40">
        <f t="shared" si="28"/>
        <v>0.26564417177914113</v>
      </c>
      <c r="U171" s="67"/>
      <c r="V171" s="38">
        <v>37956</v>
      </c>
      <c r="W171" s="39">
        <v>0.91459999999999997</v>
      </c>
      <c r="X171" s="39">
        <v>0.84</v>
      </c>
      <c r="Y171" s="40">
        <f t="shared" si="23"/>
        <v>8.8809523809523894E-2</v>
      </c>
      <c r="Z171" s="67"/>
      <c r="AA171" s="71">
        <v>37956</v>
      </c>
      <c r="AB171" s="72">
        <v>416.1</v>
      </c>
      <c r="AC171" s="72">
        <v>398.9</v>
      </c>
      <c r="AD171" s="73">
        <f t="shared" si="24"/>
        <v>4.3118576084231863E-2</v>
      </c>
      <c r="AE171" s="67"/>
      <c r="AF171" s="71">
        <v>37956</v>
      </c>
      <c r="AG171" s="72">
        <v>86.92</v>
      </c>
      <c r="AH171" s="72">
        <v>90.16</v>
      </c>
      <c r="AI171" s="73">
        <f t="shared" si="25"/>
        <v>-3.5936113575865125E-2</v>
      </c>
      <c r="AJ171" s="67"/>
      <c r="AK171" s="74">
        <v>37986</v>
      </c>
      <c r="AL171" s="41">
        <v>4.2699999999999995E-2</v>
      </c>
      <c r="AM171" s="41">
        <f t="shared" si="27"/>
        <v>-7.0000000000000617E-4</v>
      </c>
      <c r="AN171" s="67"/>
      <c r="AO171" s="75">
        <v>37956</v>
      </c>
      <c r="AP171" s="76">
        <v>635223</v>
      </c>
      <c r="AQ171" s="80">
        <f t="shared" si="7"/>
        <v>4.5251015439744524E-3</v>
      </c>
      <c r="AR171" s="67"/>
      <c r="AS171" s="94">
        <v>37956</v>
      </c>
      <c r="AT171" s="78">
        <v>0.92374999999999996</v>
      </c>
      <c r="AU171" s="67"/>
      <c r="AV171" s="79">
        <v>37956</v>
      </c>
      <c r="AW171" s="76">
        <v>257757.25</v>
      </c>
      <c r="AX171" s="80">
        <f t="shared" si="8"/>
        <v>-5.4121793760315118E-2</v>
      </c>
      <c r="AY171" s="67"/>
      <c r="AZ171" s="81">
        <v>37956</v>
      </c>
      <c r="BA171" s="82">
        <v>129.46507263183594</v>
      </c>
      <c r="BB171" s="82">
        <v>107.44403839111328</v>
      </c>
      <c r="BC171" s="67"/>
      <c r="BD171" s="83">
        <v>37970</v>
      </c>
      <c r="BE171" s="42">
        <v>5571</v>
      </c>
      <c r="BF171" s="41">
        <f t="shared" si="9"/>
        <v>4.3266630611140666E-3</v>
      </c>
      <c r="BG171" s="67"/>
      <c r="BH171" s="84">
        <v>37956</v>
      </c>
      <c r="BI171" s="85">
        <v>92.260199999999998</v>
      </c>
      <c r="BJ171" s="87">
        <f t="shared" si="10"/>
        <v>2.9598982575618216E-4</v>
      </c>
      <c r="BK171" s="67"/>
      <c r="BL171" s="84">
        <v>37956</v>
      </c>
      <c r="BM171" s="86">
        <v>109.95232</v>
      </c>
      <c r="BN171" s="67"/>
      <c r="BO171" s="88">
        <v>37956</v>
      </c>
      <c r="BP171" s="89">
        <v>1.0455000000000001</v>
      </c>
      <c r="BQ171" s="89">
        <v>0.95</v>
      </c>
      <c r="BR171" s="90">
        <f t="shared" si="5"/>
        <v>0.1005263157894738</v>
      </c>
    </row>
    <row r="172" spans="1:70">
      <c r="A172" s="62">
        <v>37987</v>
      </c>
      <c r="B172" s="63">
        <v>37987</v>
      </c>
      <c r="C172" s="39">
        <v>33.049999999999997</v>
      </c>
      <c r="D172" s="64">
        <v>32.4</v>
      </c>
      <c r="E172" s="40">
        <f t="shared" si="21"/>
        <v>2.0061728395061706E-2</v>
      </c>
      <c r="F172" s="65"/>
      <c r="G172" s="63">
        <v>37987</v>
      </c>
      <c r="H172" s="39">
        <v>16.63</v>
      </c>
      <c r="I172" s="39">
        <v>17.96</v>
      </c>
      <c r="J172" s="40">
        <f t="shared" si="26"/>
        <v>-7.4053452115813045E-2</v>
      </c>
      <c r="K172" s="67"/>
      <c r="L172" s="68">
        <v>37987</v>
      </c>
      <c r="M172" s="98">
        <v>1131.0999999999999</v>
      </c>
      <c r="N172" s="98">
        <v>1111.9000000000001</v>
      </c>
      <c r="O172" s="70">
        <f t="shared" si="22"/>
        <v>1.7267739904667456E-2</v>
      </c>
      <c r="P172" s="67"/>
      <c r="Q172" s="38">
        <v>37987</v>
      </c>
      <c r="R172" s="39">
        <v>5.3970000000000002</v>
      </c>
      <c r="S172" s="39">
        <v>6.32</v>
      </c>
      <c r="T172" s="40">
        <f t="shared" si="28"/>
        <v>-0.14604430379746836</v>
      </c>
      <c r="U172" s="67"/>
      <c r="V172" s="38">
        <v>37987</v>
      </c>
      <c r="W172" s="39">
        <v>0.91559999999999997</v>
      </c>
      <c r="X172" s="39">
        <v>0.90390000000000004</v>
      </c>
      <c r="Y172" s="40">
        <f t="shared" si="23"/>
        <v>1.294390972452697E-2</v>
      </c>
      <c r="Z172" s="67"/>
      <c r="AA172" s="71">
        <v>37987</v>
      </c>
      <c r="AB172" s="72">
        <v>402.9</v>
      </c>
      <c r="AC172" s="72">
        <v>416.8</v>
      </c>
      <c r="AD172" s="73">
        <f t="shared" si="24"/>
        <v>-3.3349328214971274E-2</v>
      </c>
      <c r="AE172" s="67"/>
      <c r="AF172" s="71">
        <v>37987</v>
      </c>
      <c r="AG172" s="72">
        <v>87.2</v>
      </c>
      <c r="AH172" s="72">
        <v>86.79</v>
      </c>
      <c r="AI172" s="73">
        <f t="shared" si="25"/>
        <v>4.7240465491416028E-3</v>
      </c>
      <c r="AJ172" s="67"/>
      <c r="AK172" s="74">
        <v>38017</v>
      </c>
      <c r="AL172" s="41">
        <v>4.1599999999999998E-2</v>
      </c>
      <c r="AM172" s="41">
        <f t="shared" si="27"/>
        <v>-1.0999999999999968E-3</v>
      </c>
      <c r="AN172" s="67"/>
      <c r="AO172" s="75">
        <v>37987</v>
      </c>
      <c r="AP172" s="76">
        <v>639724</v>
      </c>
      <c r="AQ172" s="80">
        <f t="shared" si="7"/>
        <v>7.0857006122260202E-3</v>
      </c>
      <c r="AR172" s="67"/>
      <c r="AS172" s="94">
        <v>37987</v>
      </c>
      <c r="AT172" s="78">
        <v>0.8992</v>
      </c>
      <c r="AU172" s="67"/>
      <c r="AV172" s="79">
        <v>37987</v>
      </c>
      <c r="AW172" s="76">
        <v>250329</v>
      </c>
      <c r="AX172" s="80">
        <f t="shared" si="8"/>
        <v>-2.8818782012921096E-2</v>
      </c>
      <c r="AY172" s="67"/>
      <c r="AZ172" s="81">
        <v>37987</v>
      </c>
      <c r="BA172" s="82">
        <v>113.46759033203125</v>
      </c>
      <c r="BB172" s="82">
        <v>106.71729278564453</v>
      </c>
      <c r="BC172" s="67"/>
      <c r="BD172" s="83">
        <v>38001</v>
      </c>
      <c r="BE172" s="42">
        <v>5585</v>
      </c>
      <c r="BF172" s="41">
        <f t="shared" si="9"/>
        <v>2.5130138215760933E-3</v>
      </c>
      <c r="BG172" s="67"/>
      <c r="BH172" s="84">
        <v>37987</v>
      </c>
      <c r="BI172" s="85">
        <v>92.400599999999997</v>
      </c>
      <c r="BJ172" s="87">
        <f t="shared" si="10"/>
        <v>1.5217829573315189E-3</v>
      </c>
      <c r="BK172" s="67"/>
      <c r="BL172" s="84">
        <v>37987</v>
      </c>
      <c r="BM172" s="86">
        <v>122.31026</v>
      </c>
      <c r="BN172" s="67"/>
      <c r="BO172" s="88">
        <v>37987</v>
      </c>
      <c r="BP172" s="89">
        <v>1.1419999999999999</v>
      </c>
      <c r="BQ172" s="89">
        <v>1.0625</v>
      </c>
      <c r="BR172" s="90">
        <f t="shared" si="5"/>
        <v>7.4823529411764511E-2</v>
      </c>
    </row>
    <row r="173" spans="1:70">
      <c r="A173" s="62">
        <v>38018</v>
      </c>
      <c r="B173" s="63">
        <v>38018</v>
      </c>
      <c r="C173" s="39">
        <v>36.159999999999997</v>
      </c>
      <c r="D173" s="64">
        <v>33.200000000000003</v>
      </c>
      <c r="E173" s="40">
        <f t="shared" si="21"/>
        <v>8.9156626506023962E-2</v>
      </c>
      <c r="F173" s="65"/>
      <c r="G173" s="63">
        <v>38018</v>
      </c>
      <c r="H173" s="39">
        <v>14.55</v>
      </c>
      <c r="I173" s="39">
        <v>17.45</v>
      </c>
      <c r="J173" s="40">
        <f t="shared" si="26"/>
        <v>-0.16618911174785089</v>
      </c>
      <c r="K173" s="67"/>
      <c r="L173" s="68">
        <v>38018</v>
      </c>
      <c r="M173" s="98">
        <v>1144.9000000000001</v>
      </c>
      <c r="N173" s="98">
        <v>1131.0999999999999</v>
      </c>
      <c r="O173" s="70">
        <f t="shared" si="22"/>
        <v>1.2200512775174754E-2</v>
      </c>
      <c r="P173" s="67"/>
      <c r="Q173" s="38">
        <v>38018</v>
      </c>
      <c r="R173" s="39">
        <v>5.4160000000000004</v>
      </c>
      <c r="S173" s="39">
        <v>5.45</v>
      </c>
      <c r="T173" s="40">
        <f t="shared" si="28"/>
        <v>-6.2385321100917324E-3</v>
      </c>
      <c r="U173" s="67"/>
      <c r="V173" s="38">
        <v>38018</v>
      </c>
      <c r="W173" s="39">
        <v>0.94189999999999996</v>
      </c>
      <c r="X173" s="39">
        <v>0.86</v>
      </c>
      <c r="Y173" s="40">
        <f t="shared" si="23"/>
        <v>9.5232558139534795E-2</v>
      </c>
      <c r="Z173" s="67"/>
      <c r="AA173" s="71">
        <v>38018</v>
      </c>
      <c r="AB173" s="72">
        <v>396.8</v>
      </c>
      <c r="AC173" s="72">
        <v>403.1</v>
      </c>
      <c r="AD173" s="73">
        <f t="shared" si="24"/>
        <v>-1.5628876209377363E-2</v>
      </c>
      <c r="AE173" s="67"/>
      <c r="AF173" s="71">
        <v>38018</v>
      </c>
      <c r="AG173" s="72">
        <v>87.31</v>
      </c>
      <c r="AH173" s="72">
        <v>87.14</v>
      </c>
      <c r="AI173" s="73">
        <f t="shared" si="25"/>
        <v>1.9508836355290882E-3</v>
      </c>
      <c r="AJ173" s="67"/>
      <c r="AK173" s="74">
        <v>38046</v>
      </c>
      <c r="AL173" s="41">
        <v>3.9900000000000005E-2</v>
      </c>
      <c r="AM173" s="41">
        <f t="shared" si="27"/>
        <v>-1.6999999999999932E-3</v>
      </c>
      <c r="AN173" s="67"/>
      <c r="AO173" s="75">
        <v>38018</v>
      </c>
      <c r="AP173" s="76">
        <v>644301.75</v>
      </c>
      <c r="AQ173" s="80">
        <f t="shared" si="7"/>
        <v>7.1558203225141614E-3</v>
      </c>
      <c r="AR173" s="67"/>
      <c r="AS173" s="94">
        <v>38018</v>
      </c>
      <c r="AT173" s="78">
        <v>0.89124999999999999</v>
      </c>
      <c r="AU173" s="67"/>
      <c r="AV173" s="79">
        <v>38018</v>
      </c>
      <c r="AW173" s="76">
        <v>256367</v>
      </c>
      <c r="AX173" s="80">
        <f t="shared" si="8"/>
        <v>2.4120257740813056E-2</v>
      </c>
      <c r="AY173" s="67"/>
      <c r="AZ173" s="81">
        <v>38018</v>
      </c>
      <c r="BA173" s="82">
        <v>115.07597351074219</v>
      </c>
      <c r="BB173" s="82">
        <v>104.11482238769531</v>
      </c>
      <c r="BC173" s="67"/>
      <c r="BD173" s="83">
        <v>38032</v>
      </c>
      <c r="BE173" s="42">
        <v>5572</v>
      </c>
      <c r="BF173" s="41">
        <f t="shared" si="9"/>
        <v>-2.3276633840644267E-3</v>
      </c>
      <c r="BG173" s="67"/>
      <c r="BH173" s="84">
        <v>38018</v>
      </c>
      <c r="BI173" s="85">
        <v>92.957999999999998</v>
      </c>
      <c r="BJ173" s="87">
        <f t="shared" si="10"/>
        <v>6.0324283608548246E-3</v>
      </c>
      <c r="BK173" s="67"/>
      <c r="BL173" s="84">
        <v>38018</v>
      </c>
      <c r="BM173" s="86">
        <v>126.40271</v>
      </c>
      <c r="BN173" s="67"/>
      <c r="BO173" s="88">
        <v>38018</v>
      </c>
      <c r="BP173" s="89">
        <v>1.3460000000000001</v>
      </c>
      <c r="BQ173" s="89">
        <v>1.1479999999999999</v>
      </c>
      <c r="BR173" s="90">
        <f t="shared" si="5"/>
        <v>0.17247386759581906</v>
      </c>
    </row>
    <row r="174" spans="1:70">
      <c r="A174" s="62">
        <v>38047</v>
      </c>
      <c r="B174" s="63">
        <v>38047</v>
      </c>
      <c r="C174" s="39">
        <v>35.76</v>
      </c>
      <c r="D174" s="64">
        <v>36.159999999999997</v>
      </c>
      <c r="E174" s="40">
        <f t="shared" si="21"/>
        <v>-1.1061946902654829E-2</v>
      </c>
      <c r="F174" s="65"/>
      <c r="G174" s="63">
        <v>38047</v>
      </c>
      <c r="H174" s="39">
        <v>16.739999999999998</v>
      </c>
      <c r="I174" s="39">
        <v>14.91</v>
      </c>
      <c r="J174" s="40">
        <f t="shared" si="26"/>
        <v>0.1227364185110662</v>
      </c>
      <c r="K174" s="67"/>
      <c r="L174" s="68">
        <v>38047</v>
      </c>
      <c r="M174" s="98">
        <v>1126.2</v>
      </c>
      <c r="N174" s="98">
        <v>1144.9000000000001</v>
      </c>
      <c r="O174" s="70">
        <f t="shared" si="22"/>
        <v>-1.6333304218709044E-2</v>
      </c>
      <c r="P174" s="67"/>
      <c r="Q174" s="38">
        <v>38047</v>
      </c>
      <c r="R174" s="39">
        <v>5.9329999999999998</v>
      </c>
      <c r="S174" s="39">
        <v>5.35</v>
      </c>
      <c r="T174" s="40">
        <f t="shared" si="28"/>
        <v>0.1089719626168224</v>
      </c>
      <c r="U174" s="67"/>
      <c r="V174" s="38">
        <v>38047</v>
      </c>
      <c r="W174" s="39">
        <v>0.89559999999999995</v>
      </c>
      <c r="X174" s="39">
        <v>0.90749999999999997</v>
      </c>
      <c r="Y174" s="40">
        <f t="shared" si="23"/>
        <v>-1.3112947658402208E-2</v>
      </c>
      <c r="Z174" s="67"/>
      <c r="AA174" s="71">
        <v>38047</v>
      </c>
      <c r="AB174" s="72">
        <v>428.3</v>
      </c>
      <c r="AC174" s="72">
        <v>397.5</v>
      </c>
      <c r="AD174" s="73">
        <f t="shared" si="24"/>
        <v>7.748427672955982E-2</v>
      </c>
      <c r="AE174" s="67"/>
      <c r="AF174" s="71">
        <v>38047</v>
      </c>
      <c r="AG174" s="72">
        <v>87.61</v>
      </c>
      <c r="AH174" s="72">
        <v>87.1</v>
      </c>
      <c r="AI174" s="73">
        <f t="shared" si="25"/>
        <v>5.8553386911597283E-3</v>
      </c>
      <c r="AJ174" s="67"/>
      <c r="AK174" s="74">
        <v>38077</v>
      </c>
      <c r="AL174" s="41">
        <v>3.8599999999999995E-2</v>
      </c>
      <c r="AM174" s="41">
        <f t="shared" si="27"/>
        <v>-1.3000000000000095E-3</v>
      </c>
      <c r="AN174" s="67"/>
      <c r="AO174" s="75">
        <v>38047</v>
      </c>
      <c r="AP174" s="76">
        <v>649048.25</v>
      </c>
      <c r="AQ174" s="80">
        <f t="shared" si="7"/>
        <v>7.3668898152146056E-3</v>
      </c>
      <c r="AR174" s="67"/>
      <c r="AS174" s="94">
        <v>38047</v>
      </c>
      <c r="AT174" s="78">
        <v>0.88324999999999998</v>
      </c>
      <c r="AU174" s="67"/>
      <c r="AV174" s="79">
        <v>38047</v>
      </c>
      <c r="AW174" s="76">
        <v>269104.5</v>
      </c>
      <c r="AX174" s="80">
        <f t="shared" si="8"/>
        <v>4.9684631797384249E-2</v>
      </c>
      <c r="AY174" s="67"/>
      <c r="AZ174" s="81">
        <v>38047</v>
      </c>
      <c r="BA174" s="82">
        <v>138.53207397460938</v>
      </c>
      <c r="BB174" s="82">
        <v>109.12393951416016</v>
      </c>
      <c r="BC174" s="67"/>
      <c r="BD174" s="83">
        <v>38061</v>
      </c>
      <c r="BE174" s="42">
        <v>5617</v>
      </c>
      <c r="BF174" s="41">
        <f t="shared" si="9"/>
        <v>8.0760947595117649E-3</v>
      </c>
      <c r="BG174" s="67"/>
      <c r="BH174" s="84">
        <v>38047</v>
      </c>
      <c r="BI174" s="85">
        <v>92.586100000000002</v>
      </c>
      <c r="BJ174" s="87">
        <f t="shared" si="10"/>
        <v>-4.0007315131564969E-3</v>
      </c>
      <c r="BK174" s="67"/>
      <c r="BL174" s="84">
        <v>38047</v>
      </c>
      <c r="BM174" s="86">
        <v>120.32455</v>
      </c>
      <c r="BN174" s="67"/>
      <c r="BO174" s="88">
        <v>38047</v>
      </c>
      <c r="BP174" s="89">
        <v>1.3580000000000001</v>
      </c>
      <c r="BQ174" s="89">
        <v>1.3485</v>
      </c>
      <c r="BR174" s="90">
        <f t="shared" si="5"/>
        <v>7.0448646644420965E-3</v>
      </c>
    </row>
    <row r="175" spans="1:70">
      <c r="A175" s="62">
        <v>38078</v>
      </c>
      <c r="B175" s="63">
        <v>38078</v>
      </c>
      <c r="C175" s="39">
        <v>37.380000000000003</v>
      </c>
      <c r="D175" s="64">
        <v>35.82</v>
      </c>
      <c r="E175" s="40">
        <f t="shared" si="21"/>
        <v>4.3551088777219471E-2</v>
      </c>
      <c r="F175" s="65"/>
      <c r="G175" s="63">
        <v>38078</v>
      </c>
      <c r="H175" s="39">
        <v>17.190000000000001</v>
      </c>
      <c r="I175" s="39">
        <v>16.760000000000002</v>
      </c>
      <c r="J175" s="40">
        <f t="shared" si="26"/>
        <v>2.5656324582338907E-2</v>
      </c>
      <c r="K175" s="67"/>
      <c r="L175" s="68">
        <v>38078</v>
      </c>
      <c r="M175" s="98">
        <v>1107.3</v>
      </c>
      <c r="N175" s="98">
        <v>1126.2</v>
      </c>
      <c r="O175" s="70">
        <f t="shared" si="22"/>
        <v>-1.6782099094299507E-2</v>
      </c>
      <c r="P175" s="67"/>
      <c r="Q175" s="38">
        <v>38078</v>
      </c>
      <c r="R175" s="39">
        <v>5.8620000000000001</v>
      </c>
      <c r="S175" s="39">
        <v>5.9</v>
      </c>
      <c r="T175" s="40">
        <f t="shared" si="28"/>
        <v>-6.4406779661017044E-3</v>
      </c>
      <c r="U175" s="67"/>
      <c r="V175" s="38">
        <v>38078</v>
      </c>
      <c r="W175" s="39">
        <v>0.94489999999999996</v>
      </c>
      <c r="X175" s="39">
        <v>0.88570000000000004</v>
      </c>
      <c r="Y175" s="40">
        <f t="shared" si="23"/>
        <v>6.6839787738511847E-2</v>
      </c>
      <c r="Z175" s="67"/>
      <c r="AA175" s="71">
        <v>38078</v>
      </c>
      <c r="AB175" s="72">
        <v>387.5</v>
      </c>
      <c r="AC175" s="72">
        <v>427.5</v>
      </c>
      <c r="AD175" s="73">
        <f t="shared" si="24"/>
        <v>-9.3567251461988299E-2</v>
      </c>
      <c r="AE175" s="67"/>
      <c r="AF175" s="71">
        <v>38078</v>
      </c>
      <c r="AG175" s="72">
        <v>90.48</v>
      </c>
      <c r="AH175" s="72">
        <v>87.57</v>
      </c>
      <c r="AI175" s="73">
        <f t="shared" si="25"/>
        <v>3.3230558410414668E-2</v>
      </c>
      <c r="AJ175" s="67"/>
      <c r="AK175" s="74">
        <v>38107</v>
      </c>
      <c r="AL175" s="41">
        <v>4.53E-2</v>
      </c>
      <c r="AM175" s="41">
        <f t="shared" si="27"/>
        <v>6.7000000000000046E-3</v>
      </c>
      <c r="AN175" s="67"/>
      <c r="AO175" s="75">
        <v>38078</v>
      </c>
      <c r="AP175" s="76">
        <v>654706</v>
      </c>
      <c r="AQ175" s="80">
        <f t="shared" si="7"/>
        <v>8.7169944607354832E-3</v>
      </c>
      <c r="AR175" s="67"/>
      <c r="AS175" s="94">
        <v>38078</v>
      </c>
      <c r="AT175" s="78">
        <v>0.9081999999999999</v>
      </c>
      <c r="AU175" s="67"/>
      <c r="AV175" s="79">
        <v>38078</v>
      </c>
      <c r="AW175" s="76">
        <v>280051.8</v>
      </c>
      <c r="AX175" s="80">
        <f t="shared" si="8"/>
        <v>4.068047914471884E-2</v>
      </c>
      <c r="AY175" s="67"/>
      <c r="AZ175" s="81">
        <v>38078</v>
      </c>
      <c r="BA175" s="82">
        <v>149.63139343261719</v>
      </c>
      <c r="BB175" s="82">
        <v>121.14622497558594</v>
      </c>
      <c r="BC175" s="67"/>
      <c r="BD175" s="83">
        <v>38092</v>
      </c>
      <c r="BE175" s="42">
        <v>5560</v>
      </c>
      <c r="BF175" s="41">
        <f t="shared" si="9"/>
        <v>-1.0147765711233769E-2</v>
      </c>
      <c r="BG175" s="67"/>
      <c r="BH175" s="84">
        <v>38078</v>
      </c>
      <c r="BI175" s="85">
        <v>92.93</v>
      </c>
      <c r="BJ175" s="87">
        <f t="shared" si="10"/>
        <v>3.7143804523573909E-3</v>
      </c>
      <c r="BK175" s="67"/>
      <c r="BL175" s="84">
        <v>38078</v>
      </c>
      <c r="BM175" s="86">
        <v>106.96465000000001</v>
      </c>
      <c r="BN175" s="67"/>
      <c r="BO175" s="88">
        <v>38078</v>
      </c>
      <c r="BP175" s="89">
        <v>1.2075</v>
      </c>
      <c r="BQ175" s="89">
        <v>1.3674999999999999</v>
      </c>
      <c r="BR175" s="90">
        <f t="shared" si="5"/>
        <v>-0.11700182815356486</v>
      </c>
    </row>
    <row r="176" spans="1:70">
      <c r="A176" s="62">
        <v>38108</v>
      </c>
      <c r="B176" s="63">
        <v>38108</v>
      </c>
      <c r="C176" s="39">
        <v>39.880000000000003</v>
      </c>
      <c r="D176" s="64">
        <v>37.39</v>
      </c>
      <c r="E176" s="40">
        <f t="shared" si="21"/>
        <v>6.6595346349291207E-2</v>
      </c>
      <c r="F176" s="65"/>
      <c r="G176" s="63">
        <v>38108</v>
      </c>
      <c r="H176" s="39">
        <v>15.5</v>
      </c>
      <c r="I176" s="39">
        <v>17.690000000000001</v>
      </c>
      <c r="J176" s="40">
        <f t="shared" si="26"/>
        <v>-0.1237987563595252</v>
      </c>
      <c r="K176" s="67"/>
      <c r="L176" s="68">
        <v>38108</v>
      </c>
      <c r="M176" s="98">
        <v>1120.7</v>
      </c>
      <c r="N176" s="98">
        <v>1107.3</v>
      </c>
      <c r="O176" s="70">
        <f t="shared" si="22"/>
        <v>1.2101508173033571E-2</v>
      </c>
      <c r="P176" s="67"/>
      <c r="Q176" s="38">
        <v>38108</v>
      </c>
      <c r="R176" s="39">
        <v>6.4420000000000002</v>
      </c>
      <c r="S176" s="39">
        <v>5.8620000000000001</v>
      </c>
      <c r="T176" s="40">
        <f t="shared" si="28"/>
        <v>9.894234049812356E-2</v>
      </c>
      <c r="U176" s="67"/>
      <c r="V176" s="38">
        <v>38108</v>
      </c>
      <c r="W176" s="39">
        <v>1.0028999999999999</v>
      </c>
      <c r="X176" s="39">
        <v>0.9425</v>
      </c>
      <c r="Y176" s="40">
        <f t="shared" si="23"/>
        <v>6.4084880636604558E-2</v>
      </c>
      <c r="Z176" s="67"/>
      <c r="AA176" s="71">
        <v>38108</v>
      </c>
      <c r="AB176" s="72">
        <v>394.9</v>
      </c>
      <c r="AC176" s="72">
        <v>388.9</v>
      </c>
      <c r="AD176" s="73">
        <f t="shared" si="24"/>
        <v>1.5428130624839387E-2</v>
      </c>
      <c r="AE176" s="67"/>
      <c r="AF176" s="71">
        <v>38108</v>
      </c>
      <c r="AG176" s="72">
        <v>88.95</v>
      </c>
      <c r="AH176" s="72">
        <v>90.63</v>
      </c>
      <c r="AI176" s="73">
        <f t="shared" si="25"/>
        <v>-1.8536908308507072E-2</v>
      </c>
      <c r="AJ176" s="67"/>
      <c r="AK176" s="74">
        <v>38138</v>
      </c>
      <c r="AL176" s="41">
        <v>4.6600000000000003E-2</v>
      </c>
      <c r="AM176" s="41">
        <f t="shared" si="27"/>
        <v>1.3000000000000025E-3</v>
      </c>
      <c r="AN176" s="67"/>
      <c r="AO176" s="92">
        <v>38108</v>
      </c>
      <c r="AP176" s="76">
        <v>659547.5</v>
      </c>
      <c r="AQ176" s="80">
        <f t="shared" si="7"/>
        <v>7.3949223010023601E-3</v>
      </c>
      <c r="AR176" s="67"/>
      <c r="AS176" s="97">
        <v>38108</v>
      </c>
      <c r="AT176" s="78">
        <v>0.95200000000000007</v>
      </c>
      <c r="AU176" s="67"/>
      <c r="AV176" s="93">
        <v>38108</v>
      </c>
      <c r="AW176" s="76">
        <v>283561.25</v>
      </c>
      <c r="AX176" s="80">
        <f t="shared" si="8"/>
        <v>1.2531431685138372E-2</v>
      </c>
      <c r="AY176" s="67"/>
      <c r="AZ176" s="81">
        <v>38108</v>
      </c>
      <c r="BA176" s="82">
        <v>121.0911865234375</v>
      </c>
      <c r="BB176" s="82">
        <v>91.96539306640625</v>
      </c>
      <c r="BC176" s="67"/>
      <c r="BD176" s="83">
        <v>38122</v>
      </c>
      <c r="BE176" s="42">
        <v>5556</v>
      </c>
      <c r="BF176" s="41">
        <f t="shared" si="9"/>
        <v>-7.1942446043160579E-4</v>
      </c>
      <c r="BG176" s="67"/>
      <c r="BH176" s="84">
        <v>38108</v>
      </c>
      <c r="BI176" s="85">
        <v>93.601299999999995</v>
      </c>
      <c r="BJ176" s="87">
        <f t="shared" si="10"/>
        <v>7.2237167760678123E-3</v>
      </c>
      <c r="BK176" s="67"/>
      <c r="BL176" s="84">
        <v>38108</v>
      </c>
      <c r="BM176" s="86">
        <v>84.525245999999996</v>
      </c>
      <c r="BN176" s="67"/>
      <c r="BO176" s="88">
        <v>38108</v>
      </c>
      <c r="BP176" s="89">
        <v>1.2745</v>
      </c>
      <c r="BQ176" s="89">
        <v>1.208</v>
      </c>
      <c r="BR176" s="90">
        <f t="shared" si="5"/>
        <v>5.5049668874172175E-2</v>
      </c>
    </row>
    <row r="177" spans="1:70">
      <c r="A177" s="62">
        <v>38139</v>
      </c>
      <c r="B177" s="63">
        <v>38139</v>
      </c>
      <c r="C177" s="39">
        <v>37.049999999999997</v>
      </c>
      <c r="D177" s="64">
        <v>40.4</v>
      </c>
      <c r="E177" s="40">
        <f t="shared" si="21"/>
        <v>-8.2920792079207994E-2</v>
      </c>
      <c r="F177" s="65"/>
      <c r="G177" s="63">
        <v>38139</v>
      </c>
      <c r="H177" s="39">
        <v>14.34</v>
      </c>
      <c r="I177" s="39">
        <v>16.600000000000001</v>
      </c>
      <c r="J177" s="40">
        <f t="shared" si="26"/>
        <v>-0.13614457831325311</v>
      </c>
      <c r="K177" s="67"/>
      <c r="L177" s="68">
        <v>38139</v>
      </c>
      <c r="M177" s="98">
        <v>1140.8</v>
      </c>
      <c r="N177" s="98">
        <v>1120.7</v>
      </c>
      <c r="O177" s="70">
        <f t="shared" si="22"/>
        <v>1.7935219059516339E-2</v>
      </c>
      <c r="P177" s="67"/>
      <c r="Q177" s="38">
        <v>38139</v>
      </c>
      <c r="R177" s="39">
        <v>6.1550000000000002</v>
      </c>
      <c r="S177" s="39">
        <v>6.5</v>
      </c>
      <c r="T177" s="40">
        <f t="shared" si="28"/>
        <v>-5.3076923076923022E-2</v>
      </c>
      <c r="U177" s="67"/>
      <c r="V177" s="38">
        <v>38139</v>
      </c>
      <c r="W177" s="39">
        <v>1.0207999999999999</v>
      </c>
      <c r="X177" s="39">
        <v>1.0276000000000001</v>
      </c>
      <c r="Y177" s="40">
        <f t="shared" si="23"/>
        <v>-6.6173608407942286E-3</v>
      </c>
      <c r="Z177" s="67"/>
      <c r="AA177" s="71">
        <v>38139</v>
      </c>
      <c r="AB177" s="72">
        <v>393</v>
      </c>
      <c r="AC177" s="72">
        <v>396</v>
      </c>
      <c r="AD177" s="73">
        <f t="shared" si="24"/>
        <v>-7.575757575757569E-3</v>
      </c>
      <c r="AE177" s="67"/>
      <c r="AF177" s="71">
        <v>38139</v>
      </c>
      <c r="AG177" s="72">
        <v>88.8</v>
      </c>
      <c r="AH177" s="72">
        <v>88.64</v>
      </c>
      <c r="AI177" s="73">
        <f t="shared" si="25"/>
        <v>1.8050541516245744E-3</v>
      </c>
      <c r="AJ177" s="67"/>
      <c r="AK177" s="74">
        <v>38168</v>
      </c>
      <c r="AL177" s="41">
        <v>4.6199999999999998E-2</v>
      </c>
      <c r="AM177" s="41">
        <f t="shared" si="27"/>
        <v>-4.0000000000000452E-4</v>
      </c>
      <c r="AN177" s="67"/>
      <c r="AO177" s="75">
        <v>38139</v>
      </c>
      <c r="AP177" s="76">
        <v>661600.25</v>
      </c>
      <c r="AQ177" s="80">
        <f t="shared" si="7"/>
        <v>3.1123611263783602E-3</v>
      </c>
      <c r="AR177" s="67"/>
      <c r="AS177" s="94">
        <v>38139</v>
      </c>
      <c r="AT177" s="78">
        <v>0.96025000000000005</v>
      </c>
      <c r="AU177" s="67"/>
      <c r="AV177" s="79">
        <v>38139</v>
      </c>
      <c r="AW177" s="76">
        <v>287819.5</v>
      </c>
      <c r="AX177" s="80">
        <f t="shared" si="8"/>
        <v>1.5017037765209462E-2</v>
      </c>
      <c r="AY177" s="67"/>
      <c r="AZ177" s="81">
        <v>38139</v>
      </c>
      <c r="BA177" s="82">
        <v>137.23391723632813</v>
      </c>
      <c r="BB177" s="82">
        <v>106.79373931884766</v>
      </c>
      <c r="BC177" s="67"/>
      <c r="BD177" s="83">
        <v>38153</v>
      </c>
      <c r="BE177" s="42">
        <v>5407</v>
      </c>
      <c r="BF177" s="41">
        <f t="shared" si="9"/>
        <v>-2.6817854571634214E-2</v>
      </c>
      <c r="BG177" s="67"/>
      <c r="BH177" s="84">
        <v>38139</v>
      </c>
      <c r="BI177" s="85">
        <v>92.870999999999995</v>
      </c>
      <c r="BJ177" s="87">
        <f t="shared" si="10"/>
        <v>-7.8022420628773848E-3</v>
      </c>
      <c r="BK177" s="67"/>
      <c r="BL177" s="84">
        <v>38139</v>
      </c>
      <c r="BM177" s="86">
        <v>62.879164000000003</v>
      </c>
      <c r="BN177" s="67"/>
      <c r="BO177" s="88">
        <v>38139</v>
      </c>
      <c r="BP177" s="89">
        <v>1.208</v>
      </c>
      <c r="BQ177" s="89">
        <v>1.2929999999999999</v>
      </c>
      <c r="BR177" s="90">
        <f t="shared" si="5"/>
        <v>-6.5738592420726993E-2</v>
      </c>
    </row>
    <row r="178" spans="1:70">
      <c r="A178" s="62">
        <v>38169</v>
      </c>
      <c r="B178" s="63">
        <v>38169</v>
      </c>
      <c r="C178" s="39">
        <v>43.8</v>
      </c>
      <c r="D178" s="64">
        <v>37.049999999999997</v>
      </c>
      <c r="E178" s="40">
        <f t="shared" si="21"/>
        <v>0.18218623481781382</v>
      </c>
      <c r="F178" s="65"/>
      <c r="G178" s="63">
        <v>38169</v>
      </c>
      <c r="H178" s="39">
        <v>15.32</v>
      </c>
      <c r="I178" s="39">
        <v>14.74</v>
      </c>
      <c r="J178" s="40">
        <f t="shared" si="26"/>
        <v>3.9348710990501967E-2</v>
      </c>
      <c r="K178" s="67"/>
      <c r="L178" s="68">
        <v>38169</v>
      </c>
      <c r="M178" s="98">
        <v>1101.7</v>
      </c>
      <c r="N178" s="98">
        <v>1140.8</v>
      </c>
      <c r="O178" s="70">
        <f t="shared" si="22"/>
        <v>-3.4274193548387011E-2</v>
      </c>
      <c r="P178" s="67"/>
      <c r="Q178" s="38">
        <v>38169</v>
      </c>
      <c r="R178" s="39">
        <v>6.1120000000000001</v>
      </c>
      <c r="S178" s="39">
        <v>6.1550000000000002</v>
      </c>
      <c r="T178" s="40">
        <f t="shared" si="28"/>
        <v>-6.9861900893583018E-3</v>
      </c>
      <c r="U178" s="67"/>
      <c r="V178" s="38">
        <v>38169</v>
      </c>
      <c r="W178" s="39">
        <v>1.1693</v>
      </c>
      <c r="X178" s="39">
        <v>1.0249999999999999</v>
      </c>
      <c r="Y178" s="40">
        <f t="shared" si="23"/>
        <v>0.14078048780487817</v>
      </c>
      <c r="Z178" s="67"/>
      <c r="AA178" s="71">
        <v>38169</v>
      </c>
      <c r="AB178" s="72">
        <v>393.7</v>
      </c>
      <c r="AC178" s="72">
        <v>393.3</v>
      </c>
      <c r="AD178" s="73">
        <f t="shared" si="24"/>
        <v>1.0170353419780565E-3</v>
      </c>
      <c r="AE178" s="67"/>
      <c r="AF178" s="71">
        <v>38169</v>
      </c>
      <c r="AG178" s="72">
        <v>89.96</v>
      </c>
      <c r="AH178" s="72">
        <v>88.84</v>
      </c>
      <c r="AI178" s="73">
        <f t="shared" si="25"/>
        <v>1.2606933813597454E-2</v>
      </c>
      <c r="AJ178" s="67"/>
      <c r="AK178" s="74">
        <v>38199</v>
      </c>
      <c r="AL178" s="41">
        <v>4.4999999999999998E-2</v>
      </c>
      <c r="AM178" s="41">
        <f t="shared" si="27"/>
        <v>-1.1999999999999997E-3</v>
      </c>
      <c r="AN178" s="67"/>
      <c r="AO178" s="75">
        <v>38169</v>
      </c>
      <c r="AP178" s="76">
        <v>663322.4</v>
      </c>
      <c r="AQ178" s="80">
        <f t="shared" si="7"/>
        <v>2.6030068761311309E-3</v>
      </c>
      <c r="AR178" s="67"/>
      <c r="AS178" s="94">
        <v>38169</v>
      </c>
      <c r="AT178" s="78">
        <v>0.95940000000000003</v>
      </c>
      <c r="AU178" s="67"/>
      <c r="AV178" s="79">
        <v>38169</v>
      </c>
      <c r="AW178" s="76">
        <v>285176.40000000002</v>
      </c>
      <c r="AX178" s="80">
        <f t="shared" si="8"/>
        <v>-9.1831859898303669E-3</v>
      </c>
      <c r="AY178" s="67"/>
      <c r="AZ178" s="81">
        <v>38169</v>
      </c>
      <c r="BA178" s="82">
        <v>131.01985168457031</v>
      </c>
      <c r="BB178" s="82">
        <v>121.26777648925781</v>
      </c>
      <c r="BC178" s="67"/>
      <c r="BD178" s="83">
        <v>38183</v>
      </c>
      <c r="BE178" s="42">
        <v>5484</v>
      </c>
      <c r="BF178" s="41">
        <f t="shared" si="9"/>
        <v>1.4240798964305634E-2</v>
      </c>
      <c r="BG178" s="67"/>
      <c r="BH178" s="84">
        <v>38169</v>
      </c>
      <c r="BI178" s="85">
        <v>93.564899999999994</v>
      </c>
      <c r="BJ178" s="87">
        <f t="shared" si="10"/>
        <v>7.47165423006102E-3</v>
      </c>
      <c r="BK178" s="67"/>
      <c r="BL178" s="84">
        <v>38169</v>
      </c>
      <c r="BM178" s="86">
        <v>89.320173999999994</v>
      </c>
      <c r="BN178" s="67"/>
      <c r="BO178" s="88">
        <v>38169</v>
      </c>
      <c r="BP178" s="89">
        <v>1.298</v>
      </c>
      <c r="BQ178" s="89">
        <v>1.208</v>
      </c>
      <c r="BR178" s="90">
        <f t="shared" si="5"/>
        <v>7.4503311258278249E-2</v>
      </c>
    </row>
    <row r="179" spans="1:70">
      <c r="A179" s="62">
        <v>38200</v>
      </c>
      <c r="B179" s="63">
        <v>38200</v>
      </c>
      <c r="C179" s="39">
        <v>42.12</v>
      </c>
      <c r="D179" s="64">
        <v>43.69</v>
      </c>
      <c r="E179" s="40">
        <f t="shared" si="21"/>
        <v>-3.5934996566720057E-2</v>
      </c>
      <c r="F179" s="65"/>
      <c r="G179" s="63">
        <v>38200</v>
      </c>
      <c r="H179" s="39">
        <v>15.29</v>
      </c>
      <c r="I179" s="39">
        <v>16.420000000000002</v>
      </c>
      <c r="J179" s="40">
        <f t="shared" si="26"/>
        <v>-6.8818514007308318E-2</v>
      </c>
      <c r="K179" s="67"/>
      <c r="L179" s="68">
        <v>38200</v>
      </c>
      <c r="M179" s="98">
        <v>1104.2</v>
      </c>
      <c r="N179" s="98">
        <v>1101.7</v>
      </c>
      <c r="O179" s="70">
        <f t="shared" si="22"/>
        <v>2.2692202959062602E-3</v>
      </c>
      <c r="P179" s="67"/>
      <c r="Q179" s="38">
        <v>38200</v>
      </c>
      <c r="R179" s="39">
        <v>5.0739999999999998</v>
      </c>
      <c r="S179" s="39">
        <v>6.0449999999999999</v>
      </c>
      <c r="T179" s="40">
        <f t="shared" si="28"/>
        <v>-0.16062861869313483</v>
      </c>
      <c r="U179" s="67"/>
      <c r="V179" s="38">
        <v>38200</v>
      </c>
      <c r="W179" s="39">
        <v>1.123</v>
      </c>
      <c r="X179" s="39">
        <v>1.1758999999999999</v>
      </c>
      <c r="Y179" s="40">
        <f t="shared" si="23"/>
        <v>-4.4986818607024359E-2</v>
      </c>
      <c r="Z179" s="67"/>
      <c r="AA179" s="71">
        <v>38200</v>
      </c>
      <c r="AB179" s="72">
        <v>412.4</v>
      </c>
      <c r="AC179" s="72">
        <v>395</v>
      </c>
      <c r="AD179" s="73">
        <f t="shared" si="24"/>
        <v>4.4050632911392329E-2</v>
      </c>
      <c r="AE179" s="67"/>
      <c r="AF179" s="71">
        <v>38200</v>
      </c>
      <c r="AG179" s="72">
        <v>88.94</v>
      </c>
      <c r="AH179" s="72">
        <v>89.71</v>
      </c>
      <c r="AI179" s="73">
        <f t="shared" si="25"/>
        <v>-8.5832125738489751E-3</v>
      </c>
      <c r="AJ179" s="67"/>
      <c r="AK179" s="74">
        <v>38230</v>
      </c>
      <c r="AL179" s="41">
        <v>4.1299999999999996E-2</v>
      </c>
      <c r="AM179" s="41">
        <f t="shared" si="27"/>
        <v>-3.7000000000000019E-3</v>
      </c>
      <c r="AN179" s="67"/>
      <c r="AO179" s="75">
        <v>38200</v>
      </c>
      <c r="AP179" s="76">
        <v>666894</v>
      </c>
      <c r="AQ179" s="80">
        <f t="shared" si="7"/>
        <v>5.3844103561102585E-3</v>
      </c>
      <c r="AR179" s="67"/>
      <c r="AS179" s="94">
        <v>38200</v>
      </c>
      <c r="AT179" s="78">
        <v>0.95550000000000002</v>
      </c>
      <c r="AU179" s="67"/>
      <c r="AV179" s="79">
        <v>38200</v>
      </c>
      <c r="AW179" s="76">
        <v>275610.75</v>
      </c>
      <c r="AX179" s="80">
        <f t="shared" si="8"/>
        <v>-3.3542922906664163E-2</v>
      </c>
      <c r="AY179" s="67"/>
      <c r="AZ179" s="81">
        <v>38200</v>
      </c>
      <c r="BA179" s="82">
        <v>140.36582946777344</v>
      </c>
      <c r="BB179" s="82">
        <v>127.44524383544922</v>
      </c>
      <c r="BC179" s="67"/>
      <c r="BD179" s="83">
        <v>38214</v>
      </c>
      <c r="BE179" s="42">
        <v>5325</v>
      </c>
      <c r="BF179" s="41">
        <f t="shared" si="9"/>
        <v>-2.8993435448577687E-2</v>
      </c>
      <c r="BG179" s="67"/>
      <c r="BH179" s="84">
        <v>38200</v>
      </c>
      <c r="BI179" s="85">
        <v>93.627700000000004</v>
      </c>
      <c r="BJ179" s="87">
        <f t="shared" si="10"/>
        <v>6.7119186789077467E-4</v>
      </c>
      <c r="BK179" s="67"/>
      <c r="BL179" s="84">
        <v>38200</v>
      </c>
      <c r="BM179" s="86">
        <v>99.282816999999994</v>
      </c>
      <c r="BN179" s="67"/>
      <c r="BO179" s="88">
        <v>38200</v>
      </c>
      <c r="BP179" s="89">
        <v>1.2815000000000001</v>
      </c>
      <c r="BQ179" s="89">
        <v>1.2905</v>
      </c>
      <c r="BR179" s="90">
        <f t="shared" si="5"/>
        <v>-6.9740410693528432E-3</v>
      </c>
    </row>
    <row r="180" spans="1:70">
      <c r="A180" s="62">
        <v>38231</v>
      </c>
      <c r="B180" s="63">
        <v>38231</v>
      </c>
      <c r="C180" s="39">
        <v>49.64</v>
      </c>
      <c r="D180" s="64">
        <v>42.11</v>
      </c>
      <c r="E180" s="40">
        <f t="shared" si="21"/>
        <v>0.17881738304440753</v>
      </c>
      <c r="F180" s="65"/>
      <c r="G180" s="63">
        <v>38231</v>
      </c>
      <c r="H180" s="39">
        <v>13.34</v>
      </c>
      <c r="I180" s="39">
        <v>15.39</v>
      </c>
      <c r="J180" s="40">
        <f t="shared" si="26"/>
        <v>-0.13320337881741395</v>
      </c>
      <c r="K180" s="67"/>
      <c r="L180" s="68">
        <v>38231</v>
      </c>
      <c r="M180" s="98">
        <v>1114.5999999999999</v>
      </c>
      <c r="N180" s="98">
        <v>1104.2</v>
      </c>
      <c r="O180" s="70">
        <f t="shared" si="22"/>
        <v>9.418583589929197E-3</v>
      </c>
      <c r="P180" s="67"/>
      <c r="Q180" s="38">
        <v>38231</v>
      </c>
      <c r="R180" s="39">
        <v>6.7949999999999999</v>
      </c>
      <c r="S180" s="39">
        <v>5.0599999999999996</v>
      </c>
      <c r="T180" s="40">
        <f t="shared" si="28"/>
        <v>0.34288537549407128</v>
      </c>
      <c r="U180" s="67"/>
      <c r="V180" s="38">
        <v>38231</v>
      </c>
      <c r="W180" s="39">
        <v>1.3861000000000001</v>
      </c>
      <c r="X180" s="39">
        <v>1.1375</v>
      </c>
      <c r="Y180" s="40">
        <f t="shared" si="23"/>
        <v>0.21854945054945074</v>
      </c>
      <c r="Z180" s="67"/>
      <c r="AA180" s="71">
        <v>38231</v>
      </c>
      <c r="AB180" s="72">
        <v>420.4</v>
      </c>
      <c r="AC180" s="72">
        <v>412.1</v>
      </c>
      <c r="AD180" s="73">
        <f t="shared" si="24"/>
        <v>2.0140742538218737E-2</v>
      </c>
      <c r="AE180" s="67"/>
      <c r="AF180" s="71">
        <v>38231</v>
      </c>
      <c r="AG180" s="72">
        <v>87.36</v>
      </c>
      <c r="AH180" s="72">
        <v>88.91</v>
      </c>
      <c r="AI180" s="73">
        <f t="shared" si="25"/>
        <v>-1.743335957710046E-2</v>
      </c>
      <c r="AJ180" s="67"/>
      <c r="AK180" s="74">
        <v>38260</v>
      </c>
      <c r="AL180" s="41">
        <v>4.1399999999999999E-2</v>
      </c>
      <c r="AM180" s="41">
        <f t="shared" si="27"/>
        <v>1.0000000000000286E-4</v>
      </c>
      <c r="AN180" s="67"/>
      <c r="AO180" s="75">
        <v>38231</v>
      </c>
      <c r="AP180" s="76">
        <v>669650.75</v>
      </c>
      <c r="AQ180" s="80">
        <f t="shared" si="7"/>
        <v>4.1337154030476331E-3</v>
      </c>
      <c r="AR180" s="67"/>
      <c r="AS180" s="94">
        <v>38231</v>
      </c>
      <c r="AT180" s="78">
        <v>0.91</v>
      </c>
      <c r="AU180" s="67"/>
      <c r="AV180" s="79">
        <v>38231</v>
      </c>
      <c r="AW180" s="76">
        <v>260789.25</v>
      </c>
      <c r="AX180" s="80">
        <f t="shared" si="8"/>
        <v>-5.3776929963725961E-2</v>
      </c>
      <c r="AY180" s="67"/>
      <c r="AZ180" s="81">
        <v>38231</v>
      </c>
      <c r="BA180" s="82">
        <v>153.87161254882813</v>
      </c>
      <c r="BB180" s="82">
        <v>130.20606994628906</v>
      </c>
      <c r="BC180" s="67"/>
      <c r="BD180" s="83">
        <v>38245</v>
      </c>
      <c r="BE180" s="42">
        <v>5081</v>
      </c>
      <c r="BF180" s="41">
        <f t="shared" si="9"/>
        <v>-4.5821596244131402E-2</v>
      </c>
      <c r="BG180" s="67"/>
      <c r="BH180" s="84">
        <v>38231</v>
      </c>
      <c r="BI180" s="85">
        <v>93.746700000000004</v>
      </c>
      <c r="BJ180" s="87">
        <f t="shared" si="10"/>
        <v>1.2709913839601406E-3</v>
      </c>
      <c r="BK180" s="67"/>
      <c r="BL180" s="84">
        <v>38231</v>
      </c>
      <c r="BM180" s="86">
        <v>98.459672999999995</v>
      </c>
      <c r="BN180" s="67"/>
      <c r="BO180" s="88">
        <v>38231</v>
      </c>
      <c r="BP180" s="89">
        <v>1.3959999999999999</v>
      </c>
      <c r="BQ180" s="89">
        <v>1.2785</v>
      </c>
      <c r="BR180" s="90">
        <f t="shared" si="5"/>
        <v>9.1904575674618627E-2</v>
      </c>
    </row>
    <row r="181" spans="1:70">
      <c r="A181" s="62">
        <v>38261</v>
      </c>
      <c r="B181" s="63">
        <v>38261</v>
      </c>
      <c r="C181" s="39">
        <v>51.76</v>
      </c>
      <c r="D181" s="64">
        <v>49.64</v>
      </c>
      <c r="E181" s="40">
        <f t="shared" si="21"/>
        <v>4.2707493956486653E-2</v>
      </c>
      <c r="F181" s="65"/>
      <c r="G181" s="63">
        <v>38261</v>
      </c>
      <c r="H181" s="39">
        <v>16.27</v>
      </c>
      <c r="I181" s="39">
        <v>13.11</v>
      </c>
      <c r="J181" s="40">
        <f t="shared" si="26"/>
        <v>0.24103737604881781</v>
      </c>
      <c r="K181" s="67"/>
      <c r="L181" s="68">
        <v>38261</v>
      </c>
      <c r="M181" s="98">
        <v>1130.2</v>
      </c>
      <c r="N181" s="98">
        <v>1114.5999999999999</v>
      </c>
      <c r="O181" s="70">
        <f t="shared" si="22"/>
        <v>1.3996052395478298E-2</v>
      </c>
      <c r="P181" s="67"/>
      <c r="Q181" s="38">
        <v>38261</v>
      </c>
      <c r="R181" s="39">
        <v>8.7249999999999996</v>
      </c>
      <c r="S181" s="39">
        <v>6.79</v>
      </c>
      <c r="T181" s="40">
        <f t="shared" si="28"/>
        <v>0.28497790868924877</v>
      </c>
      <c r="U181" s="67"/>
      <c r="V181" s="38">
        <v>38261</v>
      </c>
      <c r="W181" s="39">
        <v>1.4641</v>
      </c>
      <c r="X181" s="39">
        <v>1.3859999999999999</v>
      </c>
      <c r="Y181" s="40">
        <f t="shared" si="23"/>
        <v>5.6349206349206371E-2</v>
      </c>
      <c r="Z181" s="67"/>
      <c r="AA181" s="71">
        <v>38261</v>
      </c>
      <c r="AB181" s="72">
        <v>429.4</v>
      </c>
      <c r="AC181" s="72">
        <v>420.4</v>
      </c>
      <c r="AD181" s="73">
        <f t="shared" si="24"/>
        <v>2.1408182683158916E-2</v>
      </c>
      <c r="AE181" s="67"/>
      <c r="AF181" s="71">
        <v>38261</v>
      </c>
      <c r="AG181" s="72">
        <v>84.91</v>
      </c>
      <c r="AH181" s="72">
        <v>87.41</v>
      </c>
      <c r="AI181" s="73">
        <f t="shared" si="25"/>
        <v>-2.8600846585058903E-2</v>
      </c>
      <c r="AJ181" s="67"/>
      <c r="AK181" s="74">
        <v>38291</v>
      </c>
      <c r="AL181" s="41">
        <v>4.0500000000000001E-2</v>
      </c>
      <c r="AM181" s="41">
        <f t="shared" si="27"/>
        <v>-8.9999999999999802E-4</v>
      </c>
      <c r="AN181" s="67"/>
      <c r="AO181" s="75">
        <v>38261</v>
      </c>
      <c r="AP181" s="76">
        <v>669521.80000000005</v>
      </c>
      <c r="AQ181" s="80">
        <f t="shared" si="7"/>
        <v>-1.9256306365666997E-4</v>
      </c>
      <c r="AR181" s="67"/>
      <c r="AS181" s="94">
        <v>38261</v>
      </c>
      <c r="AT181" s="78">
        <v>0.88519999999999999</v>
      </c>
      <c r="AU181" s="67"/>
      <c r="AV181" s="79">
        <v>38261</v>
      </c>
      <c r="AW181" s="76">
        <v>264825.2</v>
      </c>
      <c r="AX181" s="80">
        <f t="shared" si="8"/>
        <v>1.5475906311322341E-2</v>
      </c>
      <c r="AY181" s="67"/>
      <c r="AZ181" s="81">
        <v>38261</v>
      </c>
      <c r="BA181" s="82">
        <v>119.86279296875</v>
      </c>
      <c r="BB181" s="82">
        <v>100.50788116455078</v>
      </c>
      <c r="BC181" s="67"/>
      <c r="BD181" s="83">
        <v>38275</v>
      </c>
      <c r="BE181" s="42">
        <v>5170</v>
      </c>
      <c r="BF181" s="41">
        <f t="shared" si="9"/>
        <v>1.751623696122806E-2</v>
      </c>
      <c r="BG181" s="67"/>
      <c r="BH181" s="84">
        <v>38261</v>
      </c>
      <c r="BI181" s="85">
        <v>94.546499999999995</v>
      </c>
      <c r="BJ181" s="87">
        <f t="shared" si="10"/>
        <v>8.5315003088106689E-3</v>
      </c>
      <c r="BK181" s="67"/>
      <c r="BL181" s="84">
        <v>38261</v>
      </c>
      <c r="BM181" s="86">
        <v>107.27849999999999</v>
      </c>
      <c r="BN181" s="67"/>
      <c r="BO181" s="88">
        <v>38261</v>
      </c>
      <c r="BP181" s="89">
        <v>1.3325</v>
      </c>
      <c r="BQ181" s="89">
        <v>1.393</v>
      </c>
      <c r="BR181" s="90">
        <f t="shared" si="5"/>
        <v>-4.3431442928930419E-2</v>
      </c>
    </row>
    <row r="182" spans="1:70">
      <c r="A182" s="62">
        <v>38292</v>
      </c>
      <c r="B182" s="63">
        <v>38292</v>
      </c>
      <c r="C182" s="39">
        <v>49.13</v>
      </c>
      <c r="D182" s="64">
        <v>51.82</v>
      </c>
      <c r="E182" s="40">
        <f t="shared" si="21"/>
        <v>-5.191045928213045E-2</v>
      </c>
      <c r="F182" s="65"/>
      <c r="G182" s="63">
        <v>38292</v>
      </c>
      <c r="H182" s="39">
        <v>13.24</v>
      </c>
      <c r="I182" s="39">
        <v>16.43</v>
      </c>
      <c r="J182" s="40">
        <f t="shared" si="26"/>
        <v>-0.19415702982349359</v>
      </c>
      <c r="K182" s="67"/>
      <c r="L182" s="68">
        <v>38292</v>
      </c>
      <c r="M182" s="98">
        <v>1173.8</v>
      </c>
      <c r="N182" s="98">
        <v>1130.2</v>
      </c>
      <c r="O182" s="70">
        <f t="shared" si="22"/>
        <v>3.8577242965846636E-2</v>
      </c>
      <c r="P182" s="67"/>
      <c r="Q182" s="38">
        <v>38292</v>
      </c>
      <c r="R182" s="39">
        <v>7.62</v>
      </c>
      <c r="S182" s="39">
        <v>8.8249999999999993</v>
      </c>
      <c r="T182" s="40">
        <f t="shared" si="28"/>
        <v>-0.13654390934844185</v>
      </c>
      <c r="U182" s="67"/>
      <c r="V182" s="38">
        <v>38292</v>
      </c>
      <c r="W182" s="39">
        <v>1.4182999999999999</v>
      </c>
      <c r="X182" s="39">
        <v>1.4750000000000001</v>
      </c>
      <c r="Y182" s="40">
        <f t="shared" si="23"/>
        <v>-3.8440677966101844E-2</v>
      </c>
      <c r="Z182" s="67"/>
      <c r="AA182" s="71">
        <v>38292</v>
      </c>
      <c r="AB182" s="72">
        <v>453.2</v>
      </c>
      <c r="AC182" s="72">
        <v>430.5</v>
      </c>
      <c r="AD182" s="73">
        <f t="shared" si="24"/>
        <v>5.2729384436701388E-2</v>
      </c>
      <c r="AE182" s="67"/>
      <c r="AF182" s="71">
        <v>38292</v>
      </c>
      <c r="AG182" s="72">
        <v>81.819999999999993</v>
      </c>
      <c r="AH182" s="72">
        <v>84.7</v>
      </c>
      <c r="AI182" s="73">
        <f t="shared" si="25"/>
        <v>-3.4002361275088711E-2</v>
      </c>
      <c r="AJ182" s="67"/>
      <c r="AK182" s="74">
        <v>38321</v>
      </c>
      <c r="AL182" s="41">
        <v>4.36E-2</v>
      </c>
      <c r="AM182" s="41">
        <f t="shared" si="27"/>
        <v>3.0999999999999986E-3</v>
      </c>
      <c r="AN182" s="67"/>
      <c r="AO182" s="75">
        <v>38292</v>
      </c>
      <c r="AP182" s="76">
        <v>671016.25</v>
      </c>
      <c r="AQ182" s="80">
        <f t="shared" si="7"/>
        <v>2.2321155188673725E-3</v>
      </c>
      <c r="AR182" s="67"/>
      <c r="AS182" s="94">
        <v>38292</v>
      </c>
      <c r="AT182" s="78">
        <v>0.9325</v>
      </c>
      <c r="AU182" s="67"/>
      <c r="AV182" s="79">
        <v>38292</v>
      </c>
      <c r="AW182" s="76">
        <v>276098</v>
      </c>
      <c r="AX182" s="80">
        <f t="shared" si="8"/>
        <v>4.2566946045920151E-2</v>
      </c>
      <c r="AY182" s="67"/>
      <c r="AZ182" s="81">
        <v>38292</v>
      </c>
      <c r="BA182" s="82">
        <v>122.70738983154297</v>
      </c>
      <c r="BB182" s="82">
        <v>98.926651000976563</v>
      </c>
      <c r="BC182" s="67"/>
      <c r="BD182" s="83">
        <v>38306</v>
      </c>
      <c r="BE182" s="42">
        <v>5423</v>
      </c>
      <c r="BF182" s="41">
        <f t="shared" si="9"/>
        <v>4.8936170212765973E-2</v>
      </c>
      <c r="BG182" s="67"/>
      <c r="BH182" s="84">
        <v>38292</v>
      </c>
      <c r="BI182" s="85">
        <v>94.781300000000002</v>
      </c>
      <c r="BJ182" s="87">
        <f t="shared" si="10"/>
        <v>2.4834340774118058E-3</v>
      </c>
      <c r="BK182" s="67"/>
      <c r="BL182" s="84">
        <v>38292</v>
      </c>
      <c r="BM182" s="86">
        <v>122.64494999999999</v>
      </c>
      <c r="BN182" s="67"/>
      <c r="BO182" s="88">
        <v>38292</v>
      </c>
      <c r="BP182" s="89">
        <v>1.4390000000000001</v>
      </c>
      <c r="BQ182" s="89">
        <v>1.304</v>
      </c>
      <c r="BR182" s="90">
        <f t="shared" si="5"/>
        <v>0.10352760736196309</v>
      </c>
    </row>
    <row r="183" spans="1:70">
      <c r="A183" s="62">
        <v>38322</v>
      </c>
      <c r="B183" s="63">
        <v>38322</v>
      </c>
      <c r="C183" s="39">
        <v>43.45</v>
      </c>
      <c r="D183" s="64">
        <v>49.07</v>
      </c>
      <c r="E183" s="40">
        <f t="shared" si="21"/>
        <v>-0.11453026288974932</v>
      </c>
      <c r="F183" s="65"/>
      <c r="G183" s="63">
        <v>38322</v>
      </c>
      <c r="H183" s="39">
        <v>13.29</v>
      </c>
      <c r="I183" s="39">
        <v>13.1</v>
      </c>
      <c r="J183" s="40">
        <f t="shared" si="26"/>
        <v>1.4503816793893121E-2</v>
      </c>
      <c r="K183" s="67"/>
      <c r="L183" s="68">
        <v>38322</v>
      </c>
      <c r="M183" s="98">
        <v>1211.9000000000001</v>
      </c>
      <c r="N183" s="98">
        <v>1173.8</v>
      </c>
      <c r="O183" s="70">
        <f t="shared" si="22"/>
        <v>3.2458681206338547E-2</v>
      </c>
      <c r="P183" s="67"/>
      <c r="Q183" s="38">
        <v>38322</v>
      </c>
      <c r="R183" s="39">
        <v>6.149</v>
      </c>
      <c r="S183" s="39">
        <v>7.62</v>
      </c>
      <c r="T183" s="40">
        <f t="shared" si="28"/>
        <v>-0.19304461942257223</v>
      </c>
      <c r="U183" s="67"/>
      <c r="V183" s="38">
        <v>38322</v>
      </c>
      <c r="W183" s="39">
        <v>1.2525999999999999</v>
      </c>
      <c r="X183" s="39">
        <v>1.4179999999999999</v>
      </c>
      <c r="Y183" s="40">
        <f t="shared" si="23"/>
        <v>-0.11664315937940761</v>
      </c>
      <c r="Z183" s="67"/>
      <c r="AA183" s="71">
        <v>38322</v>
      </c>
      <c r="AB183" s="72">
        <v>438.4</v>
      </c>
      <c r="AC183" s="72">
        <v>453.4</v>
      </c>
      <c r="AD183" s="73">
        <f t="shared" si="24"/>
        <v>-3.3083370092633402E-2</v>
      </c>
      <c r="AE183" s="67"/>
      <c r="AF183" s="71">
        <v>38322</v>
      </c>
      <c r="AG183" s="72">
        <v>80.849999999999994</v>
      </c>
      <c r="AH183" s="72">
        <v>81.81</v>
      </c>
      <c r="AI183" s="73">
        <f t="shared" si="25"/>
        <v>-1.1734506784011778E-2</v>
      </c>
      <c r="AJ183" s="67"/>
      <c r="AK183" s="74">
        <v>38352</v>
      </c>
      <c r="AL183" s="41">
        <v>4.24E-2</v>
      </c>
      <c r="AM183" s="41">
        <f t="shared" si="27"/>
        <v>-1.1999999999999997E-3</v>
      </c>
      <c r="AN183" s="67"/>
      <c r="AO183" s="75">
        <v>38322</v>
      </c>
      <c r="AP183" s="76">
        <v>673443.6</v>
      </c>
      <c r="AQ183" s="80">
        <f t="shared" si="7"/>
        <v>3.6174235720818348E-3</v>
      </c>
      <c r="AR183" s="67"/>
      <c r="AS183" s="94">
        <v>38322</v>
      </c>
      <c r="AT183" s="78">
        <v>0.94019999999999992</v>
      </c>
      <c r="AU183" s="67"/>
      <c r="AV183" s="79">
        <v>38322</v>
      </c>
      <c r="AW183" s="76">
        <v>277708.2</v>
      </c>
      <c r="AX183" s="80">
        <f t="shared" si="8"/>
        <v>5.8319871929533029E-3</v>
      </c>
      <c r="AY183" s="67"/>
      <c r="AZ183" s="81">
        <v>38322</v>
      </c>
      <c r="BA183" s="82">
        <v>109.89522552490234</v>
      </c>
      <c r="BB183" s="82">
        <v>81.604774475097656</v>
      </c>
      <c r="BC183" s="67"/>
      <c r="BD183" s="83">
        <v>38336</v>
      </c>
      <c r="BE183" s="42">
        <v>5510</v>
      </c>
      <c r="BF183" s="41">
        <f t="shared" si="9"/>
        <v>1.6042780748663166E-2</v>
      </c>
      <c r="BG183" s="67"/>
      <c r="BH183" s="84">
        <v>38322</v>
      </c>
      <c r="BI183" s="85">
        <v>95.536500000000004</v>
      </c>
      <c r="BJ183" s="87">
        <f t="shared" si="10"/>
        <v>7.967816436364572E-3</v>
      </c>
      <c r="BK183" s="67"/>
      <c r="BL183" s="84">
        <v>38322</v>
      </c>
      <c r="BM183" s="86">
        <v>126.69164000000001</v>
      </c>
      <c r="BN183" s="67"/>
      <c r="BO183" s="88">
        <v>38322</v>
      </c>
      <c r="BP183" s="89">
        <v>1.4524999999999999</v>
      </c>
      <c r="BQ183" s="89">
        <v>1.4359999999999999</v>
      </c>
      <c r="BR183" s="90">
        <f t="shared" si="5"/>
        <v>1.1490250696378768E-2</v>
      </c>
    </row>
    <row r="184" spans="1:70">
      <c r="A184" s="62">
        <v>38353</v>
      </c>
      <c r="B184" s="63">
        <v>38353</v>
      </c>
      <c r="C184" s="39">
        <v>48.2</v>
      </c>
      <c r="D184" s="64">
        <v>43.1</v>
      </c>
      <c r="E184" s="40">
        <f t="shared" si="21"/>
        <v>0.11832946635730868</v>
      </c>
      <c r="F184" s="65"/>
      <c r="G184" s="63">
        <v>38353</v>
      </c>
      <c r="H184" s="39">
        <v>12.82</v>
      </c>
      <c r="I184" s="39">
        <v>13.39</v>
      </c>
      <c r="J184" s="40">
        <f t="shared" si="26"/>
        <v>-4.2569081404032927E-2</v>
      </c>
      <c r="K184" s="67"/>
      <c r="L184" s="68">
        <v>38353</v>
      </c>
      <c r="M184" s="98">
        <v>1181.3</v>
      </c>
      <c r="N184" s="98">
        <v>1211.9000000000001</v>
      </c>
      <c r="O184" s="70">
        <f t="shared" si="22"/>
        <v>-2.5249608053469874E-2</v>
      </c>
      <c r="P184" s="67"/>
      <c r="Q184" s="38">
        <v>38353</v>
      </c>
      <c r="R184" s="39">
        <v>6.3209999999999997</v>
      </c>
      <c r="S184" s="39">
        <v>5.9489999999999998</v>
      </c>
      <c r="T184" s="40">
        <f t="shared" si="28"/>
        <v>6.2531517902168376E-2</v>
      </c>
      <c r="U184" s="67"/>
      <c r="V184" s="38">
        <v>38353</v>
      </c>
      <c r="W184" s="39">
        <v>1.3481000000000001</v>
      </c>
      <c r="X184" s="39">
        <v>1.2150000000000001</v>
      </c>
      <c r="Y184" s="40">
        <f t="shared" si="23"/>
        <v>0.10954732510288068</v>
      </c>
      <c r="Z184" s="67"/>
      <c r="AA184" s="71">
        <v>38353</v>
      </c>
      <c r="AB184" s="72">
        <v>424.1</v>
      </c>
      <c r="AC184" s="72">
        <v>438.9</v>
      </c>
      <c r="AD184" s="73">
        <f t="shared" si="24"/>
        <v>-3.3720665299612596E-2</v>
      </c>
      <c r="AE184" s="67"/>
      <c r="AF184" s="71">
        <v>38353</v>
      </c>
      <c r="AG184" s="72">
        <v>83.6</v>
      </c>
      <c r="AH184" s="72">
        <v>81.05</v>
      </c>
      <c r="AI184" s="73">
        <f t="shared" si="25"/>
        <v>3.1462060456508345E-2</v>
      </c>
      <c r="AJ184" s="67"/>
      <c r="AK184" s="74">
        <v>38383</v>
      </c>
      <c r="AL184" s="41">
        <v>4.1399999999999999E-2</v>
      </c>
      <c r="AM184" s="41">
        <f t="shared" si="27"/>
        <v>-1.0000000000000009E-3</v>
      </c>
      <c r="AN184" s="67"/>
      <c r="AO184" s="75">
        <v>38353</v>
      </c>
      <c r="AP184" s="76">
        <v>677077.75</v>
      </c>
      <c r="AQ184" s="80">
        <f t="shared" si="7"/>
        <v>5.396368753077585E-3</v>
      </c>
      <c r="AR184" s="67"/>
      <c r="AS184" s="94">
        <v>38353</v>
      </c>
      <c r="AT184" s="78">
        <v>0.92025000000000001</v>
      </c>
      <c r="AU184" s="67"/>
      <c r="AV184" s="79">
        <v>38353</v>
      </c>
      <c r="AW184" s="76">
        <v>277244.25</v>
      </c>
      <c r="AX184" s="80">
        <f t="shared" si="8"/>
        <v>-1.6706384615219338E-3</v>
      </c>
      <c r="AY184" s="67"/>
      <c r="AZ184" s="81">
        <v>38353</v>
      </c>
      <c r="BA184" s="82">
        <v>100.88758850097656</v>
      </c>
      <c r="BB184" s="82">
        <v>78.198562622070313</v>
      </c>
      <c r="BC184" s="67"/>
      <c r="BD184" s="83">
        <v>38367</v>
      </c>
      <c r="BE184" s="42">
        <v>5446</v>
      </c>
      <c r="BF184" s="41">
        <f t="shared" si="9"/>
        <v>-1.1615245009074404E-2</v>
      </c>
      <c r="BG184" s="67"/>
      <c r="BH184" s="84">
        <v>38353</v>
      </c>
      <c r="BI184" s="85">
        <v>95.880099999999999</v>
      </c>
      <c r="BJ184" s="87">
        <f t="shared" si="10"/>
        <v>3.596531168715611E-3</v>
      </c>
      <c r="BK184" s="67"/>
      <c r="BL184" s="84">
        <v>38353</v>
      </c>
      <c r="BM184" s="86">
        <v>106.54369</v>
      </c>
      <c r="BN184" s="67"/>
      <c r="BO184" s="88">
        <v>38353</v>
      </c>
      <c r="BP184" s="89">
        <v>1.421</v>
      </c>
      <c r="BQ184" s="89">
        <v>1.4564999999999999</v>
      </c>
      <c r="BR184" s="90">
        <f t="shared" si="5"/>
        <v>-2.4373498111912029E-2</v>
      </c>
    </row>
    <row r="185" spans="1:70">
      <c r="A185" s="62">
        <v>38384</v>
      </c>
      <c r="B185" s="63">
        <v>38384</v>
      </c>
      <c r="C185" s="39">
        <v>51.75</v>
      </c>
      <c r="D185" s="64">
        <v>48.21</v>
      </c>
      <c r="E185" s="40">
        <f t="shared" si="21"/>
        <v>7.3428749222153034E-2</v>
      </c>
      <c r="F185" s="65"/>
      <c r="G185" s="63">
        <v>38384</v>
      </c>
      <c r="H185" s="39">
        <v>12.08</v>
      </c>
      <c r="I185" s="39">
        <v>12.8</v>
      </c>
      <c r="J185" s="40">
        <f t="shared" si="26"/>
        <v>-5.6250000000000022E-2</v>
      </c>
      <c r="K185" s="67"/>
      <c r="L185" s="68">
        <v>38384</v>
      </c>
      <c r="M185" s="98">
        <v>1203.5999999999999</v>
      </c>
      <c r="N185" s="98">
        <v>1181.3</v>
      </c>
      <c r="O185" s="70">
        <f t="shared" si="22"/>
        <v>1.8877507830356244E-2</v>
      </c>
      <c r="P185" s="67"/>
      <c r="Q185" s="38">
        <v>38384</v>
      </c>
      <c r="R185" s="39">
        <v>6.73</v>
      </c>
      <c r="S185" s="39">
        <v>6.31</v>
      </c>
      <c r="T185" s="40">
        <f t="shared" si="28"/>
        <v>6.6561014263074592E-2</v>
      </c>
      <c r="U185" s="67"/>
      <c r="V185" s="38">
        <v>38384</v>
      </c>
      <c r="W185" s="39">
        <v>1.4541999999999999</v>
      </c>
      <c r="X185" s="39">
        <v>1.3180000000000001</v>
      </c>
      <c r="Y185" s="40">
        <f t="shared" si="23"/>
        <v>0.10333839150227608</v>
      </c>
      <c r="Z185" s="67"/>
      <c r="AA185" s="71">
        <v>38384</v>
      </c>
      <c r="AB185" s="72">
        <v>437.6</v>
      </c>
      <c r="AC185" s="72">
        <v>424.3</v>
      </c>
      <c r="AD185" s="73">
        <f t="shared" si="24"/>
        <v>3.1345745934480362E-2</v>
      </c>
      <c r="AE185" s="67"/>
      <c r="AF185" s="71">
        <v>38384</v>
      </c>
      <c r="AG185" s="72">
        <v>82.51</v>
      </c>
      <c r="AH185" s="72">
        <v>83.49</v>
      </c>
      <c r="AI185" s="73">
        <f t="shared" si="25"/>
        <v>-1.1737932686549213E-2</v>
      </c>
      <c r="AJ185" s="67"/>
      <c r="AK185" s="74">
        <v>38411</v>
      </c>
      <c r="AL185" s="41">
        <v>4.36E-2</v>
      </c>
      <c r="AM185" s="41">
        <f t="shared" si="27"/>
        <v>2.2000000000000006E-3</v>
      </c>
      <c r="AN185" s="67"/>
      <c r="AO185" s="75">
        <v>38384</v>
      </c>
      <c r="AP185" s="76">
        <v>680690.5</v>
      </c>
      <c r="AQ185" s="80">
        <f t="shared" si="7"/>
        <v>5.33579784596383E-3</v>
      </c>
      <c r="AR185" s="67"/>
      <c r="AS185" s="94">
        <v>38384</v>
      </c>
      <c r="AT185" s="78">
        <v>0.90300000000000002</v>
      </c>
      <c r="AU185" s="67"/>
      <c r="AV185" s="79">
        <v>38384</v>
      </c>
      <c r="AW185" s="76">
        <v>280665.25</v>
      </c>
      <c r="AX185" s="80">
        <f t="shared" si="8"/>
        <v>1.2339300093689998E-2</v>
      </c>
      <c r="AY185" s="67"/>
      <c r="AZ185" s="81">
        <v>38384</v>
      </c>
      <c r="BA185" s="82">
        <v>108.97796630859375</v>
      </c>
      <c r="BB185" s="82">
        <v>104.77036285400391</v>
      </c>
      <c r="BC185" s="67"/>
      <c r="BD185" s="83">
        <v>38398</v>
      </c>
      <c r="BE185" s="42">
        <v>5501</v>
      </c>
      <c r="BF185" s="41">
        <f t="shared" si="9"/>
        <v>1.0099155343371358E-2</v>
      </c>
      <c r="BG185" s="67"/>
      <c r="BH185" s="84">
        <v>38384</v>
      </c>
      <c r="BI185" s="85">
        <v>96.576099999999997</v>
      </c>
      <c r="BJ185" s="87">
        <f t="shared" si="10"/>
        <v>7.259066271311676E-3</v>
      </c>
      <c r="BK185" s="67"/>
      <c r="BL185" s="84">
        <v>38384</v>
      </c>
      <c r="BM185" s="86">
        <v>106.95855</v>
      </c>
      <c r="BN185" s="67"/>
      <c r="BO185" s="88">
        <v>38384</v>
      </c>
      <c r="BP185" s="89">
        <v>1.4984999999999999</v>
      </c>
      <c r="BQ185" s="89">
        <v>1.4</v>
      </c>
      <c r="BR185" s="90">
        <f t="shared" si="5"/>
        <v>7.0357142857142785E-2</v>
      </c>
    </row>
    <row r="186" spans="1:70">
      <c r="A186" s="62">
        <v>38412</v>
      </c>
      <c r="B186" s="63">
        <v>38412</v>
      </c>
      <c r="C186" s="39">
        <v>55.4</v>
      </c>
      <c r="D186" s="64">
        <v>51.77</v>
      </c>
      <c r="E186" s="40">
        <f t="shared" si="21"/>
        <v>7.0117828858412112E-2</v>
      </c>
      <c r="F186" s="65"/>
      <c r="G186" s="63">
        <v>38412</v>
      </c>
      <c r="H186" s="39">
        <v>14.02</v>
      </c>
      <c r="I186" s="39">
        <v>11.95</v>
      </c>
      <c r="J186" s="40">
        <f t="shared" si="26"/>
        <v>0.17322175732217571</v>
      </c>
      <c r="K186" s="67"/>
      <c r="L186" s="68">
        <v>38412</v>
      </c>
      <c r="M186" s="98">
        <v>1180.5999999999999</v>
      </c>
      <c r="N186" s="98">
        <v>1203.5999999999999</v>
      </c>
      <c r="O186" s="70">
        <f t="shared" si="22"/>
        <v>-1.9109338650714514E-2</v>
      </c>
      <c r="P186" s="67"/>
      <c r="Q186" s="38">
        <v>38412</v>
      </c>
      <c r="R186" s="39">
        <v>7.6529999999999996</v>
      </c>
      <c r="S186" s="39">
        <v>6.7210000000000001</v>
      </c>
      <c r="T186" s="40">
        <f t="shared" si="28"/>
        <v>0.13866984079750022</v>
      </c>
      <c r="U186" s="67"/>
      <c r="V186" s="38">
        <v>38412</v>
      </c>
      <c r="W186" s="39">
        <v>1.6161000000000001</v>
      </c>
      <c r="X186" s="39">
        <v>1.4</v>
      </c>
      <c r="Y186" s="40">
        <f t="shared" si="23"/>
        <v>0.15435714285714308</v>
      </c>
      <c r="Z186" s="67"/>
      <c r="AA186" s="71">
        <v>38412</v>
      </c>
      <c r="AB186" s="72">
        <v>431.1</v>
      </c>
      <c r="AC186" s="72">
        <v>437.5</v>
      </c>
      <c r="AD186" s="73">
        <f t="shared" si="24"/>
        <v>-1.4628571428571324E-2</v>
      </c>
      <c r="AE186" s="67"/>
      <c r="AF186" s="71">
        <v>38412</v>
      </c>
      <c r="AG186" s="72">
        <v>84.06</v>
      </c>
      <c r="AH186" s="72">
        <v>82.65</v>
      </c>
      <c r="AI186" s="73">
        <f t="shared" si="25"/>
        <v>1.7059891107078062E-2</v>
      </c>
      <c r="AJ186" s="67"/>
      <c r="AK186" s="74">
        <v>38442</v>
      </c>
      <c r="AL186" s="41">
        <v>4.4999999999999998E-2</v>
      </c>
      <c r="AM186" s="41">
        <f t="shared" si="27"/>
        <v>1.3999999999999985E-3</v>
      </c>
      <c r="AN186" s="67"/>
      <c r="AO186" s="75">
        <v>38412</v>
      </c>
      <c r="AP186" s="76">
        <v>684479.5</v>
      </c>
      <c r="AQ186" s="80">
        <f t="shared" si="7"/>
        <v>5.5664064651996803E-3</v>
      </c>
      <c r="AR186" s="67"/>
      <c r="AS186" s="94">
        <v>38412</v>
      </c>
      <c r="AT186" s="78">
        <v>0.90375000000000005</v>
      </c>
      <c r="AU186" s="67"/>
      <c r="AV186" s="79">
        <v>38412</v>
      </c>
      <c r="AW186" s="76">
        <v>291615</v>
      </c>
      <c r="AX186" s="80">
        <f t="shared" si="8"/>
        <v>3.9013557966296242E-2</v>
      </c>
      <c r="AY186" s="67"/>
      <c r="AZ186" s="81">
        <v>38412</v>
      </c>
      <c r="BA186" s="82">
        <v>90.410484313964844</v>
      </c>
      <c r="BB186" s="82">
        <v>87.226333618164063</v>
      </c>
      <c r="BC186" s="67"/>
      <c r="BD186" s="83">
        <v>38426</v>
      </c>
      <c r="BE186" s="42">
        <v>5601</v>
      </c>
      <c r="BF186" s="41">
        <f t="shared" si="9"/>
        <v>1.8178512997636842E-2</v>
      </c>
      <c r="BG186" s="67"/>
      <c r="BH186" s="84">
        <v>38412</v>
      </c>
      <c r="BI186" s="85">
        <v>96.445599999999999</v>
      </c>
      <c r="BJ186" s="87">
        <f t="shared" si="10"/>
        <v>-1.351265996452522E-3</v>
      </c>
      <c r="BK186" s="67"/>
      <c r="BL186" s="84">
        <v>38412</v>
      </c>
      <c r="BM186" s="86">
        <v>109.93349000000001</v>
      </c>
      <c r="BN186" s="67"/>
      <c r="BO186" s="88">
        <v>38412</v>
      </c>
      <c r="BP186" s="89">
        <v>1.4970000000000001</v>
      </c>
      <c r="BQ186" s="89">
        <v>1.5</v>
      </c>
      <c r="BR186" s="90">
        <f t="shared" si="5"/>
        <v>-1.9999999999998908E-3</v>
      </c>
    </row>
    <row r="187" spans="1:70">
      <c r="A187" s="62">
        <v>38443</v>
      </c>
      <c r="B187" s="63">
        <v>38443</v>
      </c>
      <c r="C187" s="39">
        <v>49.72</v>
      </c>
      <c r="D187" s="64">
        <v>55.25</v>
      </c>
      <c r="E187" s="40">
        <f t="shared" si="21"/>
        <v>-0.10009049773755663</v>
      </c>
      <c r="F187" s="65"/>
      <c r="G187" s="63">
        <v>38443</v>
      </c>
      <c r="H187" s="39">
        <v>15.31</v>
      </c>
      <c r="I187" s="39">
        <v>13.64</v>
      </c>
      <c r="J187" s="40">
        <f t="shared" si="26"/>
        <v>0.12243401759530781</v>
      </c>
      <c r="K187" s="67"/>
      <c r="L187" s="68">
        <v>38443</v>
      </c>
      <c r="M187" s="98">
        <v>1156.8</v>
      </c>
      <c r="N187" s="98">
        <v>1180.5999999999999</v>
      </c>
      <c r="O187" s="70">
        <f t="shared" si="22"/>
        <v>-2.0159241063865796E-2</v>
      </c>
      <c r="P187" s="67"/>
      <c r="Q187" s="38">
        <v>38443</v>
      </c>
      <c r="R187" s="39">
        <v>6.585</v>
      </c>
      <c r="S187" s="39">
        <v>7.65</v>
      </c>
      <c r="T187" s="40">
        <f t="shared" si="28"/>
        <v>-0.13921568627450986</v>
      </c>
      <c r="U187" s="67"/>
      <c r="V187" s="38">
        <v>38443</v>
      </c>
      <c r="W187" s="39">
        <v>1.4258999999999999</v>
      </c>
      <c r="X187" s="39">
        <v>1.5934999999999999</v>
      </c>
      <c r="Y187" s="40">
        <f t="shared" si="23"/>
        <v>-0.10517728271101345</v>
      </c>
      <c r="Z187" s="67"/>
      <c r="AA187" s="71">
        <v>38443</v>
      </c>
      <c r="AB187" s="72">
        <v>436.1</v>
      </c>
      <c r="AC187" s="72">
        <v>431.1</v>
      </c>
      <c r="AD187" s="73">
        <f t="shared" si="24"/>
        <v>1.15982370679657E-2</v>
      </c>
      <c r="AE187" s="67"/>
      <c r="AF187" s="71">
        <v>38443</v>
      </c>
      <c r="AG187" s="72">
        <v>84.43</v>
      </c>
      <c r="AH187" s="72">
        <v>84.07</v>
      </c>
      <c r="AI187" s="73">
        <f t="shared" si="25"/>
        <v>4.2821458308555105E-3</v>
      </c>
      <c r="AJ187" s="67"/>
      <c r="AK187" s="74">
        <v>38472</v>
      </c>
      <c r="AL187" s="41">
        <v>4.2099999999999999E-2</v>
      </c>
      <c r="AM187" s="41">
        <f t="shared" si="27"/>
        <v>-2.8999999999999998E-3</v>
      </c>
      <c r="AN187" s="67"/>
      <c r="AO187" s="75">
        <v>38443</v>
      </c>
      <c r="AP187" s="76">
        <v>689602</v>
      </c>
      <c r="AQ187" s="80">
        <f t="shared" si="7"/>
        <v>7.4837887767273958E-3</v>
      </c>
      <c r="AR187" s="67"/>
      <c r="AS187" s="94">
        <v>38443</v>
      </c>
      <c r="AT187" s="78">
        <v>0.91900000000000004</v>
      </c>
      <c r="AU187" s="67"/>
      <c r="AV187" s="79">
        <v>38443</v>
      </c>
      <c r="AW187" s="76">
        <v>305712.40000000002</v>
      </c>
      <c r="AX187" s="80">
        <f t="shared" si="8"/>
        <v>4.8342506386845674E-2</v>
      </c>
      <c r="AY187" s="67"/>
      <c r="AZ187" s="81">
        <v>38443</v>
      </c>
      <c r="BA187" s="82">
        <v>87.032402038574219</v>
      </c>
      <c r="BB187" s="82">
        <v>72.532630920410156</v>
      </c>
      <c r="BC187" s="67"/>
      <c r="BD187" s="83">
        <v>38457</v>
      </c>
      <c r="BE187" s="42">
        <v>5563</v>
      </c>
      <c r="BF187" s="41">
        <f t="shared" si="9"/>
        <v>-6.7845027673629765E-3</v>
      </c>
      <c r="BG187" s="67"/>
      <c r="BH187" s="84">
        <v>38443</v>
      </c>
      <c r="BI187" s="85">
        <v>96.653199999999998</v>
      </c>
      <c r="BJ187" s="87">
        <f t="shared" si="10"/>
        <v>2.1525087717841895E-3</v>
      </c>
      <c r="BK187" s="67"/>
      <c r="BL187" s="84">
        <v>38443</v>
      </c>
      <c r="BM187" s="86">
        <v>106.61989</v>
      </c>
      <c r="BN187" s="67"/>
      <c r="BO187" s="88">
        <v>38443</v>
      </c>
      <c r="BP187" s="89">
        <v>1.464</v>
      </c>
      <c r="BQ187" s="89">
        <v>1.4850000000000001</v>
      </c>
      <c r="BR187" s="90">
        <f t="shared" si="5"/>
        <v>-1.4141414141414232E-2</v>
      </c>
    </row>
    <row r="188" spans="1:70">
      <c r="A188" s="62">
        <v>38473</v>
      </c>
      <c r="B188" s="63">
        <v>38473</v>
      </c>
      <c r="C188" s="39">
        <v>51.97</v>
      </c>
      <c r="D188" s="64">
        <v>49.28</v>
      </c>
      <c r="E188" s="40">
        <f t="shared" si="21"/>
        <v>5.4586038961038863E-2</v>
      </c>
      <c r="F188" s="65"/>
      <c r="G188" s="63">
        <v>38473</v>
      </c>
      <c r="H188" s="39">
        <v>13.29</v>
      </c>
      <c r="I188" s="39">
        <v>15.45</v>
      </c>
      <c r="J188" s="40">
        <f t="shared" si="26"/>
        <v>-0.13980582524271845</v>
      </c>
      <c r="K188" s="67"/>
      <c r="L188" s="68">
        <v>38473</v>
      </c>
      <c r="M188" s="98">
        <v>1191.5</v>
      </c>
      <c r="N188" s="98">
        <v>1156.8</v>
      </c>
      <c r="O188" s="70">
        <f t="shared" si="22"/>
        <v>2.9996542185338981E-2</v>
      </c>
      <c r="P188" s="67"/>
      <c r="Q188" s="38">
        <v>38473</v>
      </c>
      <c r="R188" s="39">
        <v>6.3789999999999996</v>
      </c>
      <c r="S188" s="39">
        <v>6.52</v>
      </c>
      <c r="T188" s="40">
        <f t="shared" si="28"/>
        <v>-2.1625766871165686E-2</v>
      </c>
      <c r="U188" s="67"/>
      <c r="V188" s="38">
        <v>38473</v>
      </c>
      <c r="W188" s="39">
        <v>1.4495</v>
      </c>
      <c r="X188" s="39">
        <v>1.4275</v>
      </c>
      <c r="Y188" s="40">
        <f t="shared" si="23"/>
        <v>1.541155866900179E-2</v>
      </c>
      <c r="Z188" s="67"/>
      <c r="AA188" s="71">
        <v>38473</v>
      </c>
      <c r="AB188" s="72">
        <v>418.9</v>
      </c>
      <c r="AC188" s="72">
        <v>435.7</v>
      </c>
      <c r="AD188" s="73">
        <f t="shared" si="24"/>
        <v>-3.8558641266926763E-2</v>
      </c>
      <c r="AE188" s="67"/>
      <c r="AF188" s="71">
        <v>38473</v>
      </c>
      <c r="AG188" s="72">
        <v>87.76</v>
      </c>
      <c r="AH188" s="72">
        <v>84.46</v>
      </c>
      <c r="AI188" s="73">
        <f t="shared" si="25"/>
        <v>3.9071749940800427E-2</v>
      </c>
      <c r="AJ188" s="67"/>
      <c r="AK188" s="74">
        <v>38503</v>
      </c>
      <c r="AL188" s="41">
        <v>0.04</v>
      </c>
      <c r="AM188" s="41">
        <f t="shared" si="27"/>
        <v>-2.0999999999999977E-3</v>
      </c>
      <c r="AN188" s="67"/>
      <c r="AO188" s="92">
        <v>38473</v>
      </c>
      <c r="AP188" s="76">
        <v>692670.75</v>
      </c>
      <c r="AQ188" s="80">
        <f t="shared" si="7"/>
        <v>4.4500305973591558E-3</v>
      </c>
      <c r="AR188" s="67"/>
      <c r="AS188" s="97">
        <v>38473</v>
      </c>
      <c r="AT188" s="78">
        <v>0.9415</v>
      </c>
      <c r="AU188" s="67"/>
      <c r="AV188" s="93">
        <v>38473</v>
      </c>
      <c r="AW188" s="76">
        <v>316347.75</v>
      </c>
      <c r="AX188" s="80">
        <f t="shared" si="8"/>
        <v>3.4788742622150703E-2</v>
      </c>
      <c r="AY188" s="67"/>
      <c r="AZ188" s="81">
        <v>38473</v>
      </c>
      <c r="BA188" s="82">
        <v>98.205963134765625</v>
      </c>
      <c r="BB188" s="82">
        <v>89.932693481445313</v>
      </c>
      <c r="BC188" s="67"/>
      <c r="BD188" s="83">
        <v>38487</v>
      </c>
      <c r="BE188" s="42">
        <v>5596</v>
      </c>
      <c r="BF188" s="41">
        <f t="shared" si="9"/>
        <v>5.9320510515907809E-3</v>
      </c>
      <c r="BG188" s="67"/>
      <c r="BH188" s="84">
        <v>38473</v>
      </c>
      <c r="BI188" s="85">
        <v>96.740200000000002</v>
      </c>
      <c r="BJ188" s="87">
        <f t="shared" si="10"/>
        <v>9.0012539677952752E-4</v>
      </c>
      <c r="BK188" s="67"/>
      <c r="BL188" s="84">
        <v>38473</v>
      </c>
      <c r="BM188" s="86">
        <v>85.659951000000007</v>
      </c>
      <c r="BN188" s="67"/>
      <c r="BO188" s="88">
        <v>38473</v>
      </c>
      <c r="BP188" s="89">
        <v>1.4225000000000001</v>
      </c>
      <c r="BQ188" s="89">
        <v>1.4595</v>
      </c>
      <c r="BR188" s="90">
        <f t="shared" si="5"/>
        <v>-2.5351147653305928E-2</v>
      </c>
    </row>
    <row r="189" spans="1:70">
      <c r="A189" s="62">
        <v>38504</v>
      </c>
      <c r="B189" s="63">
        <v>38504</v>
      </c>
      <c r="C189" s="39">
        <v>56.5</v>
      </c>
      <c r="D189" s="64">
        <v>51.95</v>
      </c>
      <c r="E189" s="40">
        <f t="shared" si="21"/>
        <v>8.7584215591915315E-2</v>
      </c>
      <c r="F189" s="65"/>
      <c r="G189" s="63">
        <v>38504</v>
      </c>
      <c r="H189" s="39">
        <v>12.04</v>
      </c>
      <c r="I189" s="39">
        <v>13.34</v>
      </c>
      <c r="J189" s="40">
        <f t="shared" si="26"/>
        <v>-9.7451274362818641E-2</v>
      </c>
      <c r="K189" s="67"/>
      <c r="L189" s="68">
        <v>38504</v>
      </c>
      <c r="M189" s="98">
        <v>1191.3</v>
      </c>
      <c r="N189" s="98">
        <v>1191.5</v>
      </c>
      <c r="O189" s="70">
        <f t="shared" si="22"/>
        <v>-1.6785564414611986E-4</v>
      </c>
      <c r="P189" s="67"/>
      <c r="Q189" s="38">
        <v>38504</v>
      </c>
      <c r="R189" s="39">
        <v>6.9809999999999999</v>
      </c>
      <c r="S189" s="39">
        <v>6.38</v>
      </c>
      <c r="T189" s="40">
        <f t="shared" si="28"/>
        <v>9.4200626959247691E-2</v>
      </c>
      <c r="U189" s="67"/>
      <c r="V189" s="38">
        <v>38504</v>
      </c>
      <c r="W189" s="39">
        <v>1.6361000000000001</v>
      </c>
      <c r="X189" s="39">
        <v>1.462</v>
      </c>
      <c r="Y189" s="40">
        <f t="shared" si="23"/>
        <v>0.11908344733242138</v>
      </c>
      <c r="Z189" s="67"/>
      <c r="AA189" s="71">
        <v>38504</v>
      </c>
      <c r="AB189" s="72">
        <v>437.1</v>
      </c>
      <c r="AC189" s="72">
        <v>418.7</v>
      </c>
      <c r="AD189" s="73">
        <f t="shared" si="24"/>
        <v>4.3945545736804537E-2</v>
      </c>
      <c r="AE189" s="67"/>
      <c r="AF189" s="71">
        <v>38504</v>
      </c>
      <c r="AG189" s="72">
        <v>89.11</v>
      </c>
      <c r="AH189" s="72">
        <v>87.74</v>
      </c>
      <c r="AI189" s="73">
        <f t="shared" si="25"/>
        <v>1.5614315021655001E-2</v>
      </c>
      <c r="AJ189" s="67"/>
      <c r="AK189" s="74">
        <v>38533</v>
      </c>
      <c r="AL189" s="41">
        <v>3.9399999999999998E-2</v>
      </c>
      <c r="AM189" s="41">
        <f t="shared" si="27"/>
        <v>-6.0000000000000331E-4</v>
      </c>
      <c r="AN189" s="67"/>
      <c r="AO189" s="75">
        <v>38504</v>
      </c>
      <c r="AP189" s="76">
        <v>695059.25</v>
      </c>
      <c r="AQ189" s="80">
        <f t="shared" si="7"/>
        <v>3.4482472372334705E-3</v>
      </c>
      <c r="AR189" s="67"/>
      <c r="AS189" s="94">
        <v>38504</v>
      </c>
      <c r="AT189" s="78">
        <v>0.95674999999999999</v>
      </c>
      <c r="AU189" s="67"/>
      <c r="AV189" s="79">
        <v>38504</v>
      </c>
      <c r="AW189" s="76">
        <v>312860.25</v>
      </c>
      <c r="AX189" s="80">
        <f t="shared" si="8"/>
        <v>-1.1024260485494208E-2</v>
      </c>
      <c r="AY189" s="67"/>
      <c r="AZ189" s="81">
        <v>38504</v>
      </c>
      <c r="BA189" s="82">
        <v>81.124053955078125</v>
      </c>
      <c r="BB189" s="82">
        <v>69.882499694824219</v>
      </c>
      <c r="BC189" s="67"/>
      <c r="BD189" s="83">
        <v>38518</v>
      </c>
      <c r="BE189" s="42">
        <v>5442</v>
      </c>
      <c r="BF189" s="41">
        <f t="shared" si="9"/>
        <v>-2.7519656897784128E-2</v>
      </c>
      <c r="BG189" s="67"/>
      <c r="BH189" s="84">
        <v>38504</v>
      </c>
      <c r="BI189" s="85">
        <v>97.175299999999993</v>
      </c>
      <c r="BJ189" s="87">
        <f t="shared" si="10"/>
        <v>4.4976131949281406E-3</v>
      </c>
      <c r="BK189" s="67"/>
      <c r="BL189" s="84">
        <v>38504</v>
      </c>
      <c r="BM189" s="86">
        <v>56.962012000000001</v>
      </c>
      <c r="BN189" s="67"/>
      <c r="BO189" s="88">
        <v>38504</v>
      </c>
      <c r="BP189" s="89">
        <v>1.51</v>
      </c>
      <c r="BQ189" s="89">
        <v>1.4115</v>
      </c>
      <c r="BR189" s="90">
        <f t="shared" si="5"/>
        <v>6.9783917817924257E-2</v>
      </c>
    </row>
    <row r="190" spans="1:70">
      <c r="A190" s="62">
        <v>38534</v>
      </c>
      <c r="B190" s="63">
        <v>38534</v>
      </c>
      <c r="C190" s="39">
        <v>60.57</v>
      </c>
      <c r="D190" s="64">
        <v>56.56</v>
      </c>
      <c r="E190" s="40">
        <f t="shared" si="21"/>
        <v>7.0898161244695945E-2</v>
      </c>
      <c r="F190" s="65"/>
      <c r="G190" s="63">
        <v>38534</v>
      </c>
      <c r="H190" s="39">
        <v>11.57</v>
      </c>
      <c r="I190" s="39">
        <v>11.75</v>
      </c>
      <c r="J190" s="40">
        <f t="shared" si="26"/>
        <v>-1.5319148936170146E-2</v>
      </c>
      <c r="K190" s="67"/>
      <c r="L190" s="68">
        <v>38534</v>
      </c>
      <c r="M190" s="98">
        <v>1234.2</v>
      </c>
      <c r="N190" s="98">
        <v>1191.3</v>
      </c>
      <c r="O190" s="70">
        <f t="shared" si="22"/>
        <v>3.6011080332410073E-2</v>
      </c>
      <c r="P190" s="67"/>
      <c r="Q190" s="38">
        <v>38534</v>
      </c>
      <c r="R190" s="39">
        <v>7.8849999999999998</v>
      </c>
      <c r="S190" s="39">
        <v>6.98</v>
      </c>
      <c r="T190" s="40">
        <f t="shared" si="28"/>
        <v>0.12965616045845252</v>
      </c>
      <c r="U190" s="67"/>
      <c r="V190" s="38">
        <v>38534</v>
      </c>
      <c r="W190" s="39">
        <v>1.6761999999999999</v>
      </c>
      <c r="X190" s="39">
        <v>1.6597999999999999</v>
      </c>
      <c r="Y190" s="40">
        <f t="shared" si="23"/>
        <v>9.8807085190986133E-3</v>
      </c>
      <c r="Z190" s="67"/>
      <c r="AA190" s="71">
        <v>38534</v>
      </c>
      <c r="AB190" s="72">
        <v>435.8</v>
      </c>
      <c r="AC190" s="72">
        <v>436.5</v>
      </c>
      <c r="AD190" s="73">
        <f t="shared" si="24"/>
        <v>-1.6036655211912887E-3</v>
      </c>
      <c r="AE190" s="67"/>
      <c r="AF190" s="71">
        <v>38534</v>
      </c>
      <c r="AG190" s="72">
        <v>89.35</v>
      </c>
      <c r="AH190" s="72">
        <v>89.17</v>
      </c>
      <c r="AI190" s="73">
        <f t="shared" si="25"/>
        <v>2.0186161264998947E-3</v>
      </c>
      <c r="AJ190" s="67"/>
      <c r="AK190" s="74">
        <v>38564</v>
      </c>
      <c r="AL190" s="41">
        <v>4.2800000000000005E-2</v>
      </c>
      <c r="AM190" s="41">
        <f t="shared" si="27"/>
        <v>3.4000000000000072E-3</v>
      </c>
      <c r="AN190" s="67"/>
      <c r="AO190" s="75">
        <v>38534</v>
      </c>
      <c r="AP190" s="76">
        <v>697397.8</v>
      </c>
      <c r="AQ190" s="80">
        <f t="shared" si="7"/>
        <v>3.364533311368767E-3</v>
      </c>
      <c r="AR190" s="67"/>
      <c r="AS190" s="94">
        <v>38534</v>
      </c>
      <c r="AT190" s="78">
        <v>0.95279999999999998</v>
      </c>
      <c r="AU190" s="67"/>
      <c r="AV190" s="79">
        <v>38534</v>
      </c>
      <c r="AW190" s="76">
        <v>304366</v>
      </c>
      <c r="AX190" s="80">
        <f t="shared" si="8"/>
        <v>-2.7150301132853993E-2</v>
      </c>
      <c r="AY190" s="67"/>
      <c r="AZ190" s="81">
        <v>38534</v>
      </c>
      <c r="BA190" s="82">
        <v>165.90191650390625</v>
      </c>
      <c r="BB190" s="82">
        <v>118.18357086181641</v>
      </c>
      <c r="BC190" s="67"/>
      <c r="BD190" s="83">
        <v>38548</v>
      </c>
      <c r="BE190" s="42">
        <v>5253</v>
      </c>
      <c r="BF190" s="41">
        <f t="shared" si="9"/>
        <v>-3.4729878721058483E-2</v>
      </c>
      <c r="BG190" s="67"/>
      <c r="BH190" s="84">
        <v>38534</v>
      </c>
      <c r="BI190" s="85">
        <v>96.867599999999996</v>
      </c>
      <c r="BJ190" s="87">
        <f t="shared" si="10"/>
        <v>-3.1664425013351316E-3</v>
      </c>
      <c r="BK190" s="67"/>
      <c r="BL190" s="84">
        <v>38534</v>
      </c>
      <c r="BM190" s="86">
        <v>35.138776</v>
      </c>
      <c r="BN190" s="67"/>
      <c r="BO190" s="88">
        <v>38534</v>
      </c>
      <c r="BP190" s="89">
        <v>1.6225000000000001</v>
      </c>
      <c r="BQ190" s="89">
        <v>1.4735</v>
      </c>
      <c r="BR190" s="90">
        <f t="shared" si="5"/>
        <v>0.10111978282999656</v>
      </c>
    </row>
    <row r="191" spans="1:70">
      <c r="A191" s="62">
        <v>38565</v>
      </c>
      <c r="B191" s="63">
        <v>38565</v>
      </c>
      <c r="C191" s="39">
        <v>68.94</v>
      </c>
      <c r="D191" s="64">
        <v>60.51</v>
      </c>
      <c r="E191" s="40">
        <f t="shared" si="21"/>
        <v>0.13931581556767481</v>
      </c>
      <c r="F191" s="65"/>
      <c r="G191" s="63">
        <v>38565</v>
      </c>
      <c r="H191" s="39">
        <v>12.6</v>
      </c>
      <c r="I191" s="39">
        <v>11.75</v>
      </c>
      <c r="J191" s="40">
        <f t="shared" si="26"/>
        <v>7.2340425531914887E-2</v>
      </c>
      <c r="K191" s="67"/>
      <c r="L191" s="68">
        <v>38565</v>
      </c>
      <c r="M191" s="98">
        <v>1220.3</v>
      </c>
      <c r="N191" s="98">
        <v>1234.2</v>
      </c>
      <c r="O191" s="70">
        <f t="shared" si="22"/>
        <v>-1.126235618214233E-2</v>
      </c>
      <c r="P191" s="67"/>
      <c r="Q191" s="38">
        <v>38565</v>
      </c>
      <c r="R191" s="39">
        <v>11.472</v>
      </c>
      <c r="S191" s="39">
        <v>7.9</v>
      </c>
      <c r="T191" s="40">
        <f t="shared" si="28"/>
        <v>0.45215189873417705</v>
      </c>
      <c r="U191" s="67"/>
      <c r="V191" s="38">
        <v>38565</v>
      </c>
      <c r="W191" s="39">
        <v>2.0764999999999998</v>
      </c>
      <c r="X191" s="39">
        <v>1.7241</v>
      </c>
      <c r="Y191" s="40">
        <f t="shared" si="23"/>
        <v>0.2043964967229277</v>
      </c>
      <c r="Z191" s="67"/>
      <c r="AA191" s="71">
        <v>38565</v>
      </c>
      <c r="AB191" s="72">
        <v>438.1</v>
      </c>
      <c r="AC191" s="72">
        <v>435.4</v>
      </c>
      <c r="AD191" s="73">
        <f t="shared" si="24"/>
        <v>6.2011943040882755E-3</v>
      </c>
      <c r="AE191" s="67"/>
      <c r="AF191" s="71">
        <v>38565</v>
      </c>
      <c r="AG191" s="72">
        <v>87.58</v>
      </c>
      <c r="AH191" s="72">
        <v>89.41</v>
      </c>
      <c r="AI191" s="73">
        <f t="shared" si="25"/>
        <v>-2.0467509227155789E-2</v>
      </c>
      <c r="AJ191" s="67"/>
      <c r="AK191" s="74">
        <v>38595</v>
      </c>
      <c r="AL191" s="41">
        <v>4.0199999999999993E-2</v>
      </c>
      <c r="AM191" s="41">
        <f t="shared" si="27"/>
        <v>-2.600000000000012E-3</v>
      </c>
      <c r="AN191" s="67"/>
      <c r="AO191" s="75">
        <v>38565</v>
      </c>
      <c r="AP191" s="76">
        <v>699855</v>
      </c>
      <c r="AQ191" s="80">
        <f t="shared" si="7"/>
        <v>3.5233836413020025E-3</v>
      </c>
      <c r="AR191" s="67"/>
      <c r="AS191" s="94">
        <v>38565</v>
      </c>
      <c r="AT191" s="78">
        <v>0.94750000000000001</v>
      </c>
      <c r="AU191" s="67"/>
      <c r="AV191" s="79">
        <v>38565</v>
      </c>
      <c r="AW191" s="76">
        <v>305516.75</v>
      </c>
      <c r="AX191" s="80">
        <f t="shared" si="8"/>
        <v>3.7808099459204492E-3</v>
      </c>
      <c r="AY191" s="67"/>
      <c r="AZ191" s="81">
        <v>38565</v>
      </c>
      <c r="BA191" s="82">
        <v>116.2276611328125</v>
      </c>
      <c r="BB191" s="82">
        <v>92.683074951171875</v>
      </c>
      <c r="BC191" s="67"/>
      <c r="BD191" s="83">
        <v>38579</v>
      </c>
      <c r="BE191" s="42">
        <v>5198</v>
      </c>
      <c r="BF191" s="41">
        <f t="shared" si="9"/>
        <v>-1.0470207500475892E-2</v>
      </c>
      <c r="BG191" s="67"/>
      <c r="BH191" s="84">
        <v>38565</v>
      </c>
      <c r="BI191" s="85">
        <v>97.183300000000003</v>
      </c>
      <c r="BJ191" s="87">
        <f t="shared" si="10"/>
        <v>3.2590876619220666E-3</v>
      </c>
      <c r="BK191" s="67"/>
      <c r="BL191" s="84">
        <v>38565</v>
      </c>
      <c r="BM191" s="86">
        <v>34.105024999999998</v>
      </c>
      <c r="BN191" s="67"/>
      <c r="BO191" s="88">
        <v>38565</v>
      </c>
      <c r="BP191" s="89">
        <v>1.6679999999999999</v>
      </c>
      <c r="BQ191" s="89">
        <v>1.62</v>
      </c>
      <c r="BR191" s="90">
        <f t="shared" si="5"/>
        <v>2.962962962962945E-2</v>
      </c>
    </row>
    <row r="192" spans="1:70">
      <c r="A192" s="62">
        <v>38596</v>
      </c>
      <c r="B192" s="63">
        <v>38596</v>
      </c>
      <c r="C192" s="39">
        <v>66.239999999999995</v>
      </c>
      <c r="D192" s="64">
        <v>68.75</v>
      </c>
      <c r="E192" s="40">
        <f t="shared" si="21"/>
        <v>-3.6509090909090935E-2</v>
      </c>
      <c r="F192" s="65"/>
      <c r="G192" s="63">
        <v>38596</v>
      </c>
      <c r="H192" s="39">
        <v>11.92</v>
      </c>
      <c r="I192" s="39">
        <v>12.86</v>
      </c>
      <c r="J192" s="40">
        <f t="shared" si="26"/>
        <v>-7.3094867807153907E-2</v>
      </c>
      <c r="K192" s="67"/>
      <c r="L192" s="68">
        <v>38596</v>
      </c>
      <c r="M192" s="98">
        <v>1228.8</v>
      </c>
      <c r="N192" s="98">
        <v>1220.3</v>
      </c>
      <c r="O192" s="70">
        <f t="shared" si="22"/>
        <v>6.965500286814752E-3</v>
      </c>
      <c r="P192" s="67"/>
      <c r="Q192" s="38">
        <v>38596</v>
      </c>
      <c r="R192" s="39">
        <v>13.920999999999999</v>
      </c>
      <c r="S192" s="39">
        <v>11.419</v>
      </c>
      <c r="T192" s="40">
        <f t="shared" si="28"/>
        <v>0.21910850337157362</v>
      </c>
      <c r="U192" s="67"/>
      <c r="V192" s="38">
        <v>38596</v>
      </c>
      <c r="W192" s="39">
        <v>2.1295999999999999</v>
      </c>
      <c r="X192" s="39">
        <v>2.089</v>
      </c>
      <c r="Y192" s="40">
        <f t="shared" si="23"/>
        <v>1.9435136428913369E-2</v>
      </c>
      <c r="Z192" s="67"/>
      <c r="AA192" s="71">
        <v>38596</v>
      </c>
      <c r="AB192" s="72">
        <v>472.3</v>
      </c>
      <c r="AC192" s="72">
        <v>438.4</v>
      </c>
      <c r="AD192" s="73">
        <f t="shared" si="24"/>
        <v>7.7326642335766582E-2</v>
      </c>
      <c r="AE192" s="67"/>
      <c r="AF192" s="71">
        <v>38596</v>
      </c>
      <c r="AG192" s="72">
        <v>89.52</v>
      </c>
      <c r="AH192" s="72">
        <v>87.59</v>
      </c>
      <c r="AI192" s="73">
        <f t="shared" si="25"/>
        <v>2.2034478821783221E-2</v>
      </c>
      <c r="AJ192" s="67"/>
      <c r="AK192" s="74">
        <v>38625</v>
      </c>
      <c r="AL192" s="41">
        <v>4.3400000000000001E-2</v>
      </c>
      <c r="AM192" s="41">
        <f t="shared" si="27"/>
        <v>3.2000000000000084E-3</v>
      </c>
      <c r="AN192" s="67"/>
      <c r="AO192" s="75">
        <v>38596</v>
      </c>
      <c r="AP192" s="76">
        <v>696982.8</v>
      </c>
      <c r="AQ192" s="80">
        <f t="shared" si="7"/>
        <v>-4.1039929699723254E-3</v>
      </c>
      <c r="AR192" s="67"/>
      <c r="AS192" s="94">
        <v>38596</v>
      </c>
      <c r="AT192" s="78">
        <v>0.84279999999999999</v>
      </c>
      <c r="AU192" s="67"/>
      <c r="AV192" s="79">
        <v>38596</v>
      </c>
      <c r="AW192" s="76">
        <v>292482.8</v>
      </c>
      <c r="AX192" s="80">
        <f t="shared" si="8"/>
        <v>-4.2661981708040586E-2</v>
      </c>
      <c r="AY192" s="67"/>
      <c r="AZ192" s="81">
        <v>38596</v>
      </c>
      <c r="BA192" s="82">
        <v>103.80766296386719</v>
      </c>
      <c r="BB192" s="82">
        <v>78.456703186035156</v>
      </c>
      <c r="BC192" s="67"/>
      <c r="BD192" s="83">
        <v>38610</v>
      </c>
      <c r="BE192" s="42">
        <v>4214</v>
      </c>
      <c r="BF192" s="41">
        <f t="shared" si="9"/>
        <v>-0.18930357829934585</v>
      </c>
      <c r="BG192" s="67"/>
      <c r="BH192" s="84">
        <v>38596</v>
      </c>
      <c r="BI192" s="85">
        <v>95.3005</v>
      </c>
      <c r="BJ192" s="87">
        <f t="shared" si="10"/>
        <v>-1.9373698979145648E-2</v>
      </c>
      <c r="BK192" s="67"/>
      <c r="BL192" s="84">
        <v>38596</v>
      </c>
      <c r="BM192" s="86">
        <v>56.846221999999997</v>
      </c>
      <c r="BN192" s="67"/>
      <c r="BO192" s="88">
        <v>38596</v>
      </c>
      <c r="BP192" s="89">
        <v>1.7275</v>
      </c>
      <c r="BQ192" s="89">
        <v>1.6435</v>
      </c>
      <c r="BR192" s="90">
        <f t="shared" si="5"/>
        <v>5.11104350471554E-2</v>
      </c>
    </row>
    <row r="193" spans="1:70">
      <c r="A193" s="62">
        <v>38626</v>
      </c>
      <c r="B193" s="63">
        <v>38626</v>
      </c>
      <c r="C193" s="39">
        <v>59.76</v>
      </c>
      <c r="D193" s="64">
        <v>66.2</v>
      </c>
      <c r="E193" s="40">
        <f t="shared" si="21"/>
        <v>-9.7280966767371635E-2</v>
      </c>
      <c r="F193" s="65"/>
      <c r="G193" s="63">
        <v>38626</v>
      </c>
      <c r="H193" s="39">
        <v>15.32</v>
      </c>
      <c r="I193" s="39">
        <v>12.37</v>
      </c>
      <c r="J193" s="40">
        <f t="shared" si="26"/>
        <v>0.23848019401778497</v>
      </c>
      <c r="K193" s="67"/>
      <c r="L193" s="68">
        <v>38626</v>
      </c>
      <c r="M193" s="98">
        <v>1207</v>
      </c>
      <c r="N193" s="98">
        <v>1228.8</v>
      </c>
      <c r="O193" s="70">
        <f t="shared" si="22"/>
        <v>-1.774088541666663E-2</v>
      </c>
      <c r="P193" s="67"/>
      <c r="Q193" s="38">
        <v>38626</v>
      </c>
      <c r="R193" s="39">
        <v>12.205</v>
      </c>
      <c r="S193" s="39">
        <v>13.802</v>
      </c>
      <c r="T193" s="40">
        <f t="shared" si="28"/>
        <v>-0.11570786842486591</v>
      </c>
      <c r="U193" s="67"/>
      <c r="V193" s="38">
        <v>38626</v>
      </c>
      <c r="W193" s="39">
        <v>1.8239000000000001</v>
      </c>
      <c r="X193" s="39">
        <v>2.1597</v>
      </c>
      <c r="Y193" s="40">
        <f t="shared" si="23"/>
        <v>-0.15548455804046857</v>
      </c>
      <c r="Z193" s="67"/>
      <c r="AA193" s="71">
        <v>38626</v>
      </c>
      <c r="AB193" s="72">
        <v>466.9</v>
      </c>
      <c r="AC193" s="72">
        <v>471.5</v>
      </c>
      <c r="AD193" s="73">
        <f t="shared" si="24"/>
        <v>-9.7560975609756184E-3</v>
      </c>
      <c r="AE193" s="67"/>
      <c r="AF193" s="71">
        <v>38626</v>
      </c>
      <c r="AG193" s="72">
        <v>90.07</v>
      </c>
      <c r="AH193" s="72">
        <v>89.51</v>
      </c>
      <c r="AI193" s="73">
        <f t="shared" si="25"/>
        <v>6.2562842140541086E-3</v>
      </c>
      <c r="AJ193" s="67"/>
      <c r="AK193" s="74">
        <v>38656</v>
      </c>
      <c r="AL193" s="41">
        <v>4.5700000000000005E-2</v>
      </c>
      <c r="AM193" s="41">
        <f t="shared" si="27"/>
        <v>2.3000000000000034E-3</v>
      </c>
      <c r="AN193" s="67"/>
      <c r="AO193" s="75">
        <v>38626</v>
      </c>
      <c r="AP193" s="76">
        <v>687880</v>
      </c>
      <c r="AQ193" s="80">
        <f t="shared" si="7"/>
        <v>-1.3060293596915185E-2</v>
      </c>
      <c r="AR193" s="67"/>
      <c r="AS193" s="94">
        <v>38626</v>
      </c>
      <c r="AT193" s="78">
        <v>0.79299999999999993</v>
      </c>
      <c r="AU193" s="67"/>
      <c r="AV193" s="79">
        <v>38626</v>
      </c>
      <c r="AW193" s="76">
        <v>297380.75</v>
      </c>
      <c r="AX193" s="80">
        <f t="shared" si="8"/>
        <v>1.6746112933820445E-2</v>
      </c>
      <c r="AY193" s="67"/>
      <c r="AZ193" s="81">
        <v>38626</v>
      </c>
      <c r="BA193" s="82">
        <v>87.06182861328125</v>
      </c>
      <c r="BB193" s="82">
        <v>73.187652587890625</v>
      </c>
      <c r="BC193" s="67"/>
      <c r="BD193" s="83">
        <v>38640</v>
      </c>
      <c r="BE193" s="42">
        <v>4555</v>
      </c>
      <c r="BF193" s="41">
        <f t="shared" si="9"/>
        <v>8.0920740389178958E-2</v>
      </c>
      <c r="BG193" s="67"/>
      <c r="BH193" s="84">
        <v>38626</v>
      </c>
      <c r="BI193" s="85">
        <v>96.4572</v>
      </c>
      <c r="BJ193" s="87">
        <f t="shared" si="10"/>
        <v>1.2137396970635095E-2</v>
      </c>
      <c r="BK193" s="67"/>
      <c r="BL193" s="84">
        <v>38626</v>
      </c>
      <c r="BM193" s="86">
        <v>68.846945000000005</v>
      </c>
      <c r="BN193" s="67"/>
      <c r="BO193" s="88">
        <v>38626</v>
      </c>
      <c r="BP193" s="89">
        <v>1.792</v>
      </c>
      <c r="BQ193" s="89">
        <v>1.7344999999999999</v>
      </c>
      <c r="BR193" s="90">
        <f t="shared" si="5"/>
        <v>3.3150763908907477E-2</v>
      </c>
    </row>
    <row r="194" spans="1:70">
      <c r="A194" s="62">
        <v>38657</v>
      </c>
      <c r="B194" s="63">
        <v>38657</v>
      </c>
      <c r="C194" s="39">
        <v>57.32</v>
      </c>
      <c r="D194" s="64">
        <v>59.76</v>
      </c>
      <c r="E194" s="40">
        <f t="shared" si="21"/>
        <v>-4.0829986613119096E-2</v>
      </c>
      <c r="F194" s="65"/>
      <c r="G194" s="63">
        <v>38657</v>
      </c>
      <c r="H194" s="39">
        <v>12.06</v>
      </c>
      <c r="I194" s="39">
        <v>14.85</v>
      </c>
      <c r="J194" s="40">
        <f t="shared" si="26"/>
        <v>-0.18787878787878787</v>
      </c>
      <c r="K194" s="67"/>
      <c r="L194" s="68">
        <v>38657</v>
      </c>
      <c r="M194" s="98">
        <v>1249.5</v>
      </c>
      <c r="N194" s="98">
        <v>1207</v>
      </c>
      <c r="O194" s="70">
        <f t="shared" si="22"/>
        <v>3.5211267605633756E-2</v>
      </c>
      <c r="P194" s="67"/>
      <c r="Q194" s="38">
        <v>38657</v>
      </c>
      <c r="R194" s="39">
        <v>12.587</v>
      </c>
      <c r="S194" s="39">
        <v>12.21</v>
      </c>
      <c r="T194" s="40">
        <f t="shared" si="28"/>
        <v>3.0876330876330682E-2</v>
      </c>
      <c r="U194" s="67"/>
      <c r="V194" s="38">
        <v>38657</v>
      </c>
      <c r="W194" s="39">
        <v>1.6897</v>
      </c>
      <c r="X194" s="39">
        <v>1.877</v>
      </c>
      <c r="Y194" s="40">
        <f t="shared" si="23"/>
        <v>-9.9786893979754931E-2</v>
      </c>
      <c r="Z194" s="67"/>
      <c r="AA194" s="71">
        <v>38657</v>
      </c>
      <c r="AB194" s="72">
        <v>498.7</v>
      </c>
      <c r="AC194" s="72">
        <v>466.5</v>
      </c>
      <c r="AD194" s="73">
        <f t="shared" si="24"/>
        <v>6.9024651661307557E-2</v>
      </c>
      <c r="AE194" s="67"/>
      <c r="AF194" s="71">
        <v>38657</v>
      </c>
      <c r="AG194" s="72">
        <v>91.57</v>
      </c>
      <c r="AH194" s="72">
        <v>90.12</v>
      </c>
      <c r="AI194" s="73">
        <f t="shared" si="25"/>
        <v>1.608965823346642E-2</v>
      </c>
      <c r="AJ194" s="67"/>
      <c r="AK194" s="74">
        <v>38686</v>
      </c>
      <c r="AL194" s="41">
        <v>4.4900000000000002E-2</v>
      </c>
      <c r="AM194" s="41">
        <f t="shared" si="27"/>
        <v>-8.000000000000021E-4</v>
      </c>
      <c r="AN194" s="67"/>
      <c r="AO194" s="75">
        <v>38657</v>
      </c>
      <c r="AP194" s="76">
        <v>684675</v>
      </c>
      <c r="AQ194" s="80">
        <f t="shared" si="7"/>
        <v>-4.659242891202009E-3</v>
      </c>
      <c r="AR194" s="67"/>
      <c r="AS194" s="94">
        <v>38657</v>
      </c>
      <c r="AT194" s="78">
        <v>0.86900000000000011</v>
      </c>
      <c r="AU194" s="67"/>
      <c r="AV194" s="79">
        <v>38657</v>
      </c>
      <c r="AW194" s="76">
        <v>304946.75</v>
      </c>
      <c r="AX194" s="80">
        <f t="shared" si="8"/>
        <v>2.5442131005453339E-2</v>
      </c>
      <c r="AY194" s="67"/>
      <c r="AZ194" s="81">
        <v>38657</v>
      </c>
      <c r="BA194" s="82">
        <v>83.480094909667969</v>
      </c>
      <c r="BB194" s="82">
        <v>70.604461669921875</v>
      </c>
      <c r="BC194" s="67"/>
      <c r="BD194" s="83">
        <v>38671</v>
      </c>
      <c r="BE194" s="42">
        <v>4857</v>
      </c>
      <c r="BF194" s="41">
        <f t="shared" si="9"/>
        <v>6.6300768386388542E-2</v>
      </c>
      <c r="BG194" s="67"/>
      <c r="BH194" s="84">
        <v>38657</v>
      </c>
      <c r="BI194" s="85">
        <v>97.541399999999996</v>
      </c>
      <c r="BJ194" s="87">
        <f t="shared" si="10"/>
        <v>1.1240218459586115E-2</v>
      </c>
      <c r="BK194" s="67"/>
      <c r="BL194" s="84">
        <v>38657</v>
      </c>
      <c r="BM194" s="86">
        <v>61.450277</v>
      </c>
      <c r="BN194" s="67"/>
      <c r="BO194" s="88">
        <v>38657</v>
      </c>
      <c r="BP194" s="89">
        <v>1.9655</v>
      </c>
      <c r="BQ194" s="89">
        <v>1.774</v>
      </c>
      <c r="BR194" s="90">
        <f t="shared" si="5"/>
        <v>0.10794813979706874</v>
      </c>
    </row>
    <row r="195" spans="1:70">
      <c r="A195" s="62">
        <v>38687</v>
      </c>
      <c r="B195" s="63">
        <v>38687</v>
      </c>
      <c r="C195" s="39">
        <v>61.04</v>
      </c>
      <c r="D195" s="64">
        <v>57.4</v>
      </c>
      <c r="E195" s="40">
        <f t="shared" si="21"/>
        <v>6.341463414634152E-2</v>
      </c>
      <c r="F195" s="65"/>
      <c r="G195" s="63">
        <v>38687</v>
      </c>
      <c r="H195" s="39">
        <v>12.07</v>
      </c>
      <c r="I195" s="39">
        <v>12.09</v>
      </c>
      <c r="J195" s="40">
        <f t="shared" si="26"/>
        <v>-1.6542597187758634E-3</v>
      </c>
      <c r="K195" s="67"/>
      <c r="L195" s="68">
        <v>38687</v>
      </c>
      <c r="M195" s="98">
        <v>1248.3</v>
      </c>
      <c r="N195" s="98">
        <v>1249.5</v>
      </c>
      <c r="O195" s="70">
        <f t="shared" si="22"/>
        <v>-9.6038415366150875E-4</v>
      </c>
      <c r="P195" s="67"/>
      <c r="Q195" s="38">
        <v>38687</v>
      </c>
      <c r="R195" s="39">
        <v>11.225</v>
      </c>
      <c r="S195" s="39">
        <v>12.62</v>
      </c>
      <c r="T195" s="40">
        <f t="shared" si="28"/>
        <v>-0.11053882725832009</v>
      </c>
      <c r="U195" s="67"/>
      <c r="V195" s="38">
        <v>38687</v>
      </c>
      <c r="W195" s="39">
        <v>1.7698</v>
      </c>
      <c r="X195" s="39">
        <v>1.7296</v>
      </c>
      <c r="Y195" s="40">
        <f t="shared" si="23"/>
        <v>2.3242368177613271E-2</v>
      </c>
      <c r="Z195" s="67"/>
      <c r="AA195" s="71">
        <v>38687</v>
      </c>
      <c r="AB195" s="72">
        <v>519.70000000000005</v>
      </c>
      <c r="AC195" s="72">
        <v>498</v>
      </c>
      <c r="AD195" s="73">
        <f t="shared" si="24"/>
        <v>4.3574297188755162E-2</v>
      </c>
      <c r="AE195" s="67"/>
      <c r="AF195" s="71">
        <v>38687</v>
      </c>
      <c r="AG195" s="72">
        <v>91.17</v>
      </c>
      <c r="AH195" s="72">
        <v>91.54</v>
      </c>
      <c r="AI195" s="73">
        <f t="shared" si="25"/>
        <v>-4.0419488748089094E-3</v>
      </c>
      <c r="AJ195" s="67"/>
      <c r="AK195" s="74">
        <v>38717</v>
      </c>
      <c r="AL195" s="41">
        <v>4.3899999999999995E-2</v>
      </c>
      <c r="AM195" s="41">
        <f t="shared" si="27"/>
        <v>-1.0000000000000078E-3</v>
      </c>
      <c r="AN195" s="67"/>
      <c r="AO195" s="75">
        <v>38687</v>
      </c>
      <c r="AP195" s="76">
        <v>685200</v>
      </c>
      <c r="AQ195" s="80">
        <f t="shared" si="7"/>
        <v>7.6678716179201523E-4</v>
      </c>
      <c r="AR195" s="67"/>
      <c r="AS195" s="94">
        <v>38687</v>
      </c>
      <c r="AT195" s="78">
        <v>0.89400000000000002</v>
      </c>
      <c r="AU195" s="67"/>
      <c r="AV195" s="79">
        <v>38687</v>
      </c>
      <c r="AW195" s="76">
        <v>305568.2</v>
      </c>
      <c r="AX195" s="80">
        <f t="shared" si="8"/>
        <v>2.0378967803396097E-3</v>
      </c>
      <c r="AY195" s="67"/>
      <c r="AZ195" s="81">
        <v>38687</v>
      </c>
      <c r="BA195" s="82">
        <v>95.350250244140625</v>
      </c>
      <c r="BB195" s="82">
        <v>69.644607543945313</v>
      </c>
      <c r="BC195" s="67"/>
      <c r="BD195" s="83">
        <v>38701</v>
      </c>
      <c r="BE195" s="42">
        <v>4988</v>
      </c>
      <c r="BF195" s="41">
        <f t="shared" si="9"/>
        <v>2.6971381511220915E-2</v>
      </c>
      <c r="BG195" s="67"/>
      <c r="BH195" s="84">
        <v>38687</v>
      </c>
      <c r="BI195" s="85">
        <v>98.045199999999994</v>
      </c>
      <c r="BJ195" s="87">
        <f t="shared" si="10"/>
        <v>5.1649863545120134E-3</v>
      </c>
      <c r="BK195" s="67"/>
      <c r="BL195" s="84">
        <v>38687</v>
      </c>
      <c r="BM195" s="86">
        <v>50.147508999999999</v>
      </c>
      <c r="BN195" s="67"/>
      <c r="BO195" s="88">
        <v>38687</v>
      </c>
      <c r="BP195" s="89">
        <v>2.0419999999999998</v>
      </c>
      <c r="BQ195" s="89">
        <v>1.966</v>
      </c>
      <c r="BR195" s="90">
        <f t="shared" si="5"/>
        <v>3.8657171922685585E-2</v>
      </c>
    </row>
    <row r="196" spans="1:70">
      <c r="A196" s="62">
        <v>38718</v>
      </c>
      <c r="B196" s="63">
        <v>38718</v>
      </c>
      <c r="C196" s="39">
        <v>67.92</v>
      </c>
      <c r="D196" s="64">
        <v>61.04</v>
      </c>
      <c r="E196" s="40">
        <f t="shared" ref="E196:E259" si="29">C196/D196-1</f>
        <v>0.11271297509829625</v>
      </c>
      <c r="F196" s="65"/>
      <c r="G196" s="63">
        <v>38718</v>
      </c>
      <c r="H196" s="39">
        <v>12.95</v>
      </c>
      <c r="I196" s="39">
        <v>12.25</v>
      </c>
      <c r="J196" s="40">
        <f t="shared" si="26"/>
        <v>5.7142857142857162E-2</v>
      </c>
      <c r="K196" s="67"/>
      <c r="L196" s="68">
        <v>38718</v>
      </c>
      <c r="M196" s="98">
        <v>1280.0999999999999</v>
      </c>
      <c r="N196" s="98">
        <v>1248.3</v>
      </c>
      <c r="O196" s="70">
        <f t="shared" ref="O196:O259" si="30">M196/N196-1</f>
        <v>2.5474645517904237E-2</v>
      </c>
      <c r="P196" s="67"/>
      <c r="Q196" s="38">
        <v>38718</v>
      </c>
      <c r="R196" s="39">
        <v>9.3160000000000007</v>
      </c>
      <c r="S196" s="39">
        <v>10.7</v>
      </c>
      <c r="T196" s="40">
        <f t="shared" si="28"/>
        <v>-0.12934579439252325</v>
      </c>
      <c r="U196" s="67"/>
      <c r="V196" s="38">
        <v>38718</v>
      </c>
      <c r="W196" s="39">
        <v>1.8479000000000001</v>
      </c>
      <c r="X196" s="39">
        <v>1.7811999999999999</v>
      </c>
      <c r="Y196" s="40">
        <f t="shared" ref="Y196:Y259" si="31">W196/X196-1</f>
        <v>3.7446665169548643E-2</v>
      </c>
      <c r="Z196" s="67"/>
      <c r="AA196" s="71">
        <v>38718</v>
      </c>
      <c r="AB196" s="72">
        <v>575.5</v>
      </c>
      <c r="AC196" s="72">
        <v>519.9</v>
      </c>
      <c r="AD196" s="73">
        <f t="shared" ref="AD196:AD259" si="32">AB196/AC196-1</f>
        <v>0.10694364300827086</v>
      </c>
      <c r="AE196" s="67"/>
      <c r="AF196" s="71">
        <v>38718</v>
      </c>
      <c r="AG196" s="72">
        <v>88.96</v>
      </c>
      <c r="AH196" s="72">
        <v>90.75</v>
      </c>
      <c r="AI196" s="73">
        <f t="shared" ref="AI196:AI259" si="33">AG196/AH196-1</f>
        <v>-1.9724517906336114E-2</v>
      </c>
      <c r="AJ196" s="67"/>
      <c r="AK196" s="74">
        <v>38748</v>
      </c>
      <c r="AL196" s="41">
        <v>4.53E-2</v>
      </c>
      <c r="AM196" s="41">
        <f t="shared" si="27"/>
        <v>1.4000000000000054E-3</v>
      </c>
      <c r="AN196" s="67"/>
      <c r="AO196" s="75">
        <v>38718</v>
      </c>
      <c r="AP196" s="76">
        <v>684199</v>
      </c>
      <c r="AQ196" s="80">
        <f t="shared" si="7"/>
        <v>-1.4608873321657612E-3</v>
      </c>
      <c r="AR196" s="67"/>
      <c r="AS196" s="94">
        <v>38718</v>
      </c>
      <c r="AT196" s="78">
        <v>0.87375000000000003</v>
      </c>
      <c r="AU196" s="67"/>
      <c r="AV196" s="79">
        <v>38718</v>
      </c>
      <c r="AW196" s="76">
        <v>303965</v>
      </c>
      <c r="AX196" s="80">
        <f t="shared" si="8"/>
        <v>-5.2466192489926122E-3</v>
      </c>
      <c r="AY196" s="67"/>
      <c r="AZ196" s="81">
        <v>38718</v>
      </c>
      <c r="BA196" s="82">
        <v>94.510017395019531</v>
      </c>
      <c r="BB196" s="82">
        <v>89.323471069335938</v>
      </c>
      <c r="BC196" s="67"/>
      <c r="BD196" s="83">
        <v>38732</v>
      </c>
      <c r="BE196" s="42">
        <v>5048</v>
      </c>
      <c r="BF196" s="41">
        <f t="shared" si="9"/>
        <v>1.2028869286287103E-2</v>
      </c>
      <c r="BG196" s="67"/>
      <c r="BH196" s="84">
        <v>38718</v>
      </c>
      <c r="BI196" s="85">
        <v>98.1999</v>
      </c>
      <c r="BJ196" s="87">
        <f t="shared" si="10"/>
        <v>1.5778436884212876E-3</v>
      </c>
      <c r="BK196" s="67"/>
      <c r="BL196" s="84">
        <v>38718</v>
      </c>
      <c r="BM196" s="86">
        <v>35.784742999999999</v>
      </c>
      <c r="BN196" s="67"/>
      <c r="BO196" s="88">
        <v>38718</v>
      </c>
      <c r="BP196" s="89">
        <v>2.2155</v>
      </c>
      <c r="BQ196" s="89">
        <v>2.0345</v>
      </c>
      <c r="BR196" s="90">
        <f t="shared" si="5"/>
        <v>8.8965347751290169E-2</v>
      </c>
    </row>
    <row r="197" spans="1:70">
      <c r="A197" s="62">
        <v>38749</v>
      </c>
      <c r="B197" s="63">
        <v>38749</v>
      </c>
      <c r="C197" s="39">
        <v>61.41</v>
      </c>
      <c r="D197" s="64">
        <v>67.8</v>
      </c>
      <c r="E197" s="40">
        <f t="shared" si="29"/>
        <v>-9.4247787610619471E-2</v>
      </c>
      <c r="F197" s="65"/>
      <c r="G197" s="63">
        <v>38749</v>
      </c>
      <c r="H197" s="39">
        <v>12.34</v>
      </c>
      <c r="I197" s="39">
        <v>13.03</v>
      </c>
      <c r="J197" s="40">
        <f t="shared" ref="J197:J260" si="34">H197/I197-1</f>
        <v>-5.2954719877206458E-2</v>
      </c>
      <c r="K197" s="67"/>
      <c r="L197" s="68">
        <v>38749</v>
      </c>
      <c r="M197" s="98">
        <v>1280.7</v>
      </c>
      <c r="N197" s="98">
        <v>1280.0999999999999</v>
      </c>
      <c r="O197" s="70">
        <f t="shared" si="30"/>
        <v>4.687133817671274E-4</v>
      </c>
      <c r="P197" s="67"/>
      <c r="Q197" s="38">
        <v>38749</v>
      </c>
      <c r="R197" s="39">
        <v>6.7140000000000004</v>
      </c>
      <c r="S197" s="39">
        <v>9.3249999999999993</v>
      </c>
      <c r="T197" s="40">
        <f t="shared" si="28"/>
        <v>-0.27999999999999992</v>
      </c>
      <c r="U197" s="67"/>
      <c r="V197" s="38">
        <v>38749</v>
      </c>
      <c r="W197" s="39">
        <v>1.7223999999999999</v>
      </c>
      <c r="X197" s="39">
        <v>1.8725000000000001</v>
      </c>
      <c r="Y197" s="40">
        <f t="shared" si="31"/>
        <v>-8.0160213618157616E-2</v>
      </c>
      <c r="Z197" s="67"/>
      <c r="AA197" s="71">
        <v>38749</v>
      </c>
      <c r="AB197" s="72">
        <v>563.9</v>
      </c>
      <c r="AC197" s="72">
        <v>575.1</v>
      </c>
      <c r="AD197" s="73">
        <f t="shared" si="32"/>
        <v>-1.947487393496794E-2</v>
      </c>
      <c r="AE197" s="67"/>
      <c r="AF197" s="71">
        <v>38749</v>
      </c>
      <c r="AG197" s="72">
        <v>90.11</v>
      </c>
      <c r="AH197" s="72">
        <v>88.96</v>
      </c>
      <c r="AI197" s="73">
        <f t="shared" si="33"/>
        <v>1.2927158273381423E-2</v>
      </c>
      <c r="AJ197" s="67"/>
      <c r="AK197" s="74">
        <v>38776</v>
      </c>
      <c r="AL197" s="41">
        <v>4.5499999999999999E-2</v>
      </c>
      <c r="AM197" s="41">
        <f t="shared" si="27"/>
        <v>1.9999999999999879E-4</v>
      </c>
      <c r="AN197" s="67"/>
      <c r="AO197" s="75">
        <v>38749</v>
      </c>
      <c r="AP197" s="76">
        <v>684175</v>
      </c>
      <c r="AQ197" s="80">
        <f t="shared" si="7"/>
        <v>-3.5077513998116316E-5</v>
      </c>
      <c r="AR197" s="67"/>
      <c r="AS197" s="94">
        <v>38749</v>
      </c>
      <c r="AT197" s="78">
        <v>0.85924999999999996</v>
      </c>
      <c r="AU197" s="67"/>
      <c r="AV197" s="79">
        <v>38749</v>
      </c>
      <c r="AW197" s="76">
        <v>309132.75</v>
      </c>
      <c r="AX197" s="80">
        <f t="shared" si="8"/>
        <v>1.700113499909528E-2</v>
      </c>
      <c r="AY197" s="67"/>
      <c r="AZ197" s="81">
        <v>38749</v>
      </c>
      <c r="BA197" s="82">
        <v>95.858192443847656</v>
      </c>
      <c r="BB197" s="82">
        <v>89.40576171875</v>
      </c>
      <c r="BC197" s="67"/>
      <c r="BD197" s="83">
        <v>38763</v>
      </c>
      <c r="BE197" s="42">
        <v>5032</v>
      </c>
      <c r="BF197" s="41">
        <f t="shared" si="9"/>
        <v>-3.1695721077654726E-3</v>
      </c>
      <c r="BG197" s="67"/>
      <c r="BH197" s="84">
        <v>38749</v>
      </c>
      <c r="BI197" s="85">
        <v>98.241299999999995</v>
      </c>
      <c r="BJ197" s="87">
        <f t="shared" si="10"/>
        <v>4.2158902402134046E-4</v>
      </c>
      <c r="BK197" s="67"/>
      <c r="BL197" s="84">
        <v>38749</v>
      </c>
      <c r="BM197" s="86">
        <v>43.640614999999997</v>
      </c>
      <c r="BN197" s="67"/>
      <c r="BO197" s="88">
        <v>38749</v>
      </c>
      <c r="BP197" s="89">
        <v>2.1785000000000001</v>
      </c>
      <c r="BQ197" s="89">
        <v>2.2189999999999999</v>
      </c>
      <c r="BR197" s="90">
        <f t="shared" si="5"/>
        <v>-1.8251464623704305E-2</v>
      </c>
    </row>
    <row r="198" spans="1:70">
      <c r="A198" s="62">
        <v>38777</v>
      </c>
      <c r="B198" s="63">
        <v>38777</v>
      </c>
      <c r="C198" s="39">
        <v>66.63</v>
      </c>
      <c r="D198" s="64">
        <v>61.58</v>
      </c>
      <c r="E198" s="40">
        <f t="shared" si="29"/>
        <v>8.2007145177005469E-2</v>
      </c>
      <c r="F198" s="65"/>
      <c r="G198" s="63">
        <v>38777</v>
      </c>
      <c r="H198" s="39">
        <v>11.39</v>
      </c>
      <c r="I198" s="39">
        <v>12.05</v>
      </c>
      <c r="J198" s="40">
        <f t="shared" si="34"/>
        <v>-5.4771784232365173E-2</v>
      </c>
      <c r="K198" s="67"/>
      <c r="L198" s="68">
        <v>38777</v>
      </c>
      <c r="M198" s="98">
        <v>1294.8</v>
      </c>
      <c r="N198" s="98">
        <v>1280.7</v>
      </c>
      <c r="O198" s="70">
        <f t="shared" si="30"/>
        <v>1.1009604122745209E-2</v>
      </c>
      <c r="P198" s="67"/>
      <c r="Q198" s="38">
        <v>38777</v>
      </c>
      <c r="R198" s="39">
        <v>7.21</v>
      </c>
      <c r="S198" s="39">
        <v>6.7140000000000004</v>
      </c>
      <c r="T198" s="40">
        <f t="shared" si="28"/>
        <v>7.3875484063151475E-2</v>
      </c>
      <c r="U198" s="67"/>
      <c r="V198" s="38">
        <v>38777</v>
      </c>
      <c r="W198" s="39">
        <v>1.8633</v>
      </c>
      <c r="X198" s="39">
        <v>1.7464999999999999</v>
      </c>
      <c r="Y198" s="40">
        <f t="shared" si="31"/>
        <v>6.6876610363584277E-2</v>
      </c>
      <c r="Z198" s="67"/>
      <c r="AA198" s="71">
        <v>38777</v>
      </c>
      <c r="AB198" s="72">
        <v>586.70000000000005</v>
      </c>
      <c r="AC198" s="72">
        <v>563.1</v>
      </c>
      <c r="AD198" s="73">
        <f t="shared" si="32"/>
        <v>4.1910850648197551E-2</v>
      </c>
      <c r="AE198" s="67"/>
      <c r="AF198" s="71">
        <v>38777</v>
      </c>
      <c r="AG198" s="72">
        <v>89.73</v>
      </c>
      <c r="AH198" s="72">
        <v>90.08</v>
      </c>
      <c r="AI198" s="73">
        <f t="shared" si="33"/>
        <v>-3.8854351687388489E-3</v>
      </c>
      <c r="AJ198" s="67"/>
      <c r="AK198" s="74">
        <v>38807</v>
      </c>
      <c r="AL198" s="41">
        <v>4.8600000000000004E-2</v>
      </c>
      <c r="AM198" s="41">
        <f t="shared" ref="AM198:AM261" si="35">AL198-AL197</f>
        <v>3.1000000000000055E-3</v>
      </c>
      <c r="AN198" s="67"/>
      <c r="AO198" s="75">
        <v>38777</v>
      </c>
      <c r="AP198" s="76">
        <v>685360</v>
      </c>
      <c r="AQ198" s="80">
        <f t="shared" si="7"/>
        <v>1.7320130083677832E-3</v>
      </c>
      <c r="AR198" s="67"/>
      <c r="AS198" s="94">
        <v>38777</v>
      </c>
      <c r="AT198" s="78">
        <v>0.85659999999999992</v>
      </c>
      <c r="AU198" s="67"/>
      <c r="AV198" s="79">
        <v>38777</v>
      </c>
      <c r="AW198" s="76">
        <v>323092.8</v>
      </c>
      <c r="AX198" s="80">
        <f t="shared" si="8"/>
        <v>4.5158754612702801E-2</v>
      </c>
      <c r="AY198" s="67"/>
      <c r="AZ198" s="81">
        <v>38777</v>
      </c>
      <c r="BA198" s="82">
        <v>92.797622680664063</v>
      </c>
      <c r="BB198" s="82">
        <v>88.042228698730469</v>
      </c>
      <c r="BC198" s="67"/>
      <c r="BD198" s="83">
        <v>38791</v>
      </c>
      <c r="BE198" s="42">
        <v>5027</v>
      </c>
      <c r="BF198" s="41">
        <f t="shared" si="9"/>
        <v>-9.9364069952301293E-4</v>
      </c>
      <c r="BG198" s="67"/>
      <c r="BH198" s="84">
        <v>38777</v>
      </c>
      <c r="BI198" s="85">
        <v>98.462800000000001</v>
      </c>
      <c r="BJ198" s="87">
        <f t="shared" si="10"/>
        <v>2.2546525748337043E-3</v>
      </c>
      <c r="BK198" s="67"/>
      <c r="BL198" s="84">
        <v>38777</v>
      </c>
      <c r="BM198" s="86">
        <v>49.806716999999999</v>
      </c>
      <c r="BN198" s="67"/>
      <c r="BO198" s="88">
        <v>38777</v>
      </c>
      <c r="BP198" s="89">
        <v>2.4590000000000001</v>
      </c>
      <c r="BQ198" s="89">
        <v>2.1775000000000002</v>
      </c>
      <c r="BR198" s="90">
        <f t="shared" si="5"/>
        <v>0.12927669345579784</v>
      </c>
    </row>
    <row r="199" spans="1:70">
      <c r="A199" s="62">
        <v>38808</v>
      </c>
      <c r="B199" s="63">
        <v>38808</v>
      </c>
      <c r="C199" s="39">
        <v>71.88</v>
      </c>
      <c r="D199" s="64">
        <v>66.25</v>
      </c>
      <c r="E199" s="40">
        <f t="shared" si="29"/>
        <v>8.4981132075471644E-2</v>
      </c>
      <c r="F199" s="65"/>
      <c r="G199" s="63">
        <v>38808</v>
      </c>
      <c r="H199" s="39">
        <v>11.59</v>
      </c>
      <c r="I199" s="39">
        <v>11.47</v>
      </c>
      <c r="J199" s="40">
        <f t="shared" si="34"/>
        <v>1.0462074978203839E-2</v>
      </c>
      <c r="K199" s="67"/>
      <c r="L199" s="68">
        <v>38808</v>
      </c>
      <c r="M199" s="98">
        <v>1310.5999999999999</v>
      </c>
      <c r="N199" s="98">
        <v>1302.9000000000001</v>
      </c>
      <c r="O199" s="70">
        <f t="shared" si="30"/>
        <v>5.9098933149126509E-3</v>
      </c>
      <c r="P199" s="67"/>
      <c r="Q199" s="38">
        <v>38808</v>
      </c>
      <c r="R199" s="39">
        <v>6.5549999999999997</v>
      </c>
      <c r="S199" s="39">
        <v>7.2</v>
      </c>
      <c r="T199" s="40">
        <f t="shared" si="28"/>
        <v>-8.9583333333333348E-2</v>
      </c>
      <c r="U199" s="67"/>
      <c r="V199" s="38">
        <v>38808</v>
      </c>
      <c r="W199" s="39">
        <v>2.0129000000000001</v>
      </c>
      <c r="X199" s="39">
        <v>1.8763000000000001</v>
      </c>
      <c r="Y199" s="40">
        <f t="shared" si="31"/>
        <v>7.2802856686031037E-2</v>
      </c>
      <c r="Z199" s="67"/>
      <c r="AA199" s="71">
        <v>38808</v>
      </c>
      <c r="AB199" s="72">
        <v>654.5</v>
      </c>
      <c r="AC199" s="72">
        <v>587.79999999999995</v>
      </c>
      <c r="AD199" s="73">
        <f t="shared" si="32"/>
        <v>0.11347397073834653</v>
      </c>
      <c r="AE199" s="67"/>
      <c r="AF199" s="71">
        <v>38808</v>
      </c>
      <c r="AG199" s="72">
        <v>86.11</v>
      </c>
      <c r="AH199" s="72">
        <v>89.74</v>
      </c>
      <c r="AI199" s="73">
        <f t="shared" si="33"/>
        <v>-4.0450189436148865E-2</v>
      </c>
      <c r="AJ199" s="67"/>
      <c r="AK199" s="74">
        <v>38837</v>
      </c>
      <c r="AL199" s="41">
        <v>5.0700000000000002E-2</v>
      </c>
      <c r="AM199" s="41">
        <f t="shared" si="35"/>
        <v>2.0999999999999977E-3</v>
      </c>
      <c r="AN199" s="67"/>
      <c r="AO199" s="75">
        <v>38808</v>
      </c>
      <c r="AP199" s="76">
        <v>687020.75</v>
      </c>
      <c r="AQ199" s="80">
        <f t="shared" si="7"/>
        <v>2.4231790591806579E-3</v>
      </c>
      <c r="AR199" s="67"/>
      <c r="AS199" s="94">
        <v>38808</v>
      </c>
      <c r="AT199" s="78">
        <v>0.872</v>
      </c>
      <c r="AU199" s="67"/>
      <c r="AV199" s="79">
        <v>38808</v>
      </c>
      <c r="AW199" s="76">
        <v>329308.25</v>
      </c>
      <c r="AX199" s="80">
        <f t="shared" si="8"/>
        <v>1.9237352240594641E-2</v>
      </c>
      <c r="AY199" s="67"/>
      <c r="AZ199" s="81">
        <v>38808</v>
      </c>
      <c r="BA199" s="82">
        <v>89.015800476074219</v>
      </c>
      <c r="BB199" s="82">
        <v>85.9110107421875</v>
      </c>
      <c r="BC199" s="67"/>
      <c r="BD199" s="83">
        <v>38822</v>
      </c>
      <c r="BE199" s="42">
        <v>5082</v>
      </c>
      <c r="BF199" s="41">
        <f t="shared" si="9"/>
        <v>1.0940919037199182E-2</v>
      </c>
      <c r="BG199" s="67"/>
      <c r="BH199" s="84">
        <v>38808</v>
      </c>
      <c r="BI199" s="85">
        <v>98.761799999999994</v>
      </c>
      <c r="BJ199" s="87">
        <f t="shared" si="10"/>
        <v>3.0366798425394137E-3</v>
      </c>
      <c r="BK199" s="67"/>
      <c r="BL199" s="84">
        <v>38808</v>
      </c>
      <c r="BM199" s="86">
        <v>44.181089</v>
      </c>
      <c r="BN199" s="67"/>
      <c r="BO199" s="88">
        <v>38808</v>
      </c>
      <c r="BP199" s="89">
        <v>3.2204999999999999</v>
      </c>
      <c r="BQ199" s="89">
        <v>2.4569999999999999</v>
      </c>
      <c r="BR199" s="90">
        <f t="shared" si="5"/>
        <v>0.31074481074481075</v>
      </c>
    </row>
    <row r="200" spans="1:70">
      <c r="A200" s="62">
        <v>38838</v>
      </c>
      <c r="B200" s="63">
        <v>38838</v>
      </c>
      <c r="C200" s="39">
        <v>71.290000000000006</v>
      </c>
      <c r="D200" s="64">
        <v>71.7</v>
      </c>
      <c r="E200" s="40">
        <f t="shared" si="29"/>
        <v>-5.7182705718270554E-3</v>
      </c>
      <c r="F200" s="65"/>
      <c r="G200" s="63">
        <v>38838</v>
      </c>
      <c r="H200" s="39">
        <v>16.440000000000001</v>
      </c>
      <c r="I200" s="39">
        <v>11.83</v>
      </c>
      <c r="J200" s="40">
        <f t="shared" si="34"/>
        <v>0.38968723584108211</v>
      </c>
      <c r="K200" s="67"/>
      <c r="L200" s="68">
        <v>38838</v>
      </c>
      <c r="M200" s="98">
        <v>1270.0999999999999</v>
      </c>
      <c r="N200" s="98">
        <v>1310.5999999999999</v>
      </c>
      <c r="O200" s="70">
        <f t="shared" si="30"/>
        <v>-3.090187700289948E-2</v>
      </c>
      <c r="P200" s="67"/>
      <c r="Q200" s="38">
        <v>38838</v>
      </c>
      <c r="R200" s="39">
        <v>6.3840000000000003</v>
      </c>
      <c r="S200" s="39">
        <v>6.5330000000000004</v>
      </c>
      <c r="T200" s="40">
        <f t="shared" ref="T200:T263" si="36">R200/S200-1</f>
        <v>-2.2807286086024781E-2</v>
      </c>
      <c r="U200" s="67"/>
      <c r="V200" s="38">
        <v>38838</v>
      </c>
      <c r="W200" s="39">
        <v>1.9953000000000001</v>
      </c>
      <c r="X200" s="39">
        <v>2.0329999999999999</v>
      </c>
      <c r="Y200" s="40">
        <f t="shared" si="31"/>
        <v>-1.854402361042784E-2</v>
      </c>
      <c r="Z200" s="67"/>
      <c r="AA200" s="71">
        <v>38838</v>
      </c>
      <c r="AB200" s="72">
        <v>649</v>
      </c>
      <c r="AC200" s="72">
        <v>656.8</v>
      </c>
      <c r="AD200" s="73">
        <f t="shared" si="32"/>
        <v>-1.1875761266747831E-2</v>
      </c>
      <c r="AE200" s="67"/>
      <c r="AF200" s="71">
        <v>38838</v>
      </c>
      <c r="AG200" s="72">
        <v>84.72</v>
      </c>
      <c r="AH200" s="72">
        <v>85.93</v>
      </c>
      <c r="AI200" s="73">
        <f t="shared" si="33"/>
        <v>-1.4081228907250165E-2</v>
      </c>
      <c r="AJ200" s="67"/>
      <c r="AK200" s="74">
        <v>38868</v>
      </c>
      <c r="AL200" s="41">
        <v>5.1200000000000002E-2</v>
      </c>
      <c r="AM200" s="41">
        <f t="shared" si="35"/>
        <v>5.0000000000000044E-4</v>
      </c>
      <c r="AN200" s="67"/>
      <c r="AO200" s="92">
        <v>38838</v>
      </c>
      <c r="AP200" s="76">
        <v>688463.25</v>
      </c>
      <c r="AQ200" s="80">
        <f t="shared" si="7"/>
        <v>2.0996454619457428E-3</v>
      </c>
      <c r="AR200" s="67"/>
      <c r="AS200" s="97">
        <v>38838</v>
      </c>
      <c r="AT200" s="78">
        <v>0.90275000000000005</v>
      </c>
      <c r="AU200" s="67"/>
      <c r="AV200" s="93">
        <v>38838</v>
      </c>
      <c r="AW200" s="76">
        <v>329467</v>
      </c>
      <c r="AX200" s="80">
        <f t="shared" si="8"/>
        <v>4.8207112940534813E-4</v>
      </c>
      <c r="AY200" s="67"/>
      <c r="AZ200" s="81">
        <v>38838</v>
      </c>
      <c r="BA200" s="82">
        <v>85.208778381347656</v>
      </c>
      <c r="BB200" s="82">
        <v>84.033126831054688</v>
      </c>
      <c r="BC200" s="67"/>
      <c r="BD200" s="83">
        <v>38852</v>
      </c>
      <c r="BE200" s="42">
        <v>5151</v>
      </c>
      <c r="BF200" s="41">
        <f t="shared" si="9"/>
        <v>1.357733175914988E-2</v>
      </c>
      <c r="BG200" s="67"/>
      <c r="BH200" s="84">
        <v>38838</v>
      </c>
      <c r="BI200" s="85">
        <v>98.786900000000003</v>
      </c>
      <c r="BJ200" s="87">
        <f t="shared" si="10"/>
        <v>2.5414684625046924E-4</v>
      </c>
      <c r="BK200" s="67"/>
      <c r="BL200" s="84">
        <v>38838</v>
      </c>
      <c r="BM200" s="86">
        <v>43.112507000000001</v>
      </c>
      <c r="BN200" s="67"/>
      <c r="BO200" s="88">
        <v>38838</v>
      </c>
      <c r="BP200" s="89">
        <v>3.6065</v>
      </c>
      <c r="BQ200" s="89">
        <v>3.2490000000000001</v>
      </c>
      <c r="BR200" s="90">
        <f t="shared" si="5"/>
        <v>0.11003385657125264</v>
      </c>
    </row>
    <row r="201" spans="1:70">
      <c r="A201" s="62">
        <v>38869</v>
      </c>
      <c r="B201" s="63">
        <v>38869</v>
      </c>
      <c r="C201" s="39">
        <v>73.930000000000007</v>
      </c>
      <c r="D201" s="64">
        <v>71.260000000000005</v>
      </c>
      <c r="E201" s="40">
        <f t="shared" si="29"/>
        <v>3.7468425484142642E-2</v>
      </c>
      <c r="F201" s="65"/>
      <c r="G201" s="63">
        <v>38869</v>
      </c>
      <c r="H201" s="39">
        <v>13.08</v>
      </c>
      <c r="I201" s="39">
        <v>16.47</v>
      </c>
      <c r="J201" s="40">
        <f t="shared" si="34"/>
        <v>-0.20582877959927137</v>
      </c>
      <c r="K201" s="67"/>
      <c r="L201" s="68">
        <v>38869</v>
      </c>
      <c r="M201" s="98">
        <v>1270.2</v>
      </c>
      <c r="N201" s="98">
        <v>1270</v>
      </c>
      <c r="O201" s="70">
        <f t="shared" si="30"/>
        <v>1.5748031496065629E-4</v>
      </c>
      <c r="P201" s="67"/>
      <c r="Q201" s="38">
        <v>38869</v>
      </c>
      <c r="R201" s="39">
        <v>6.1040000000000001</v>
      </c>
      <c r="S201" s="39">
        <v>6.42</v>
      </c>
      <c r="T201" s="40">
        <f t="shared" si="36"/>
        <v>-4.9221183800623014E-2</v>
      </c>
      <c r="U201" s="67"/>
      <c r="V201" s="38">
        <v>38869</v>
      </c>
      <c r="W201" s="39">
        <v>2.0286</v>
      </c>
      <c r="X201" s="39">
        <v>2.0274999999999999</v>
      </c>
      <c r="Y201" s="40">
        <f t="shared" si="31"/>
        <v>5.4254007398268911E-4</v>
      </c>
      <c r="Z201" s="67"/>
      <c r="AA201" s="71">
        <v>38869</v>
      </c>
      <c r="AB201" s="72">
        <v>616</v>
      </c>
      <c r="AC201" s="72">
        <v>649.79999999999995</v>
      </c>
      <c r="AD201" s="73">
        <f t="shared" si="32"/>
        <v>-5.201600492459213E-2</v>
      </c>
      <c r="AE201" s="67"/>
      <c r="AF201" s="71">
        <v>38869</v>
      </c>
      <c r="AG201" s="72">
        <v>85.22</v>
      </c>
      <c r="AH201" s="72">
        <v>84.68</v>
      </c>
      <c r="AI201" s="73">
        <f t="shared" si="33"/>
        <v>6.3769485120452885E-3</v>
      </c>
      <c r="AJ201" s="67"/>
      <c r="AK201" s="74">
        <v>38898</v>
      </c>
      <c r="AL201" s="41">
        <v>5.1500000000000004E-2</v>
      </c>
      <c r="AM201" s="41">
        <f t="shared" si="35"/>
        <v>3.0000000000000165E-4</v>
      </c>
      <c r="AN201" s="67"/>
      <c r="AO201" s="75">
        <v>38869</v>
      </c>
      <c r="AP201" s="76">
        <v>688598</v>
      </c>
      <c r="AQ201" s="80">
        <f t="shared" si="7"/>
        <v>1.9572577040238848E-4</v>
      </c>
      <c r="AR201" s="67"/>
      <c r="AS201" s="94">
        <v>38869</v>
      </c>
      <c r="AT201" s="78">
        <v>0.92779999999999996</v>
      </c>
      <c r="AU201" s="67"/>
      <c r="AV201" s="79">
        <v>38869</v>
      </c>
      <c r="AW201" s="76">
        <v>328665.2</v>
      </c>
      <c r="AX201" s="80">
        <f t="shared" si="8"/>
        <v>-2.4336276470784401E-3</v>
      </c>
      <c r="AY201" s="67"/>
      <c r="AZ201" s="81">
        <v>38869</v>
      </c>
      <c r="BA201" s="82">
        <v>102.57276916503906</v>
      </c>
      <c r="BB201" s="82">
        <v>90.384536743164063</v>
      </c>
      <c r="BC201" s="67"/>
      <c r="BD201" s="83">
        <v>38883</v>
      </c>
      <c r="BE201" s="42">
        <v>5163</v>
      </c>
      <c r="BF201" s="41">
        <f t="shared" si="9"/>
        <v>2.329644729178737E-3</v>
      </c>
      <c r="BG201" s="67"/>
      <c r="BH201" s="84">
        <v>38869</v>
      </c>
      <c r="BI201" s="85">
        <v>99.099699999999999</v>
      </c>
      <c r="BJ201" s="87">
        <f t="shared" si="10"/>
        <v>3.1664117408278791E-3</v>
      </c>
      <c r="BK201" s="67"/>
      <c r="BL201" s="84">
        <v>38869</v>
      </c>
      <c r="BM201" s="86">
        <v>53.739691999999998</v>
      </c>
      <c r="BN201" s="67"/>
      <c r="BO201" s="88">
        <v>38869</v>
      </c>
      <c r="BP201" s="89">
        <v>3.355</v>
      </c>
      <c r="BQ201" s="89">
        <v>3.5649999999999999</v>
      </c>
      <c r="BR201" s="90">
        <f t="shared" si="5"/>
        <v>-5.8906030855539915E-2</v>
      </c>
    </row>
    <row r="202" spans="1:70">
      <c r="A202" s="62">
        <v>38899</v>
      </c>
      <c r="B202" s="63">
        <v>38899</v>
      </c>
      <c r="C202" s="39">
        <v>74.400000000000006</v>
      </c>
      <c r="D202" s="64">
        <v>73.95</v>
      </c>
      <c r="E202" s="40">
        <f t="shared" si="29"/>
        <v>6.0851926977687487E-3</v>
      </c>
      <c r="F202" s="65"/>
      <c r="G202" s="63">
        <v>38899</v>
      </c>
      <c r="H202" s="39">
        <v>14.95</v>
      </c>
      <c r="I202" s="39">
        <v>13.29</v>
      </c>
      <c r="J202" s="40">
        <f t="shared" si="34"/>
        <v>0.12490594431903679</v>
      </c>
      <c r="K202" s="67"/>
      <c r="L202" s="68">
        <v>38899</v>
      </c>
      <c r="M202" s="98">
        <v>1276.7</v>
      </c>
      <c r="N202" s="98">
        <v>1270.0999999999999</v>
      </c>
      <c r="O202" s="70">
        <f t="shared" si="30"/>
        <v>5.1964412251004344E-3</v>
      </c>
      <c r="P202" s="67"/>
      <c r="Q202" s="38">
        <v>38899</v>
      </c>
      <c r="R202" s="39">
        <v>8.2110000000000003</v>
      </c>
      <c r="S202" s="39">
        <v>6.09</v>
      </c>
      <c r="T202" s="40">
        <f t="shared" si="36"/>
        <v>0.34827586206896566</v>
      </c>
      <c r="U202" s="67"/>
      <c r="V202" s="38">
        <v>38899</v>
      </c>
      <c r="W202" s="39">
        <v>2.0375999999999999</v>
      </c>
      <c r="X202" s="39">
        <v>2.0851000000000002</v>
      </c>
      <c r="Y202" s="40">
        <f t="shared" si="31"/>
        <v>-2.2780681981679707E-2</v>
      </c>
      <c r="Z202" s="67"/>
      <c r="AA202" s="71">
        <v>38899</v>
      </c>
      <c r="AB202" s="72">
        <v>646.79999999999995</v>
      </c>
      <c r="AC202" s="72">
        <v>627</v>
      </c>
      <c r="AD202" s="73">
        <f t="shared" si="32"/>
        <v>3.1578947368420929E-2</v>
      </c>
      <c r="AE202" s="67"/>
      <c r="AF202" s="71">
        <v>38899</v>
      </c>
      <c r="AG202" s="72">
        <v>85.3</v>
      </c>
      <c r="AH202" s="72">
        <v>85.2</v>
      </c>
      <c r="AI202" s="73">
        <f t="shared" si="33"/>
        <v>1.1737089201877549E-3</v>
      </c>
      <c r="AJ202" s="67"/>
      <c r="AK202" s="74">
        <v>38929</v>
      </c>
      <c r="AL202" s="41">
        <v>4.99E-2</v>
      </c>
      <c r="AM202" s="41">
        <f t="shared" si="35"/>
        <v>-1.6000000000000042E-3</v>
      </c>
      <c r="AN202" s="67"/>
      <c r="AO202" s="75">
        <v>38899</v>
      </c>
      <c r="AP202" s="76">
        <v>687847</v>
      </c>
      <c r="AQ202" s="80">
        <f t="shared" si="7"/>
        <v>-1.0906218141789603E-3</v>
      </c>
      <c r="AR202" s="67"/>
      <c r="AS202" s="94">
        <v>38899</v>
      </c>
      <c r="AT202" s="78">
        <v>0.91674999999999995</v>
      </c>
      <c r="AU202" s="67"/>
      <c r="AV202" s="79">
        <v>38899</v>
      </c>
      <c r="AW202" s="76">
        <v>318843.75</v>
      </c>
      <c r="AX202" s="80">
        <f t="shared" si="8"/>
        <v>-2.9882841262172E-2</v>
      </c>
      <c r="AY202" s="67"/>
      <c r="AZ202" s="81">
        <v>38899</v>
      </c>
      <c r="BA202" s="82">
        <v>137.13482666015625</v>
      </c>
      <c r="BB202" s="82">
        <v>134.39634704589844</v>
      </c>
      <c r="BC202" s="67"/>
      <c r="BD202" s="83">
        <v>38913</v>
      </c>
      <c r="BE202" s="42">
        <v>5094</v>
      </c>
      <c r="BF202" s="41">
        <f t="shared" si="9"/>
        <v>-1.3364323067983741E-2</v>
      </c>
      <c r="BG202" s="67"/>
      <c r="BH202" s="84">
        <v>38899</v>
      </c>
      <c r="BI202" s="85">
        <v>99.048900000000003</v>
      </c>
      <c r="BJ202" s="87">
        <f t="shared" si="10"/>
        <v>-5.1261507350675029E-4</v>
      </c>
      <c r="BK202" s="67"/>
      <c r="BL202" s="84">
        <v>38899</v>
      </c>
      <c r="BM202" s="86">
        <v>64.887974</v>
      </c>
      <c r="BN202" s="67"/>
      <c r="BO202" s="88">
        <v>38899</v>
      </c>
      <c r="BP202" s="89">
        <v>3.55</v>
      </c>
      <c r="BQ202" s="89">
        <v>3.359</v>
      </c>
      <c r="BR202" s="90">
        <f t="shared" si="5"/>
        <v>5.6862161357546848E-2</v>
      </c>
    </row>
    <row r="203" spans="1:70">
      <c r="A203" s="62">
        <v>38930</v>
      </c>
      <c r="B203" s="63">
        <v>38930</v>
      </c>
      <c r="C203" s="39">
        <v>70.260000000000005</v>
      </c>
      <c r="D203" s="64">
        <v>74.400000000000006</v>
      </c>
      <c r="E203" s="40">
        <f t="shared" si="29"/>
        <v>-5.5645161290322598E-2</v>
      </c>
      <c r="F203" s="65"/>
      <c r="G203" s="63">
        <v>38930</v>
      </c>
      <c r="H203" s="39">
        <v>12.31</v>
      </c>
      <c r="I203" s="39">
        <v>15.49</v>
      </c>
      <c r="J203" s="40">
        <f t="shared" si="34"/>
        <v>-0.20529373789541638</v>
      </c>
      <c r="K203" s="67"/>
      <c r="L203" s="68">
        <v>38930</v>
      </c>
      <c r="M203" s="98">
        <v>1303.8</v>
      </c>
      <c r="N203" s="98">
        <v>1278.5</v>
      </c>
      <c r="O203" s="70">
        <f t="shared" si="30"/>
        <v>1.978881501759866E-2</v>
      </c>
      <c r="P203" s="67"/>
      <c r="Q203" s="38">
        <v>38930</v>
      </c>
      <c r="R203" s="39">
        <v>6.048</v>
      </c>
      <c r="S203" s="39">
        <v>8.25</v>
      </c>
      <c r="T203" s="40">
        <f t="shared" si="36"/>
        <v>-0.26690909090909087</v>
      </c>
      <c r="U203" s="67"/>
      <c r="V203" s="38">
        <v>38930</v>
      </c>
      <c r="W203" s="39">
        <v>2.0110999999999999</v>
      </c>
      <c r="X203" s="39">
        <v>2.117</v>
      </c>
      <c r="Y203" s="40">
        <f t="shared" si="31"/>
        <v>-5.0023618327822428E-2</v>
      </c>
      <c r="Z203" s="67"/>
      <c r="AA203" s="71">
        <v>38930</v>
      </c>
      <c r="AB203" s="72">
        <v>634.20000000000005</v>
      </c>
      <c r="AC203" s="72">
        <v>646.5</v>
      </c>
      <c r="AD203" s="73">
        <f t="shared" si="32"/>
        <v>-1.9025522041763221E-2</v>
      </c>
      <c r="AE203" s="67"/>
      <c r="AF203" s="71">
        <v>38930</v>
      </c>
      <c r="AG203" s="72">
        <v>85.05</v>
      </c>
      <c r="AH203" s="72">
        <v>85.28</v>
      </c>
      <c r="AI203" s="73">
        <f t="shared" si="33"/>
        <v>-2.6969981238273988E-3</v>
      </c>
      <c r="AJ203" s="67"/>
      <c r="AK203" s="74">
        <v>38960</v>
      </c>
      <c r="AL203" s="41">
        <v>4.7400000000000005E-2</v>
      </c>
      <c r="AM203" s="41">
        <f t="shared" si="35"/>
        <v>-2.4999999999999953E-3</v>
      </c>
      <c r="AN203" s="67"/>
      <c r="AO203" s="75">
        <v>38930</v>
      </c>
      <c r="AP203" s="76">
        <v>687843.75</v>
      </c>
      <c r="AQ203" s="80">
        <f t="shared" si="7"/>
        <v>-4.7248879474492966E-6</v>
      </c>
      <c r="AR203" s="67"/>
      <c r="AS203" s="94">
        <v>38930</v>
      </c>
      <c r="AT203" s="78">
        <v>0.92200000000000004</v>
      </c>
      <c r="AU203" s="67"/>
      <c r="AV203" s="79">
        <v>38930</v>
      </c>
      <c r="AW203" s="76">
        <v>315473.5</v>
      </c>
      <c r="AX203" s="80">
        <f t="shared" si="8"/>
        <v>-1.0570224443791076E-2</v>
      </c>
      <c r="AY203" s="67"/>
      <c r="AZ203" s="81">
        <v>38930</v>
      </c>
      <c r="BA203" s="82">
        <v>147.08111572265625</v>
      </c>
      <c r="BB203" s="82">
        <v>141.55645751953125</v>
      </c>
      <c r="BC203" s="67"/>
      <c r="BD203" s="83">
        <v>38944</v>
      </c>
      <c r="BE203" s="42">
        <v>5040</v>
      </c>
      <c r="BF203" s="41">
        <f t="shared" si="9"/>
        <v>-1.0600706713780883E-2</v>
      </c>
      <c r="BG203" s="67"/>
      <c r="BH203" s="84">
        <v>38930</v>
      </c>
      <c r="BI203" s="85">
        <v>99.483599999999996</v>
      </c>
      <c r="BJ203" s="87">
        <f t="shared" si="10"/>
        <v>4.3887413186818325E-3</v>
      </c>
      <c r="BK203" s="67"/>
      <c r="BL203" s="84">
        <v>38930</v>
      </c>
      <c r="BM203" s="86">
        <v>83.579908000000003</v>
      </c>
      <c r="BN203" s="67"/>
      <c r="BO203" s="88">
        <v>38930</v>
      </c>
      <c r="BP203" s="89">
        <v>3.4609999999999999</v>
      </c>
      <c r="BQ203" s="89">
        <v>3.5750000000000002</v>
      </c>
      <c r="BR203" s="90">
        <f t="shared" si="5"/>
        <v>-3.1888111888112025E-2</v>
      </c>
    </row>
    <row r="204" spans="1:70">
      <c r="A204" s="62">
        <v>38961</v>
      </c>
      <c r="B204" s="63">
        <v>38961</v>
      </c>
      <c r="C204" s="39">
        <v>62.91</v>
      </c>
      <c r="D204" s="64">
        <v>70.290000000000006</v>
      </c>
      <c r="E204" s="40">
        <f t="shared" si="29"/>
        <v>-0.10499359795134455</v>
      </c>
      <c r="F204" s="65"/>
      <c r="G204" s="63">
        <v>38961</v>
      </c>
      <c r="H204" s="39">
        <v>11.98</v>
      </c>
      <c r="I204" s="39">
        <v>12.14</v>
      </c>
      <c r="J204" s="40">
        <f t="shared" si="34"/>
        <v>-1.3179571663920919E-2</v>
      </c>
      <c r="K204" s="67"/>
      <c r="L204" s="68">
        <v>38961</v>
      </c>
      <c r="M204" s="98">
        <v>1335.8</v>
      </c>
      <c r="N204" s="98">
        <v>1303.8</v>
      </c>
      <c r="O204" s="70">
        <f t="shared" si="30"/>
        <v>2.4543641662831739E-2</v>
      </c>
      <c r="P204" s="67"/>
      <c r="Q204" s="38">
        <v>38961</v>
      </c>
      <c r="R204" s="39">
        <v>5.62</v>
      </c>
      <c r="S204" s="39">
        <v>5.89</v>
      </c>
      <c r="T204" s="40">
        <f t="shared" si="36"/>
        <v>-4.5840407470288502E-2</v>
      </c>
      <c r="U204" s="67"/>
      <c r="V204" s="38">
        <v>38961</v>
      </c>
      <c r="W204" s="39">
        <v>1.7535000000000001</v>
      </c>
      <c r="X204" s="39">
        <v>2.0611000000000002</v>
      </c>
      <c r="Y204" s="40">
        <f t="shared" si="31"/>
        <v>-0.14924069671534623</v>
      </c>
      <c r="Z204" s="67"/>
      <c r="AA204" s="71">
        <v>38961</v>
      </c>
      <c r="AB204" s="72">
        <v>604.20000000000005</v>
      </c>
      <c r="AC204" s="72">
        <v>633.6</v>
      </c>
      <c r="AD204" s="73">
        <f t="shared" si="32"/>
        <v>-4.6401515151515138E-2</v>
      </c>
      <c r="AE204" s="67"/>
      <c r="AF204" s="71">
        <v>38961</v>
      </c>
      <c r="AG204" s="72">
        <v>85.97</v>
      </c>
      <c r="AH204" s="72">
        <v>85.09</v>
      </c>
      <c r="AI204" s="73">
        <f t="shared" si="33"/>
        <v>1.0341990833235393E-2</v>
      </c>
      <c r="AJ204" s="67"/>
      <c r="AK204" s="74">
        <v>38990</v>
      </c>
      <c r="AL204" s="41">
        <v>4.6399999999999997E-2</v>
      </c>
      <c r="AM204" s="41">
        <f t="shared" si="35"/>
        <v>-1.0000000000000078E-3</v>
      </c>
      <c r="AN204" s="67"/>
      <c r="AO204" s="75">
        <v>38961</v>
      </c>
      <c r="AP204" s="76">
        <v>687839.4</v>
      </c>
      <c r="AQ204" s="80">
        <f t="shared" si="7"/>
        <v>-6.3241106719180706E-6</v>
      </c>
      <c r="AR204" s="67"/>
      <c r="AS204" s="94">
        <v>38961</v>
      </c>
      <c r="AT204" s="78">
        <v>0.92459999999999998</v>
      </c>
      <c r="AU204" s="67"/>
      <c r="AV204" s="79">
        <v>38961</v>
      </c>
      <c r="AW204" s="76">
        <v>311102.40000000002</v>
      </c>
      <c r="AX204" s="80">
        <f t="shared" si="8"/>
        <v>-1.3855680429576411E-2</v>
      </c>
      <c r="AY204" s="67"/>
      <c r="AZ204" s="81">
        <v>38961</v>
      </c>
      <c r="BA204" s="82">
        <v>111.72425842285156</v>
      </c>
      <c r="BB204" s="82">
        <v>110.28041076660156</v>
      </c>
      <c r="BC204" s="67"/>
      <c r="BD204" s="83">
        <v>38975</v>
      </c>
      <c r="BE204" s="42">
        <v>5031</v>
      </c>
      <c r="BF204" s="41">
        <f t="shared" si="9"/>
        <v>-1.7857142857142794E-3</v>
      </c>
      <c r="BG204" s="67"/>
      <c r="BH204" s="84">
        <v>38961</v>
      </c>
      <c r="BI204" s="85">
        <v>99.318299999999994</v>
      </c>
      <c r="BJ204" s="87">
        <f t="shared" si="10"/>
        <v>-1.6615804011917978E-3</v>
      </c>
      <c r="BK204" s="67"/>
      <c r="BL204" s="84">
        <v>38961</v>
      </c>
      <c r="BM204" s="86">
        <v>93.357562999999999</v>
      </c>
      <c r="BN204" s="67"/>
      <c r="BO204" s="88">
        <v>38961</v>
      </c>
      <c r="BP204" s="89">
        <v>3.4605000000000001</v>
      </c>
      <c r="BQ204" s="89">
        <v>3.472</v>
      </c>
      <c r="BR204" s="90">
        <f t="shared" si="5"/>
        <v>-3.3122119815667261E-3</v>
      </c>
    </row>
    <row r="205" spans="1:70">
      <c r="A205" s="62">
        <v>38991</v>
      </c>
      <c r="B205" s="63">
        <v>38991</v>
      </c>
      <c r="C205" s="39">
        <v>58.73</v>
      </c>
      <c r="D205" s="64">
        <v>62.8</v>
      </c>
      <c r="E205" s="40">
        <f t="shared" si="29"/>
        <v>-6.4808917197452187E-2</v>
      </c>
      <c r="F205" s="65"/>
      <c r="G205" s="63">
        <v>38991</v>
      </c>
      <c r="H205" s="39">
        <v>11.1</v>
      </c>
      <c r="I205" s="39">
        <v>12.45</v>
      </c>
      <c r="J205" s="40">
        <f t="shared" si="34"/>
        <v>-0.10843373493975905</v>
      </c>
      <c r="K205" s="67"/>
      <c r="L205" s="68">
        <v>38991</v>
      </c>
      <c r="M205" s="98">
        <v>1377.9</v>
      </c>
      <c r="N205" s="98">
        <v>1335.8</v>
      </c>
      <c r="O205" s="70">
        <f t="shared" si="30"/>
        <v>3.1516694115885757E-2</v>
      </c>
      <c r="P205" s="67"/>
      <c r="Q205" s="38">
        <v>38991</v>
      </c>
      <c r="R205" s="39">
        <v>7.5339999999999998</v>
      </c>
      <c r="S205" s="39">
        <v>5.6059999999999999</v>
      </c>
      <c r="T205" s="40">
        <f t="shared" si="36"/>
        <v>0.3439172315376382</v>
      </c>
      <c r="U205" s="67"/>
      <c r="V205" s="38">
        <v>38991</v>
      </c>
      <c r="W205" s="39">
        <v>1.667</v>
      </c>
      <c r="X205" s="39">
        <v>1.8233999999999999</v>
      </c>
      <c r="Y205" s="40">
        <f t="shared" si="31"/>
        <v>-8.5773829110452948E-2</v>
      </c>
      <c r="Z205" s="67"/>
      <c r="AA205" s="71">
        <v>38991</v>
      </c>
      <c r="AB205" s="72">
        <v>606.79999999999995</v>
      </c>
      <c r="AC205" s="72">
        <v>606.20000000000005</v>
      </c>
      <c r="AD205" s="73">
        <f t="shared" si="32"/>
        <v>9.8977235235886418E-4</v>
      </c>
      <c r="AE205" s="67"/>
      <c r="AF205" s="71">
        <v>38991</v>
      </c>
      <c r="AG205" s="72">
        <v>85.32</v>
      </c>
      <c r="AH205" s="72">
        <v>86.01</v>
      </c>
      <c r="AI205" s="73">
        <f t="shared" si="33"/>
        <v>-8.0223229856994926E-3</v>
      </c>
      <c r="AJ205" s="67"/>
      <c r="AK205" s="74">
        <v>39021</v>
      </c>
      <c r="AL205" s="41">
        <v>4.6100000000000002E-2</v>
      </c>
      <c r="AM205" s="41">
        <f t="shared" si="35"/>
        <v>-2.9999999999999472E-4</v>
      </c>
      <c r="AN205" s="67"/>
      <c r="AO205" s="75">
        <v>38991</v>
      </c>
      <c r="AP205" s="76">
        <v>688121.5</v>
      </c>
      <c r="AQ205" s="80">
        <f t="shared" si="7"/>
        <v>4.1012480529611928E-4</v>
      </c>
      <c r="AR205" s="67"/>
      <c r="AS205" s="94">
        <v>38991</v>
      </c>
      <c r="AT205" s="78">
        <v>0.87650000000000006</v>
      </c>
      <c r="AU205" s="67"/>
      <c r="AV205" s="79">
        <v>38991</v>
      </c>
      <c r="AW205" s="76">
        <v>316772</v>
      </c>
      <c r="AX205" s="80">
        <f t="shared" si="8"/>
        <v>1.8224224564002078E-2</v>
      </c>
      <c r="AY205" s="67"/>
      <c r="AZ205" s="81">
        <v>38991</v>
      </c>
      <c r="BA205" s="82">
        <v>113.13529968261719</v>
      </c>
      <c r="BB205" s="82">
        <v>125.29189300537109</v>
      </c>
      <c r="BC205" s="67"/>
      <c r="BD205" s="83">
        <v>39005</v>
      </c>
      <c r="BE205" s="42">
        <v>5108</v>
      </c>
      <c r="BF205" s="41">
        <f t="shared" si="9"/>
        <v>1.5305108328364181E-2</v>
      </c>
      <c r="BG205" s="67"/>
      <c r="BH205" s="84">
        <v>38991</v>
      </c>
      <c r="BI205" s="85">
        <v>99.204400000000007</v>
      </c>
      <c r="BJ205" s="87">
        <f t="shared" si="10"/>
        <v>-1.1468178573332821E-3</v>
      </c>
      <c r="BK205" s="67"/>
      <c r="BL205" s="84">
        <v>38991</v>
      </c>
      <c r="BM205" s="86">
        <v>93.69699</v>
      </c>
      <c r="BN205" s="67"/>
      <c r="BO205" s="88">
        <v>38991</v>
      </c>
      <c r="BP205" s="89">
        <v>3.3490000000000002</v>
      </c>
      <c r="BQ205" s="89">
        <v>3.4605000000000001</v>
      </c>
      <c r="BR205" s="90">
        <f t="shared" si="5"/>
        <v>-3.2220777344314389E-2</v>
      </c>
    </row>
    <row r="206" spans="1:70">
      <c r="A206" s="62">
        <v>39022</v>
      </c>
      <c r="B206" s="63">
        <v>39022</v>
      </c>
      <c r="C206" s="39">
        <v>63.13</v>
      </c>
      <c r="D206" s="64">
        <v>58.6</v>
      </c>
      <c r="E206" s="40">
        <f t="shared" si="29"/>
        <v>7.7303754266211611E-2</v>
      </c>
      <c r="F206" s="65"/>
      <c r="G206" s="63">
        <v>39022</v>
      </c>
      <c r="H206" s="39">
        <v>10.91</v>
      </c>
      <c r="I206" s="39">
        <v>10.93</v>
      </c>
      <c r="J206" s="40">
        <f t="shared" si="34"/>
        <v>-1.8298261665141702E-3</v>
      </c>
      <c r="K206" s="67"/>
      <c r="L206" s="68">
        <v>39022</v>
      </c>
      <c r="M206" s="98">
        <v>1400.6</v>
      </c>
      <c r="N206" s="98">
        <v>1377.8</v>
      </c>
      <c r="O206" s="70">
        <f t="shared" si="30"/>
        <v>1.6548120191609783E-2</v>
      </c>
      <c r="P206" s="67"/>
      <c r="Q206" s="38">
        <v>39022</v>
      </c>
      <c r="R206" s="39">
        <v>8.8439999999999994</v>
      </c>
      <c r="S206" s="39">
        <v>7.6</v>
      </c>
      <c r="T206" s="40">
        <f t="shared" si="36"/>
        <v>0.16368421052631588</v>
      </c>
      <c r="U206" s="67"/>
      <c r="V206" s="38">
        <v>39022</v>
      </c>
      <c r="W206" s="39">
        <v>1.85</v>
      </c>
      <c r="X206" s="39">
        <v>1.7230000000000001</v>
      </c>
      <c r="Y206" s="40">
        <f t="shared" si="31"/>
        <v>7.3708647707486863E-2</v>
      </c>
      <c r="Z206" s="67"/>
      <c r="AA206" s="71">
        <v>39022</v>
      </c>
      <c r="AB206" s="72">
        <v>652.9</v>
      </c>
      <c r="AC206" s="72">
        <v>607.5</v>
      </c>
      <c r="AD206" s="73">
        <f t="shared" si="32"/>
        <v>7.4732510288065823E-2</v>
      </c>
      <c r="AE206" s="67"/>
      <c r="AF206" s="71">
        <v>39022</v>
      </c>
      <c r="AG206" s="72">
        <v>82.92</v>
      </c>
      <c r="AH206" s="72">
        <v>85.29</v>
      </c>
      <c r="AI206" s="73">
        <f t="shared" si="33"/>
        <v>-2.7787548364403891E-2</v>
      </c>
      <c r="AJ206" s="67"/>
      <c r="AK206" s="74">
        <v>39051</v>
      </c>
      <c r="AL206" s="41">
        <v>4.4600000000000001E-2</v>
      </c>
      <c r="AM206" s="41">
        <f t="shared" si="35"/>
        <v>-1.5000000000000013E-3</v>
      </c>
      <c r="AN206" s="67"/>
      <c r="AO206" s="75">
        <v>39022</v>
      </c>
      <c r="AP206" s="76">
        <v>688582.5</v>
      </c>
      <c r="AQ206" s="80">
        <f t="shared" si="7"/>
        <v>6.6993982894003601E-4</v>
      </c>
      <c r="AR206" s="67"/>
      <c r="AS206" s="94">
        <v>39022</v>
      </c>
      <c r="AT206" s="78">
        <v>0.87650000000000006</v>
      </c>
      <c r="AU206" s="67"/>
      <c r="AV206" s="79">
        <v>39022</v>
      </c>
      <c r="AW206" s="76">
        <v>321826.75</v>
      </c>
      <c r="AX206" s="80">
        <f t="shared" si="8"/>
        <v>1.5957060598790207E-2</v>
      </c>
      <c r="AY206" s="67"/>
      <c r="AZ206" s="81">
        <v>39022</v>
      </c>
      <c r="BA206" s="82">
        <v>88.778923034667969</v>
      </c>
      <c r="BB206" s="82">
        <v>87.275772094726563</v>
      </c>
      <c r="BC206" s="67"/>
      <c r="BD206" s="83">
        <v>39036</v>
      </c>
      <c r="BE206" s="42">
        <v>5064</v>
      </c>
      <c r="BF206" s="41">
        <f t="shared" si="9"/>
        <v>-8.6139389193422566E-3</v>
      </c>
      <c r="BG206" s="67"/>
      <c r="BH206" s="84">
        <v>39022</v>
      </c>
      <c r="BI206" s="85">
        <v>99.162700000000001</v>
      </c>
      <c r="BJ206" s="87">
        <f t="shared" si="10"/>
        <v>-4.2034425892401028E-4</v>
      </c>
      <c r="BK206" s="67"/>
      <c r="BL206" s="84">
        <v>39022</v>
      </c>
      <c r="BM206" s="86">
        <v>97.757917000000006</v>
      </c>
      <c r="BN206" s="67"/>
      <c r="BO206" s="88">
        <v>39022</v>
      </c>
      <c r="BP206" s="89">
        <v>3.1890000000000001</v>
      </c>
      <c r="BQ206" s="89">
        <v>3.3534999999999999</v>
      </c>
      <c r="BR206" s="90">
        <f t="shared" si="5"/>
        <v>-4.9053227970776714E-2</v>
      </c>
    </row>
    <row r="207" spans="1:70">
      <c r="A207" s="62">
        <v>39052</v>
      </c>
      <c r="B207" s="63">
        <v>39052</v>
      </c>
      <c r="C207" s="39">
        <v>61.05</v>
      </c>
      <c r="D207" s="64">
        <v>62.85</v>
      </c>
      <c r="E207" s="40">
        <f t="shared" si="29"/>
        <v>-2.863961813842486E-2</v>
      </c>
      <c r="F207" s="65"/>
      <c r="G207" s="63">
        <v>39052</v>
      </c>
      <c r="H207" s="39">
        <v>11.56</v>
      </c>
      <c r="I207" s="39">
        <v>11.07</v>
      </c>
      <c r="J207" s="40">
        <f t="shared" si="34"/>
        <v>4.42637759710931E-2</v>
      </c>
      <c r="K207" s="67"/>
      <c r="L207" s="68">
        <v>39052</v>
      </c>
      <c r="M207" s="98">
        <v>1418.3</v>
      </c>
      <c r="N207" s="98">
        <v>1400.6</v>
      </c>
      <c r="O207" s="70">
        <f t="shared" si="30"/>
        <v>1.2637441096672974E-2</v>
      </c>
      <c r="P207" s="67"/>
      <c r="Q207" s="38">
        <v>39052</v>
      </c>
      <c r="R207" s="39">
        <v>6.2990000000000004</v>
      </c>
      <c r="S207" s="39">
        <v>8.7319999999999993</v>
      </c>
      <c r="T207" s="40">
        <f t="shared" si="36"/>
        <v>-0.27863032524049458</v>
      </c>
      <c r="U207" s="67"/>
      <c r="V207" s="38">
        <v>39052</v>
      </c>
      <c r="W207" s="39">
        <v>1.6482000000000001</v>
      </c>
      <c r="X207" s="39">
        <v>1.875</v>
      </c>
      <c r="Y207" s="40">
        <f t="shared" si="31"/>
        <v>-0.12095999999999996</v>
      </c>
      <c r="Z207" s="67"/>
      <c r="AA207" s="71">
        <v>39052</v>
      </c>
      <c r="AB207" s="72">
        <v>638</v>
      </c>
      <c r="AC207" s="72">
        <v>655</v>
      </c>
      <c r="AD207" s="73">
        <f t="shared" si="32"/>
        <v>-2.5954198473282397E-2</v>
      </c>
      <c r="AE207" s="67"/>
      <c r="AF207" s="71">
        <v>39052</v>
      </c>
      <c r="AG207" s="72">
        <v>83.72</v>
      </c>
      <c r="AH207" s="72">
        <v>82.91</v>
      </c>
      <c r="AI207" s="73">
        <f t="shared" si="33"/>
        <v>9.769629718972439E-3</v>
      </c>
      <c r="AJ207" s="67"/>
      <c r="AK207" s="74">
        <v>39082</v>
      </c>
      <c r="AL207" s="41">
        <v>4.7100000000000003E-2</v>
      </c>
      <c r="AM207" s="41">
        <f t="shared" si="35"/>
        <v>2.5000000000000022E-3</v>
      </c>
      <c r="AN207" s="67"/>
      <c r="AO207" s="75">
        <v>39052</v>
      </c>
      <c r="AP207" s="76">
        <v>688605</v>
      </c>
      <c r="AQ207" s="80">
        <f t="shared" si="7"/>
        <v>3.267582315835682E-5</v>
      </c>
      <c r="AR207" s="67"/>
      <c r="AS207" s="94">
        <v>39052</v>
      </c>
      <c r="AT207" s="78">
        <v>0.90439999999999998</v>
      </c>
      <c r="AU207" s="67"/>
      <c r="AV207" s="79">
        <v>39052</v>
      </c>
      <c r="AW207" s="76">
        <v>312525.59999999998</v>
      </c>
      <c r="AX207" s="80">
        <f t="shared" si="8"/>
        <v>-2.8901109059455199E-2</v>
      </c>
      <c r="AY207" s="67"/>
      <c r="AZ207" s="81">
        <v>39052</v>
      </c>
      <c r="BA207" s="82">
        <v>90.606559753417969</v>
      </c>
      <c r="BB207" s="82">
        <v>95.781379699707031</v>
      </c>
      <c r="BC207" s="67"/>
      <c r="BD207" s="83">
        <v>39066</v>
      </c>
      <c r="BE207" s="42">
        <v>5186</v>
      </c>
      <c r="BF207" s="41">
        <f t="shared" si="9"/>
        <v>2.4091627172195818E-2</v>
      </c>
      <c r="BG207" s="67"/>
      <c r="BH207" s="84">
        <v>39052</v>
      </c>
      <c r="BI207" s="85">
        <v>100.1735</v>
      </c>
      <c r="BJ207" s="87">
        <f t="shared" si="10"/>
        <v>1.0193348910427114E-2</v>
      </c>
      <c r="BK207" s="67"/>
      <c r="BL207" s="84">
        <v>39052</v>
      </c>
      <c r="BM207" s="86">
        <v>100.80736</v>
      </c>
      <c r="BN207" s="67"/>
      <c r="BO207" s="88">
        <v>39052</v>
      </c>
      <c r="BP207" s="89">
        <v>2.871</v>
      </c>
      <c r="BQ207" s="89">
        <v>3.16</v>
      </c>
      <c r="BR207" s="90">
        <f t="shared" si="5"/>
        <v>-9.1455696202531689E-2</v>
      </c>
    </row>
    <row r="208" spans="1:70">
      <c r="A208" s="62">
        <v>39083</v>
      </c>
      <c r="B208" s="63">
        <v>39083</v>
      </c>
      <c r="C208" s="39">
        <v>58.14</v>
      </c>
      <c r="D208" s="64">
        <v>60.95</v>
      </c>
      <c r="E208" s="40">
        <f t="shared" si="29"/>
        <v>-4.6103363412633325E-2</v>
      </c>
      <c r="F208" s="65"/>
      <c r="G208" s="63">
        <v>39083</v>
      </c>
      <c r="H208" s="39">
        <v>10.42</v>
      </c>
      <c r="I208" s="39">
        <v>12.16</v>
      </c>
      <c r="J208" s="40">
        <f t="shared" si="34"/>
        <v>-0.14309210526315796</v>
      </c>
      <c r="K208" s="67"/>
      <c r="L208" s="68">
        <v>39083</v>
      </c>
      <c r="M208" s="98">
        <v>1438.2</v>
      </c>
      <c r="N208" s="98">
        <v>1418</v>
      </c>
      <c r="O208" s="70">
        <f t="shared" si="30"/>
        <v>1.4245416078984441E-2</v>
      </c>
      <c r="P208" s="67"/>
      <c r="Q208" s="38">
        <v>39083</v>
      </c>
      <c r="R208" s="39">
        <v>7.6669999999999998</v>
      </c>
      <c r="S208" s="39">
        <v>6.2050000000000001</v>
      </c>
      <c r="T208" s="40">
        <f t="shared" si="36"/>
        <v>0.2356164383561643</v>
      </c>
      <c r="U208" s="67"/>
      <c r="V208" s="38">
        <v>39083</v>
      </c>
      <c r="W208" s="39">
        <v>1.6838</v>
      </c>
      <c r="X208" s="39">
        <v>1.6779999999999999</v>
      </c>
      <c r="Y208" s="40">
        <f t="shared" si="31"/>
        <v>3.4564958283671565E-3</v>
      </c>
      <c r="Z208" s="67"/>
      <c r="AA208" s="71">
        <v>39083</v>
      </c>
      <c r="AB208" s="72">
        <v>657.9</v>
      </c>
      <c r="AC208" s="72">
        <v>639.20000000000005</v>
      </c>
      <c r="AD208" s="73">
        <f t="shared" si="32"/>
        <v>2.9255319148935977E-2</v>
      </c>
      <c r="AE208" s="67"/>
      <c r="AF208" s="71">
        <v>39083</v>
      </c>
      <c r="AG208" s="72">
        <v>84.61</v>
      </c>
      <c r="AH208" s="72">
        <v>83.46</v>
      </c>
      <c r="AI208" s="73">
        <f t="shared" si="33"/>
        <v>1.3779055835130727E-2</v>
      </c>
      <c r="AJ208" s="67"/>
      <c r="AK208" s="74">
        <v>39113</v>
      </c>
      <c r="AL208" s="41">
        <v>4.8300000000000003E-2</v>
      </c>
      <c r="AM208" s="41">
        <f t="shared" si="35"/>
        <v>1.1999999999999997E-3</v>
      </c>
      <c r="AN208" s="67"/>
      <c r="AO208" s="75">
        <v>39083</v>
      </c>
      <c r="AP208" s="76">
        <v>688605</v>
      </c>
      <c r="AQ208" s="80">
        <f t="shared" si="7"/>
        <v>0</v>
      </c>
      <c r="AR208" s="67"/>
      <c r="AS208" s="94">
        <v>39083</v>
      </c>
      <c r="AT208" s="78">
        <v>0.88474999999999993</v>
      </c>
      <c r="AU208" s="67"/>
      <c r="AV208" s="79">
        <v>39083</v>
      </c>
      <c r="AW208" s="76">
        <v>303611.5</v>
      </c>
      <c r="AX208" s="80">
        <f t="shared" si="8"/>
        <v>-2.852278341358272E-2</v>
      </c>
      <c r="AY208" s="67"/>
      <c r="AZ208" s="81">
        <v>39083</v>
      </c>
      <c r="BA208" s="82">
        <v>97.9200439453125</v>
      </c>
      <c r="BB208" s="82">
        <v>95.613449096679688</v>
      </c>
      <c r="BC208" s="67"/>
      <c r="BD208" s="83">
        <v>39097</v>
      </c>
      <c r="BE208" s="42">
        <v>5108</v>
      </c>
      <c r="BF208" s="41">
        <f t="shared" si="9"/>
        <v>-1.5040493636714225E-2</v>
      </c>
      <c r="BG208" s="67"/>
      <c r="BH208" s="84">
        <v>39083</v>
      </c>
      <c r="BI208" s="85">
        <v>99.834599999999995</v>
      </c>
      <c r="BJ208" s="87">
        <f t="shared" si="10"/>
        <v>-3.3831302689834031E-3</v>
      </c>
      <c r="BK208" s="67"/>
      <c r="BL208" s="84">
        <v>39083</v>
      </c>
      <c r="BM208" s="86">
        <v>103.67341999999999</v>
      </c>
      <c r="BN208" s="67"/>
      <c r="BO208" s="88">
        <v>39083</v>
      </c>
      <c r="BP208" s="89">
        <v>2.6015000000000001</v>
      </c>
      <c r="BQ208" s="89">
        <v>2.871</v>
      </c>
      <c r="BR208" s="90">
        <f t="shared" si="5"/>
        <v>-9.3869731800766187E-2</v>
      </c>
    </row>
    <row r="209" spans="1:70">
      <c r="A209" s="62">
        <v>39114</v>
      </c>
      <c r="B209" s="63">
        <v>39114</v>
      </c>
      <c r="C209" s="39">
        <v>61.79</v>
      </c>
      <c r="D209" s="64">
        <v>57.89</v>
      </c>
      <c r="E209" s="40">
        <f t="shared" si="29"/>
        <v>6.7369148384867739E-2</v>
      </c>
      <c r="F209" s="65"/>
      <c r="G209" s="63">
        <v>39114</v>
      </c>
      <c r="H209" s="39">
        <v>15.42</v>
      </c>
      <c r="I209" s="39">
        <v>10.32</v>
      </c>
      <c r="J209" s="40">
        <f t="shared" si="34"/>
        <v>0.4941860465116279</v>
      </c>
      <c r="K209" s="67"/>
      <c r="L209" s="68">
        <v>39114</v>
      </c>
      <c r="M209" s="98">
        <v>1406.8</v>
      </c>
      <c r="N209" s="98">
        <v>1437.9</v>
      </c>
      <c r="O209" s="70">
        <f t="shared" si="30"/>
        <v>-2.1628764169970172E-2</v>
      </c>
      <c r="P209" s="67"/>
      <c r="Q209" s="38">
        <v>39114</v>
      </c>
      <c r="R209" s="39">
        <v>7.3</v>
      </c>
      <c r="S209" s="39">
        <v>7.7050000000000001</v>
      </c>
      <c r="T209" s="40">
        <f t="shared" si="36"/>
        <v>-5.2563270603504297E-2</v>
      </c>
      <c r="U209" s="67"/>
      <c r="V209" s="38">
        <v>39114</v>
      </c>
      <c r="W209" s="39">
        <v>1.7781</v>
      </c>
      <c r="X209" s="39">
        <v>1.6695</v>
      </c>
      <c r="Y209" s="40">
        <f t="shared" si="31"/>
        <v>6.5049415992812332E-2</v>
      </c>
      <c r="Z209" s="67"/>
      <c r="AA209" s="71">
        <v>39114</v>
      </c>
      <c r="AB209" s="72">
        <v>672.5</v>
      </c>
      <c r="AC209" s="72">
        <v>658.5</v>
      </c>
      <c r="AD209" s="73">
        <f t="shared" si="32"/>
        <v>2.1260440394836655E-2</v>
      </c>
      <c r="AE209" s="67"/>
      <c r="AF209" s="71">
        <v>39114</v>
      </c>
      <c r="AG209" s="72">
        <v>83.57</v>
      </c>
      <c r="AH209" s="72">
        <v>84.65</v>
      </c>
      <c r="AI209" s="73">
        <f t="shared" si="33"/>
        <v>-1.2758417011222822E-2</v>
      </c>
      <c r="AJ209" s="67"/>
      <c r="AK209" s="74">
        <v>39141</v>
      </c>
      <c r="AL209" s="41">
        <v>4.5599999999999995E-2</v>
      </c>
      <c r="AM209" s="41">
        <f t="shared" si="35"/>
        <v>-2.7000000000000079E-3</v>
      </c>
      <c r="AN209" s="67"/>
      <c r="AO209" s="75">
        <v>39114</v>
      </c>
      <c r="AP209" s="76">
        <v>688605</v>
      </c>
      <c r="AQ209" s="80">
        <f t="shared" si="7"/>
        <v>0</v>
      </c>
      <c r="AR209" s="67"/>
      <c r="AS209" s="94">
        <v>39114</v>
      </c>
      <c r="AT209" s="78">
        <v>0.86275000000000002</v>
      </c>
      <c r="AU209" s="67"/>
      <c r="AV209" s="79">
        <v>39114</v>
      </c>
      <c r="AW209" s="76">
        <v>308953.5</v>
      </c>
      <c r="AX209" s="80">
        <f t="shared" si="8"/>
        <v>1.7594853949866929E-2</v>
      </c>
      <c r="AY209" s="67"/>
      <c r="AZ209" s="81">
        <v>39114</v>
      </c>
      <c r="BA209" s="82">
        <v>96.169357299804688</v>
      </c>
      <c r="BB209" s="82">
        <v>98.155738830566406</v>
      </c>
      <c r="BC209" s="67"/>
      <c r="BD209" s="83">
        <v>39128</v>
      </c>
      <c r="BE209" s="42">
        <v>5118</v>
      </c>
      <c r="BF209" s="41">
        <f t="shared" si="9"/>
        <v>1.9577133907595634E-3</v>
      </c>
      <c r="BG209" s="67"/>
      <c r="BH209" s="84">
        <v>39114</v>
      </c>
      <c r="BI209" s="85">
        <v>100.7753</v>
      </c>
      <c r="BJ209" s="87">
        <f t="shared" si="10"/>
        <v>9.4225849555165109E-3</v>
      </c>
      <c r="BK209" s="67"/>
      <c r="BL209" s="84">
        <v>39114</v>
      </c>
      <c r="BM209" s="86">
        <v>102.00899</v>
      </c>
      <c r="BN209" s="67"/>
      <c r="BO209" s="88">
        <v>39114</v>
      </c>
      <c r="BP209" s="89">
        <v>2.7519999999999998</v>
      </c>
      <c r="BQ209" s="89">
        <v>2.585</v>
      </c>
      <c r="BR209" s="90">
        <f t="shared" si="5"/>
        <v>6.4603481624758041E-2</v>
      </c>
    </row>
    <row r="210" spans="1:70">
      <c r="A210" s="62">
        <v>39142</v>
      </c>
      <c r="B210" s="63">
        <v>39142</v>
      </c>
      <c r="C210" s="39">
        <v>65.87</v>
      </c>
      <c r="D210" s="64">
        <v>61.82</v>
      </c>
      <c r="E210" s="40">
        <f t="shared" si="29"/>
        <v>6.5512779035910684E-2</v>
      </c>
      <c r="F210" s="65"/>
      <c r="G210" s="63">
        <v>39142</v>
      </c>
      <c r="H210" s="39">
        <v>14.64</v>
      </c>
      <c r="I210" s="39">
        <v>17.760000000000002</v>
      </c>
      <c r="J210" s="40">
        <f t="shared" si="34"/>
        <v>-0.17567567567567577</v>
      </c>
      <c r="K210" s="67"/>
      <c r="L210" s="68">
        <v>39142</v>
      </c>
      <c r="M210" s="98">
        <v>1420.9</v>
      </c>
      <c r="N210" s="98">
        <v>1406.8</v>
      </c>
      <c r="O210" s="70">
        <f t="shared" si="30"/>
        <v>1.0022746659084536E-2</v>
      </c>
      <c r="P210" s="67"/>
      <c r="Q210" s="38">
        <v>39142</v>
      </c>
      <c r="R210" s="39">
        <v>7.73</v>
      </c>
      <c r="S210" s="39">
        <v>7.218</v>
      </c>
      <c r="T210" s="40">
        <f t="shared" si="36"/>
        <v>7.0933776669437565E-2</v>
      </c>
      <c r="U210" s="67"/>
      <c r="V210" s="38">
        <v>39142</v>
      </c>
      <c r="W210" s="39">
        <v>1.8769</v>
      </c>
      <c r="X210" s="39">
        <v>1.7696000000000001</v>
      </c>
      <c r="Y210" s="40">
        <f t="shared" si="31"/>
        <v>6.0635171790235143E-2</v>
      </c>
      <c r="Z210" s="67"/>
      <c r="AA210" s="71">
        <v>39142</v>
      </c>
      <c r="AB210" s="72">
        <v>669</v>
      </c>
      <c r="AC210" s="72">
        <v>672.8</v>
      </c>
      <c r="AD210" s="73">
        <f t="shared" si="32"/>
        <v>-5.6480380499405181E-3</v>
      </c>
      <c r="AE210" s="67"/>
      <c r="AF210" s="71">
        <v>39142</v>
      </c>
      <c r="AG210" s="72">
        <v>82.93</v>
      </c>
      <c r="AH210" s="72">
        <v>83.62</v>
      </c>
      <c r="AI210" s="73">
        <f t="shared" si="33"/>
        <v>-8.2516144463047336E-3</v>
      </c>
      <c r="AJ210" s="67"/>
      <c r="AK210" s="74">
        <v>39172</v>
      </c>
      <c r="AL210" s="41">
        <v>4.6500000000000007E-2</v>
      </c>
      <c r="AM210" s="41">
        <f t="shared" si="35"/>
        <v>9.000000000000119E-4</v>
      </c>
      <c r="AN210" s="67"/>
      <c r="AO210" s="75">
        <v>39142</v>
      </c>
      <c r="AP210" s="76">
        <v>688603.6</v>
      </c>
      <c r="AQ210" s="80">
        <f t="shared" si="7"/>
        <v>-2.0330958968584056E-6</v>
      </c>
      <c r="AR210" s="67"/>
      <c r="AS210" s="94">
        <v>39142</v>
      </c>
      <c r="AT210" s="78">
        <v>0.86340000000000006</v>
      </c>
      <c r="AU210" s="67"/>
      <c r="AV210" s="79">
        <v>39142</v>
      </c>
      <c r="AW210" s="76">
        <v>310643.40000000002</v>
      </c>
      <c r="AX210" s="80">
        <f t="shared" si="8"/>
        <v>5.4697551573295033E-3</v>
      </c>
      <c r="AY210" s="67"/>
      <c r="AZ210" s="81">
        <v>39142</v>
      </c>
      <c r="BA210" s="82">
        <v>87.336502075195313</v>
      </c>
      <c r="BB210" s="82">
        <v>86.152122497558594</v>
      </c>
      <c r="BC210" s="67"/>
      <c r="BD210" s="83">
        <v>39156</v>
      </c>
      <c r="BE210" s="42">
        <v>5119</v>
      </c>
      <c r="BF210" s="41">
        <f t="shared" si="9"/>
        <v>1.9538882375935707E-4</v>
      </c>
      <c r="BG210" s="67"/>
      <c r="BH210" s="84">
        <v>39142</v>
      </c>
      <c r="BI210" s="85">
        <v>100.9547</v>
      </c>
      <c r="BJ210" s="87">
        <f t="shared" si="10"/>
        <v>1.7801981239451425E-3</v>
      </c>
      <c r="BK210" s="67"/>
      <c r="BL210" s="84">
        <v>39142</v>
      </c>
      <c r="BM210" s="86">
        <v>116.91672</v>
      </c>
      <c r="BN210" s="67"/>
      <c r="BO210" s="88">
        <v>39142</v>
      </c>
      <c r="BP210" s="89">
        <v>3.1440000000000001</v>
      </c>
      <c r="BQ210" s="89">
        <v>2.7650000000000001</v>
      </c>
      <c r="BR210" s="90">
        <f t="shared" si="5"/>
        <v>0.1370705244122965</v>
      </c>
    </row>
    <row r="211" spans="1:70">
      <c r="A211" s="62">
        <v>39173</v>
      </c>
      <c r="B211" s="63">
        <v>39173</v>
      </c>
      <c r="C211" s="39">
        <v>65.709999999999994</v>
      </c>
      <c r="D211" s="64">
        <v>66.03</v>
      </c>
      <c r="E211" s="40">
        <f t="shared" si="29"/>
        <v>-4.8462819930336076E-3</v>
      </c>
      <c r="F211" s="65"/>
      <c r="G211" s="63">
        <v>39173</v>
      </c>
      <c r="H211" s="39">
        <v>14.22</v>
      </c>
      <c r="I211" s="39">
        <v>14.91</v>
      </c>
      <c r="J211" s="40">
        <f t="shared" si="34"/>
        <v>-4.6277665995975825E-2</v>
      </c>
      <c r="K211" s="67"/>
      <c r="L211" s="68">
        <v>39173</v>
      </c>
      <c r="M211" s="98">
        <v>1482.4</v>
      </c>
      <c r="N211" s="98">
        <v>1420.8</v>
      </c>
      <c r="O211" s="70">
        <f t="shared" si="30"/>
        <v>4.3355855855855996E-2</v>
      </c>
      <c r="P211" s="67"/>
      <c r="Q211" s="38">
        <v>39173</v>
      </c>
      <c r="R211" s="39">
        <v>7.8630000000000004</v>
      </c>
      <c r="S211" s="39">
        <v>7.7679999999999998</v>
      </c>
      <c r="T211" s="40">
        <f t="shared" si="36"/>
        <v>1.2229660144181365E-2</v>
      </c>
      <c r="U211" s="67"/>
      <c r="V211" s="38">
        <v>39173</v>
      </c>
      <c r="W211" s="39">
        <v>1.8948</v>
      </c>
      <c r="X211" s="39">
        <v>1.8831</v>
      </c>
      <c r="Y211" s="40">
        <f t="shared" si="31"/>
        <v>6.213159152461456E-3</v>
      </c>
      <c r="Z211" s="67"/>
      <c r="AA211" s="71">
        <v>39173</v>
      </c>
      <c r="AB211" s="72">
        <v>683.5</v>
      </c>
      <c r="AC211" s="72">
        <v>671.1</v>
      </c>
      <c r="AD211" s="73">
        <f t="shared" si="32"/>
        <v>1.8477127104753466E-2</v>
      </c>
      <c r="AE211" s="67"/>
      <c r="AF211" s="71">
        <v>39173</v>
      </c>
      <c r="AG211" s="72">
        <v>81.45</v>
      </c>
      <c r="AH211" s="72">
        <v>82.91</v>
      </c>
      <c r="AI211" s="73">
        <f t="shared" si="33"/>
        <v>-1.7609456036666193E-2</v>
      </c>
      <c r="AJ211" s="67"/>
      <c r="AK211" s="74">
        <v>39202</v>
      </c>
      <c r="AL211" s="41">
        <v>4.6300000000000001E-2</v>
      </c>
      <c r="AM211" s="41">
        <f t="shared" si="35"/>
        <v>-2.0000000000000573E-4</v>
      </c>
      <c r="AN211" s="67"/>
      <c r="AO211" s="75">
        <v>39173</v>
      </c>
      <c r="AP211" s="76">
        <v>688978.5</v>
      </c>
      <c r="AQ211" s="80">
        <f t="shared" si="7"/>
        <v>5.4443514381863345E-4</v>
      </c>
      <c r="AR211" s="67"/>
      <c r="AS211" s="94">
        <v>39173</v>
      </c>
      <c r="AT211" s="78">
        <v>0.88724999999999998</v>
      </c>
      <c r="AU211" s="67"/>
      <c r="AV211" s="79">
        <v>39173</v>
      </c>
      <c r="AW211" s="76">
        <v>316802.75</v>
      </c>
      <c r="AX211" s="80">
        <f t="shared" si="8"/>
        <v>1.982771885705592E-2</v>
      </c>
      <c r="AY211" s="67"/>
      <c r="AZ211" s="81">
        <v>39173</v>
      </c>
      <c r="BA211" s="82">
        <v>76.613380432128906</v>
      </c>
      <c r="BB211" s="82">
        <v>69.225517272949219</v>
      </c>
      <c r="BC211" s="67"/>
      <c r="BD211" s="83">
        <v>39187</v>
      </c>
      <c r="BE211" s="42">
        <v>5180</v>
      </c>
      <c r="BF211" s="41">
        <f t="shared" si="9"/>
        <v>1.1916389919906178E-2</v>
      </c>
      <c r="BG211" s="67"/>
      <c r="BH211" s="84">
        <v>39173</v>
      </c>
      <c r="BI211" s="85">
        <v>101.63339999999999</v>
      </c>
      <c r="BJ211" s="87">
        <f t="shared" si="10"/>
        <v>6.7228172635844796E-3</v>
      </c>
      <c r="BK211" s="67"/>
      <c r="BL211" s="84">
        <v>39173</v>
      </c>
      <c r="BM211" s="86">
        <v>128.39998</v>
      </c>
      <c r="BN211" s="67"/>
      <c r="BO211" s="88">
        <v>39173</v>
      </c>
      <c r="BP211" s="89">
        <v>3.5565000000000002</v>
      </c>
      <c r="BQ211" s="89">
        <v>3.1775000000000002</v>
      </c>
      <c r="BR211" s="90">
        <f t="shared" si="5"/>
        <v>0.11927616050354062</v>
      </c>
    </row>
    <row r="212" spans="1:70">
      <c r="A212" s="62">
        <v>39203</v>
      </c>
      <c r="B212" s="63">
        <v>39203</v>
      </c>
      <c r="C212" s="39">
        <v>64.010000000000005</v>
      </c>
      <c r="D212" s="64">
        <v>65.66</v>
      </c>
      <c r="E212" s="40">
        <f t="shared" si="29"/>
        <v>-2.5129454766981252E-2</v>
      </c>
      <c r="F212" s="65"/>
      <c r="G212" s="63">
        <v>39203</v>
      </c>
      <c r="H212" s="39">
        <v>13.05</v>
      </c>
      <c r="I212" s="39">
        <v>14.1</v>
      </c>
      <c r="J212" s="40">
        <f t="shared" si="34"/>
        <v>-7.446808510638292E-2</v>
      </c>
      <c r="K212" s="67"/>
      <c r="L212" s="68">
        <v>39203</v>
      </c>
      <c r="M212" s="98">
        <v>1530.6</v>
      </c>
      <c r="N212" s="98">
        <v>1482.4</v>
      </c>
      <c r="O212" s="70">
        <f t="shared" si="30"/>
        <v>3.2514840798704592E-2</v>
      </c>
      <c r="P212" s="67"/>
      <c r="Q212" s="38">
        <v>39203</v>
      </c>
      <c r="R212" s="39">
        <v>7.9349999999999996</v>
      </c>
      <c r="S212" s="39">
        <v>7.8330000000000002</v>
      </c>
      <c r="T212" s="40">
        <f t="shared" si="36"/>
        <v>1.3021830716200666E-2</v>
      </c>
      <c r="U212" s="67"/>
      <c r="V212" s="38">
        <v>39203</v>
      </c>
      <c r="W212" s="39">
        <v>1.8831</v>
      </c>
      <c r="X212" s="39">
        <v>1.9</v>
      </c>
      <c r="Y212" s="40">
        <f t="shared" si="31"/>
        <v>-8.8947368421051776E-3</v>
      </c>
      <c r="Z212" s="67"/>
      <c r="AA212" s="71">
        <v>39203</v>
      </c>
      <c r="AB212" s="72">
        <v>666.7</v>
      </c>
      <c r="AC212" s="72">
        <v>681.2</v>
      </c>
      <c r="AD212" s="73">
        <f t="shared" si="32"/>
        <v>-2.1285965942454466E-2</v>
      </c>
      <c r="AE212" s="67"/>
      <c r="AF212" s="71">
        <v>39203</v>
      </c>
      <c r="AG212" s="72">
        <v>82.3</v>
      </c>
      <c r="AH212" s="72">
        <v>81.42</v>
      </c>
      <c r="AI212" s="73">
        <f t="shared" si="33"/>
        <v>1.0808155244411699E-2</v>
      </c>
      <c r="AJ212" s="67"/>
      <c r="AK212" s="74">
        <v>39233</v>
      </c>
      <c r="AL212" s="41">
        <v>4.9000000000000002E-2</v>
      </c>
      <c r="AM212" s="41">
        <f t="shared" si="35"/>
        <v>2.700000000000001E-3</v>
      </c>
      <c r="AN212" s="67"/>
      <c r="AO212" s="92">
        <v>39203</v>
      </c>
      <c r="AP212" s="76">
        <v>689691.25</v>
      </c>
      <c r="AQ212" s="80">
        <f t="shared" si="7"/>
        <v>1.0345025280178444E-3</v>
      </c>
      <c r="AR212" s="67"/>
      <c r="AS212" s="97">
        <v>39203</v>
      </c>
      <c r="AT212" s="78">
        <v>0.90174999999999994</v>
      </c>
      <c r="AU212" s="67"/>
      <c r="AV212" s="93">
        <v>39203</v>
      </c>
      <c r="AW212" s="76">
        <v>325231.25</v>
      </c>
      <c r="AX212" s="80">
        <f t="shared" si="8"/>
        <v>2.6604882691201315E-2</v>
      </c>
      <c r="AY212" s="67"/>
      <c r="AZ212" s="81">
        <v>39203</v>
      </c>
      <c r="BA212" s="82">
        <v>92.599586486816406</v>
      </c>
      <c r="BB212" s="82">
        <v>82.303230285644531</v>
      </c>
      <c r="BC212" s="67"/>
      <c r="BD212" s="83">
        <v>39217</v>
      </c>
      <c r="BE212" s="42">
        <v>5211</v>
      </c>
      <c r="BF212" s="41">
        <f t="shared" si="9"/>
        <v>5.9845559845559393E-3</v>
      </c>
      <c r="BG212" s="67"/>
      <c r="BH212" s="84">
        <v>39203</v>
      </c>
      <c r="BI212" s="85">
        <v>101.7306</v>
      </c>
      <c r="BJ212" s="87">
        <f t="shared" si="10"/>
        <v>9.5637851336283219E-4</v>
      </c>
      <c r="BK212" s="67"/>
      <c r="BL212" s="84">
        <v>39203</v>
      </c>
      <c r="BM212" s="86">
        <v>138.82642000000001</v>
      </c>
      <c r="BN212" s="67"/>
      <c r="BO212" s="88">
        <v>39203</v>
      </c>
      <c r="BP212" s="89">
        <v>3.3915000000000002</v>
      </c>
      <c r="BQ212" s="89">
        <v>3.5354999999999999</v>
      </c>
      <c r="BR212" s="90">
        <f t="shared" si="5"/>
        <v>-4.072974119643602E-2</v>
      </c>
    </row>
    <row r="213" spans="1:70">
      <c r="A213" s="62">
        <v>39234</v>
      </c>
      <c r="B213" s="63">
        <v>39234</v>
      </c>
      <c r="C213" s="39">
        <v>70.680000000000007</v>
      </c>
      <c r="D213" s="64">
        <v>64.23</v>
      </c>
      <c r="E213" s="40">
        <f t="shared" si="29"/>
        <v>0.10042036431574042</v>
      </c>
      <c r="F213" s="65"/>
      <c r="G213" s="63">
        <v>39234</v>
      </c>
      <c r="H213" s="39">
        <v>16.23</v>
      </c>
      <c r="I213" s="39">
        <v>12.77</v>
      </c>
      <c r="J213" s="40">
        <f t="shared" si="34"/>
        <v>0.27094753328112775</v>
      </c>
      <c r="K213" s="67"/>
      <c r="L213" s="68">
        <v>39234</v>
      </c>
      <c r="M213" s="98">
        <v>1503.3</v>
      </c>
      <c r="N213" s="98">
        <v>1530.6</v>
      </c>
      <c r="O213" s="70">
        <f t="shared" si="30"/>
        <v>-1.7836142689141465E-2</v>
      </c>
      <c r="P213" s="67"/>
      <c r="Q213" s="38">
        <v>39234</v>
      </c>
      <c r="R213" s="39">
        <v>6.7729999999999997</v>
      </c>
      <c r="S213" s="39">
        <v>7.9550000000000001</v>
      </c>
      <c r="T213" s="40">
        <f t="shared" si="36"/>
        <v>-0.14858579509742309</v>
      </c>
      <c r="U213" s="67"/>
      <c r="V213" s="38">
        <v>39234</v>
      </c>
      <c r="W213" s="39">
        <v>2.0424000000000002</v>
      </c>
      <c r="X213" s="39">
        <v>1.8976</v>
      </c>
      <c r="Y213" s="40">
        <f t="shared" si="31"/>
        <v>7.6306913996627479E-2</v>
      </c>
      <c r="Z213" s="67"/>
      <c r="AA213" s="71">
        <v>39234</v>
      </c>
      <c r="AB213" s="72">
        <v>650.9</v>
      </c>
      <c r="AC213" s="72">
        <v>666.5</v>
      </c>
      <c r="AD213" s="73">
        <f t="shared" si="32"/>
        <v>-2.3405851462865779E-2</v>
      </c>
      <c r="AE213" s="67"/>
      <c r="AF213" s="71">
        <v>39234</v>
      </c>
      <c r="AG213" s="72">
        <v>81.92</v>
      </c>
      <c r="AH213" s="72">
        <v>82.31</v>
      </c>
      <c r="AI213" s="73">
        <f t="shared" si="33"/>
        <v>-4.7381849107034357E-3</v>
      </c>
      <c r="AJ213" s="67"/>
      <c r="AK213" s="74">
        <v>39263</v>
      </c>
      <c r="AL213" s="41">
        <v>5.0300000000000004E-2</v>
      </c>
      <c r="AM213" s="41">
        <f t="shared" si="35"/>
        <v>1.3000000000000025E-3</v>
      </c>
      <c r="AN213" s="67"/>
      <c r="AO213" s="75">
        <v>39234</v>
      </c>
      <c r="AP213" s="76">
        <v>690270</v>
      </c>
      <c r="AQ213" s="80">
        <f t="shared" si="7"/>
        <v>8.3914360230030738E-4</v>
      </c>
      <c r="AR213" s="67"/>
      <c r="AS213" s="94">
        <v>39234</v>
      </c>
      <c r="AT213" s="78">
        <v>0.89159999999999995</v>
      </c>
      <c r="AU213" s="67"/>
      <c r="AV213" s="79">
        <v>39234</v>
      </c>
      <c r="AW213" s="76">
        <v>330688.8</v>
      </c>
      <c r="AX213" s="80">
        <f t="shared" si="8"/>
        <v>1.6780521551972516E-2</v>
      </c>
      <c r="AY213" s="67"/>
      <c r="AZ213" s="81">
        <v>39234</v>
      </c>
      <c r="BA213" s="82">
        <v>97.972312927246094</v>
      </c>
      <c r="BB213" s="82">
        <v>87.080596923828125</v>
      </c>
      <c r="BC213" s="67"/>
      <c r="BD213" s="83">
        <v>39248</v>
      </c>
      <c r="BE213" s="42">
        <v>5075</v>
      </c>
      <c r="BF213" s="41">
        <f t="shared" si="9"/>
        <v>-2.6098637497601218E-2</v>
      </c>
      <c r="BG213" s="67"/>
      <c r="BH213" s="84">
        <v>39234</v>
      </c>
      <c r="BI213" s="85">
        <v>101.7893</v>
      </c>
      <c r="BJ213" s="87">
        <f t="shared" si="10"/>
        <v>5.7701419238664897E-4</v>
      </c>
      <c r="BK213" s="67"/>
      <c r="BL213" s="84">
        <v>39234</v>
      </c>
      <c r="BM213" s="86">
        <v>128.4032</v>
      </c>
      <c r="BN213" s="67"/>
      <c r="BO213" s="88">
        <v>39234</v>
      </c>
      <c r="BP213" s="89">
        <v>3.4504999999999999</v>
      </c>
      <c r="BQ213" s="89">
        <v>3.4024999999999999</v>
      </c>
      <c r="BR213" s="90">
        <f t="shared" si="5"/>
        <v>1.4107274063188902E-2</v>
      </c>
    </row>
    <row r="214" spans="1:70">
      <c r="A214" s="62">
        <v>39264</v>
      </c>
      <c r="B214" s="63">
        <v>39264</v>
      </c>
      <c r="C214" s="39">
        <v>78.209999999999994</v>
      </c>
      <c r="D214" s="64">
        <v>70.52</v>
      </c>
      <c r="E214" s="40">
        <f t="shared" si="29"/>
        <v>0.10904707884288145</v>
      </c>
      <c r="F214" s="65"/>
      <c r="G214" s="63">
        <v>39264</v>
      </c>
      <c r="H214" s="39">
        <v>23.52</v>
      </c>
      <c r="I214" s="39">
        <v>16.48</v>
      </c>
      <c r="J214" s="40">
        <f t="shared" si="34"/>
        <v>0.42718446601941751</v>
      </c>
      <c r="K214" s="67"/>
      <c r="L214" s="68">
        <v>39264</v>
      </c>
      <c r="M214" s="98">
        <v>1455.3</v>
      </c>
      <c r="N214" s="98">
        <v>1504.7</v>
      </c>
      <c r="O214" s="70">
        <f t="shared" si="30"/>
        <v>-3.2830464544427507E-2</v>
      </c>
      <c r="P214" s="67"/>
      <c r="Q214" s="38">
        <v>39264</v>
      </c>
      <c r="R214" s="39">
        <v>6.1909999999999998</v>
      </c>
      <c r="S214" s="39">
        <v>6.72</v>
      </c>
      <c r="T214" s="40">
        <f t="shared" si="36"/>
        <v>-7.8720238095238093E-2</v>
      </c>
      <c r="U214" s="67"/>
      <c r="V214" s="38">
        <v>39264</v>
      </c>
      <c r="W214" s="39">
        <v>2.1232000000000002</v>
      </c>
      <c r="X214" s="39">
        <v>2.0579999999999998</v>
      </c>
      <c r="Y214" s="40">
        <f t="shared" si="31"/>
        <v>3.1681243926142022E-2</v>
      </c>
      <c r="Z214" s="67"/>
      <c r="AA214" s="71">
        <v>39264</v>
      </c>
      <c r="AB214" s="72">
        <v>679.3</v>
      </c>
      <c r="AC214" s="72">
        <v>651.6</v>
      </c>
      <c r="AD214" s="73">
        <f t="shared" si="32"/>
        <v>4.2510742786985745E-2</v>
      </c>
      <c r="AE214" s="67"/>
      <c r="AF214" s="71">
        <v>39264</v>
      </c>
      <c r="AG214" s="72">
        <v>80.77</v>
      </c>
      <c r="AH214" s="72">
        <v>81.87</v>
      </c>
      <c r="AI214" s="73">
        <f t="shared" si="33"/>
        <v>-1.3435935018932588E-2</v>
      </c>
      <c r="AJ214" s="67"/>
      <c r="AK214" s="74">
        <v>39294</v>
      </c>
      <c r="AL214" s="41">
        <v>4.7800000000000002E-2</v>
      </c>
      <c r="AM214" s="41">
        <f t="shared" si="35"/>
        <v>-2.5000000000000022E-3</v>
      </c>
      <c r="AN214" s="67"/>
      <c r="AO214" s="75">
        <v>39264</v>
      </c>
      <c r="AP214" s="76">
        <v>690270</v>
      </c>
      <c r="AQ214" s="80">
        <f t="shared" si="7"/>
        <v>0</v>
      </c>
      <c r="AR214" s="67"/>
      <c r="AS214" s="94">
        <v>39264</v>
      </c>
      <c r="AT214" s="78">
        <v>0.91625000000000001</v>
      </c>
      <c r="AU214" s="67"/>
      <c r="AV214" s="79">
        <v>39264</v>
      </c>
      <c r="AW214" s="76">
        <v>332823.5</v>
      </c>
      <c r="AX214" s="80">
        <f t="shared" si="8"/>
        <v>6.4553138781839881E-3</v>
      </c>
      <c r="AY214" s="67"/>
      <c r="AZ214" s="81">
        <v>39264</v>
      </c>
      <c r="BA214" s="82">
        <v>112.34625244140625</v>
      </c>
      <c r="BB214" s="82">
        <v>103.26340484619141</v>
      </c>
      <c r="BC214" s="67"/>
      <c r="BD214" s="83">
        <v>39278</v>
      </c>
      <c r="BE214" s="42">
        <v>5038</v>
      </c>
      <c r="BF214" s="41">
        <f t="shared" si="9"/>
        <v>-7.2906403940886655E-3</v>
      </c>
      <c r="BG214" s="67"/>
      <c r="BH214" s="84">
        <v>39264</v>
      </c>
      <c r="BI214" s="85">
        <v>101.66719999999999</v>
      </c>
      <c r="BJ214" s="87">
        <f t="shared" si="10"/>
        <v>-1.1995366900057203E-3</v>
      </c>
      <c r="BK214" s="67"/>
      <c r="BL214" s="84">
        <v>39264</v>
      </c>
      <c r="BM214" s="86">
        <v>141.37262000000001</v>
      </c>
      <c r="BN214" s="67"/>
      <c r="BO214" s="88">
        <v>39264</v>
      </c>
      <c r="BP214" s="89">
        <v>3.6419999999999999</v>
      </c>
      <c r="BQ214" s="89">
        <v>3.4485000000000001</v>
      </c>
      <c r="BR214" s="90">
        <f t="shared" si="5"/>
        <v>5.6111352762070466E-2</v>
      </c>
    </row>
    <row r="215" spans="1:70">
      <c r="A215" s="62">
        <v>39295</v>
      </c>
      <c r="B215" s="63">
        <v>39295</v>
      </c>
      <c r="C215" s="39">
        <v>74.040000000000006</v>
      </c>
      <c r="D215" s="64">
        <v>77.94</v>
      </c>
      <c r="E215" s="40">
        <f t="shared" si="29"/>
        <v>-5.0038491147036068E-2</v>
      </c>
      <c r="F215" s="65"/>
      <c r="G215" s="63">
        <v>39295</v>
      </c>
      <c r="H215" s="39">
        <v>23.38</v>
      </c>
      <c r="I215" s="39">
        <v>23.71</v>
      </c>
      <c r="J215" s="40">
        <f t="shared" si="34"/>
        <v>-1.3918177983973101E-2</v>
      </c>
      <c r="K215" s="67"/>
      <c r="L215" s="68">
        <v>39295</v>
      </c>
      <c r="M215" s="98">
        <v>1474</v>
      </c>
      <c r="N215" s="98">
        <v>1455.2</v>
      </c>
      <c r="O215" s="70">
        <f t="shared" si="30"/>
        <v>1.2919186366135316E-2</v>
      </c>
      <c r="P215" s="67"/>
      <c r="Q215" s="38">
        <v>39295</v>
      </c>
      <c r="R215" s="39">
        <v>5.468</v>
      </c>
      <c r="S215" s="39">
        <v>6.2009999999999996</v>
      </c>
      <c r="T215" s="40">
        <f t="shared" si="36"/>
        <v>-0.11820674084825022</v>
      </c>
      <c r="U215" s="67"/>
      <c r="V215" s="38">
        <v>39295</v>
      </c>
      <c r="W215" s="39">
        <v>2.0573999999999999</v>
      </c>
      <c r="X215" s="39">
        <v>2.1387999999999998</v>
      </c>
      <c r="Y215" s="40">
        <f t="shared" si="31"/>
        <v>-3.8058724518421516E-2</v>
      </c>
      <c r="Z215" s="67"/>
      <c r="AA215" s="71">
        <v>39295</v>
      </c>
      <c r="AB215" s="72">
        <v>681.9</v>
      </c>
      <c r="AC215" s="72">
        <v>675.3</v>
      </c>
      <c r="AD215" s="73">
        <f t="shared" si="32"/>
        <v>9.7734340293202937E-3</v>
      </c>
      <c r="AE215" s="67"/>
      <c r="AF215" s="71">
        <v>39295</v>
      </c>
      <c r="AG215" s="72">
        <v>80.790000000000006</v>
      </c>
      <c r="AH215" s="72">
        <v>80.900000000000006</v>
      </c>
      <c r="AI215" s="73">
        <f t="shared" si="33"/>
        <v>-1.3597033374536105E-3</v>
      </c>
      <c r="AJ215" s="67"/>
      <c r="AK215" s="74">
        <v>39325</v>
      </c>
      <c r="AL215" s="41">
        <v>4.5400000000000003E-2</v>
      </c>
      <c r="AM215" s="41">
        <f t="shared" si="35"/>
        <v>-2.3999999999999994E-3</v>
      </c>
      <c r="AN215" s="67"/>
      <c r="AO215" s="75">
        <v>39295</v>
      </c>
      <c r="AP215" s="76">
        <v>690270.4</v>
      </c>
      <c r="AQ215" s="80">
        <f t="shared" si="7"/>
        <v>5.7948339060587273E-7</v>
      </c>
      <c r="AR215" s="67"/>
      <c r="AS215" s="94">
        <v>39295</v>
      </c>
      <c r="AT215" s="78">
        <v>0.91420000000000001</v>
      </c>
      <c r="AU215" s="67"/>
      <c r="AV215" s="79">
        <v>39295</v>
      </c>
      <c r="AW215" s="76">
        <v>318137.59999999998</v>
      </c>
      <c r="AX215" s="80">
        <f t="shared" si="8"/>
        <v>-4.4125189477305593E-2</v>
      </c>
      <c r="AY215" s="67"/>
      <c r="AZ215" s="81">
        <v>39295</v>
      </c>
      <c r="BA215" s="82">
        <v>83.173202514648438</v>
      </c>
      <c r="BB215" s="82">
        <v>73.125740051269531</v>
      </c>
      <c r="BC215" s="67"/>
      <c r="BD215" s="83">
        <v>39309</v>
      </c>
      <c r="BE215" s="42">
        <v>4970</v>
      </c>
      <c r="BF215" s="41">
        <f t="shared" si="9"/>
        <v>-1.349741961095674E-2</v>
      </c>
      <c r="BG215" s="67"/>
      <c r="BH215" s="84">
        <v>39295</v>
      </c>
      <c r="BI215" s="85">
        <v>101.863</v>
      </c>
      <c r="BJ215" s="87">
        <f t="shared" si="10"/>
        <v>1.9258915363067342E-3</v>
      </c>
      <c r="BK215" s="67"/>
      <c r="BL215" s="84">
        <v>39295</v>
      </c>
      <c r="BM215" s="86">
        <v>150.56598</v>
      </c>
      <c r="BN215" s="67"/>
      <c r="BO215" s="88">
        <v>39295</v>
      </c>
      <c r="BP215" s="89">
        <v>3.403</v>
      </c>
      <c r="BQ215" s="89">
        <v>3.58</v>
      </c>
      <c r="BR215" s="90">
        <f t="shared" si="5"/>
        <v>-4.9441340782122922E-2</v>
      </c>
    </row>
    <row r="216" spans="1:70">
      <c r="A216" s="62">
        <v>39326</v>
      </c>
      <c r="B216" s="63">
        <v>39326</v>
      </c>
      <c r="C216" s="39">
        <v>81.66</v>
      </c>
      <c r="D216" s="64">
        <v>73.900000000000006</v>
      </c>
      <c r="E216" s="40">
        <f t="shared" si="29"/>
        <v>0.10500676589986457</v>
      </c>
      <c r="F216" s="65"/>
      <c r="G216" s="63">
        <v>39326</v>
      </c>
      <c r="H216" s="39">
        <v>18</v>
      </c>
      <c r="I216" s="39">
        <v>21.93</v>
      </c>
      <c r="J216" s="40">
        <f t="shared" si="34"/>
        <v>-0.17920656634746923</v>
      </c>
      <c r="K216" s="67"/>
      <c r="L216" s="68">
        <v>39326</v>
      </c>
      <c r="M216" s="98">
        <v>1526.8</v>
      </c>
      <c r="N216" s="98">
        <v>1474</v>
      </c>
      <c r="O216" s="70">
        <f t="shared" si="30"/>
        <v>3.5820895522387985E-2</v>
      </c>
      <c r="P216" s="67"/>
      <c r="Q216" s="38">
        <v>39326</v>
      </c>
      <c r="R216" s="39">
        <v>6.87</v>
      </c>
      <c r="S216" s="39">
        <v>5.44</v>
      </c>
      <c r="T216" s="40">
        <f t="shared" si="36"/>
        <v>0.26286764705882337</v>
      </c>
      <c r="U216" s="67"/>
      <c r="V216" s="38">
        <v>39326</v>
      </c>
      <c r="W216" s="39">
        <v>2.2256</v>
      </c>
      <c r="X216" s="39">
        <v>2.0754999999999999</v>
      </c>
      <c r="Y216" s="40">
        <f t="shared" si="31"/>
        <v>7.2319922910142109E-2</v>
      </c>
      <c r="Z216" s="67"/>
      <c r="AA216" s="71">
        <v>39326</v>
      </c>
      <c r="AB216" s="72">
        <v>750</v>
      </c>
      <c r="AC216" s="72">
        <v>681.9</v>
      </c>
      <c r="AD216" s="73">
        <f t="shared" si="32"/>
        <v>9.9868015838099566E-2</v>
      </c>
      <c r="AE216" s="67"/>
      <c r="AF216" s="71">
        <v>39326</v>
      </c>
      <c r="AG216" s="72">
        <v>77.72</v>
      </c>
      <c r="AH216" s="72">
        <v>80.81</v>
      </c>
      <c r="AI216" s="73">
        <f t="shared" si="33"/>
        <v>-3.8237841851256116E-2</v>
      </c>
      <c r="AJ216" s="67"/>
      <c r="AK216" s="74">
        <v>39355</v>
      </c>
      <c r="AL216" s="41">
        <v>4.5899999999999996E-2</v>
      </c>
      <c r="AM216" s="41">
        <f t="shared" si="35"/>
        <v>4.9999999999999351E-4</v>
      </c>
      <c r="AN216" s="67"/>
      <c r="AO216" s="75">
        <v>39326</v>
      </c>
      <c r="AP216" s="76">
        <v>691673.5</v>
      </c>
      <c r="AQ216" s="80">
        <f t="shared" si="7"/>
        <v>2.032681685322224E-3</v>
      </c>
      <c r="AR216" s="67"/>
      <c r="AS216" s="94">
        <v>39326</v>
      </c>
      <c r="AT216" s="78">
        <v>0.88624999999999998</v>
      </c>
      <c r="AU216" s="67"/>
      <c r="AV216" s="79">
        <v>39326</v>
      </c>
      <c r="AW216" s="76">
        <v>303878</v>
      </c>
      <c r="AX216" s="80">
        <f t="shared" si="8"/>
        <v>-4.4822114707598115E-2</v>
      </c>
      <c r="AY216" s="67"/>
      <c r="AZ216" s="81">
        <v>39326</v>
      </c>
      <c r="BA216" s="82">
        <v>94.488868713378906</v>
      </c>
      <c r="BB216" s="82">
        <v>94.939979553222656</v>
      </c>
      <c r="BC216" s="67"/>
      <c r="BD216" s="83">
        <v>39340</v>
      </c>
      <c r="BE216" s="42">
        <v>4902</v>
      </c>
      <c r="BF216" s="41">
        <f t="shared" si="9"/>
        <v>-1.3682092555332037E-2</v>
      </c>
      <c r="BG216" s="67"/>
      <c r="BH216" s="84">
        <v>39326</v>
      </c>
      <c r="BI216" s="85">
        <v>102.0894</v>
      </c>
      <c r="BJ216" s="87">
        <f t="shared" si="10"/>
        <v>2.2225930907198155E-3</v>
      </c>
      <c r="BK216" s="67"/>
      <c r="BL216" s="84">
        <v>39326</v>
      </c>
      <c r="BM216" s="86">
        <v>167.84529000000001</v>
      </c>
      <c r="BN216" s="67"/>
      <c r="BO216" s="88">
        <v>39326</v>
      </c>
      <c r="BP216" s="89">
        <v>3.64</v>
      </c>
      <c r="BQ216" s="89">
        <v>3.2955000000000001</v>
      </c>
      <c r="BR216" s="90">
        <f t="shared" si="5"/>
        <v>0.10453648915187386</v>
      </c>
    </row>
    <row r="217" spans="1:70">
      <c r="A217" s="62">
        <v>39356</v>
      </c>
      <c r="B217" s="63">
        <v>39356</v>
      </c>
      <c r="C217" s="39">
        <v>94.53</v>
      </c>
      <c r="D217" s="64">
        <v>81.75</v>
      </c>
      <c r="E217" s="40">
        <f t="shared" si="29"/>
        <v>0.15633027522935783</v>
      </c>
      <c r="F217" s="65"/>
      <c r="G217" s="63">
        <v>39356</v>
      </c>
      <c r="H217" s="39">
        <v>18.53</v>
      </c>
      <c r="I217" s="39">
        <v>18.440000000000001</v>
      </c>
      <c r="J217" s="40">
        <f t="shared" si="34"/>
        <v>4.8806941431669415E-3</v>
      </c>
      <c r="K217" s="67"/>
      <c r="L217" s="68">
        <v>39356</v>
      </c>
      <c r="M217" s="98">
        <v>1549.4</v>
      </c>
      <c r="N217" s="98">
        <v>1527.3</v>
      </c>
      <c r="O217" s="70">
        <f t="shared" si="30"/>
        <v>1.4469979702743441E-2</v>
      </c>
      <c r="P217" s="67"/>
      <c r="Q217" s="38">
        <v>39356</v>
      </c>
      <c r="R217" s="39">
        <v>8.33</v>
      </c>
      <c r="S217" s="39">
        <v>6.86</v>
      </c>
      <c r="T217" s="40">
        <f t="shared" si="36"/>
        <v>0.21428571428571419</v>
      </c>
      <c r="U217" s="67"/>
      <c r="V217" s="38">
        <v>39356</v>
      </c>
      <c r="W217" s="39">
        <v>2.5293000000000001</v>
      </c>
      <c r="X217" s="39">
        <v>2.2395999999999998</v>
      </c>
      <c r="Y217" s="40">
        <f t="shared" si="31"/>
        <v>0.12935345597428127</v>
      </c>
      <c r="Z217" s="67"/>
      <c r="AA217" s="71">
        <v>39356</v>
      </c>
      <c r="AB217" s="72">
        <v>795.3</v>
      </c>
      <c r="AC217" s="72">
        <v>750.6</v>
      </c>
      <c r="AD217" s="73">
        <f t="shared" si="32"/>
        <v>5.9552358113509118E-2</v>
      </c>
      <c r="AE217" s="67"/>
      <c r="AF217" s="71">
        <v>39356</v>
      </c>
      <c r="AG217" s="72">
        <v>76.48</v>
      </c>
      <c r="AH217" s="72">
        <v>77.790000000000006</v>
      </c>
      <c r="AI217" s="73">
        <f t="shared" si="33"/>
        <v>-1.6840210824013435E-2</v>
      </c>
      <c r="AJ217" s="67"/>
      <c r="AK217" s="74">
        <v>39386</v>
      </c>
      <c r="AL217" s="41">
        <v>4.4800000000000006E-2</v>
      </c>
      <c r="AM217" s="41">
        <f t="shared" si="35"/>
        <v>-1.0999999999999899E-3</v>
      </c>
      <c r="AN217" s="67"/>
      <c r="AO217" s="75">
        <v>39356</v>
      </c>
      <c r="AP217" s="76">
        <v>693475.5</v>
      </c>
      <c r="AQ217" s="80">
        <f t="shared" si="7"/>
        <v>2.6052754659531274E-3</v>
      </c>
      <c r="AR217" s="67"/>
      <c r="AS217" s="94">
        <v>39356</v>
      </c>
      <c r="AT217" s="78">
        <v>0.871</v>
      </c>
      <c r="AU217" s="67"/>
      <c r="AV217" s="79">
        <v>39356</v>
      </c>
      <c r="AW217" s="76">
        <v>300595.5</v>
      </c>
      <c r="AX217" s="80">
        <f t="shared" si="8"/>
        <v>-1.0802032394579442E-2</v>
      </c>
      <c r="AY217" s="67"/>
      <c r="AZ217" s="81">
        <v>39356</v>
      </c>
      <c r="BA217" s="82">
        <v>101.47301483154297</v>
      </c>
      <c r="BB217" s="82">
        <v>103.61026763916016</v>
      </c>
      <c r="BC217" s="67"/>
      <c r="BD217" s="83">
        <v>39370</v>
      </c>
      <c r="BE217" s="42">
        <v>5022</v>
      </c>
      <c r="BF217" s="41">
        <f t="shared" si="9"/>
        <v>2.4479804161566809E-2</v>
      </c>
      <c r="BG217" s="67"/>
      <c r="BH217" s="84">
        <v>39356</v>
      </c>
      <c r="BI217" s="85">
        <v>101.8015</v>
      </c>
      <c r="BJ217" s="87">
        <f t="shared" si="10"/>
        <v>-2.8200773047936112E-3</v>
      </c>
      <c r="BK217" s="67"/>
      <c r="BL217" s="84">
        <v>39356</v>
      </c>
      <c r="BM217" s="86">
        <v>187.25205</v>
      </c>
      <c r="BN217" s="67"/>
      <c r="BO217" s="88">
        <v>39356</v>
      </c>
      <c r="BP217" s="89">
        <v>3.4794999999999998</v>
      </c>
      <c r="BQ217" s="89">
        <v>3.6404999999999998</v>
      </c>
      <c r="BR217" s="90">
        <f t="shared" si="5"/>
        <v>-4.4224694410108567E-2</v>
      </c>
    </row>
    <row r="218" spans="1:70">
      <c r="A218" s="62">
        <v>39387</v>
      </c>
      <c r="B218" s="63">
        <v>39387</v>
      </c>
      <c r="C218" s="39">
        <v>88.71</v>
      </c>
      <c r="D218" s="64">
        <v>95.15</v>
      </c>
      <c r="E218" s="40">
        <f t="shared" si="29"/>
        <v>-6.7682606410930268E-2</v>
      </c>
      <c r="F218" s="65"/>
      <c r="G218" s="63">
        <v>39387</v>
      </c>
      <c r="H218" s="39">
        <v>22.87</v>
      </c>
      <c r="I218" s="39">
        <v>19.89</v>
      </c>
      <c r="J218" s="40">
        <f t="shared" si="34"/>
        <v>0.14982403217697327</v>
      </c>
      <c r="K218" s="67"/>
      <c r="L218" s="68">
        <v>39387</v>
      </c>
      <c r="M218" s="98">
        <v>1481.1</v>
      </c>
      <c r="N218" s="98">
        <v>1545.8</v>
      </c>
      <c r="O218" s="70">
        <f t="shared" si="30"/>
        <v>-4.1855349980592593E-2</v>
      </c>
      <c r="P218" s="67"/>
      <c r="Q218" s="38">
        <v>39387</v>
      </c>
      <c r="R218" s="39">
        <v>7.3019999999999996</v>
      </c>
      <c r="S218" s="39">
        <v>8.3729999999999993</v>
      </c>
      <c r="T218" s="40">
        <f t="shared" si="36"/>
        <v>-0.12791114295951267</v>
      </c>
      <c r="U218" s="67"/>
      <c r="V218" s="38">
        <v>39387</v>
      </c>
      <c r="W218" s="39">
        <v>2.5150000000000001</v>
      </c>
      <c r="X218" s="39">
        <v>2.5586000000000002</v>
      </c>
      <c r="Y218" s="40">
        <f t="shared" si="31"/>
        <v>-1.7040569061205324E-2</v>
      </c>
      <c r="Z218" s="67"/>
      <c r="AA218" s="71">
        <v>39387</v>
      </c>
      <c r="AB218" s="72">
        <v>789.1</v>
      </c>
      <c r="AC218" s="72">
        <v>799.4</v>
      </c>
      <c r="AD218" s="73">
        <f t="shared" si="32"/>
        <v>-1.2884663497623183E-2</v>
      </c>
      <c r="AE218" s="67"/>
      <c r="AF218" s="71">
        <v>39387</v>
      </c>
      <c r="AG218" s="72">
        <v>76.150000000000006</v>
      </c>
      <c r="AH218" s="72">
        <v>76.61</v>
      </c>
      <c r="AI218" s="73">
        <f t="shared" si="33"/>
        <v>-6.0044380629159511E-3</v>
      </c>
      <c r="AJ218" s="67"/>
      <c r="AK218" s="74">
        <v>39416</v>
      </c>
      <c r="AL218" s="41">
        <v>3.9699999999999999E-2</v>
      </c>
      <c r="AM218" s="41">
        <f t="shared" si="35"/>
        <v>-5.1000000000000073E-3</v>
      </c>
      <c r="AN218" s="67"/>
      <c r="AO218" s="75">
        <v>39387</v>
      </c>
      <c r="AP218" s="76">
        <v>694734</v>
      </c>
      <c r="AQ218" s="80">
        <f t="shared" si="7"/>
        <v>1.8147721152368401E-3</v>
      </c>
      <c r="AR218" s="67"/>
      <c r="AS218" s="94">
        <v>39387</v>
      </c>
      <c r="AT218" s="78">
        <v>0.87939999999999996</v>
      </c>
      <c r="AU218" s="67"/>
      <c r="AV218" s="79">
        <v>39387</v>
      </c>
      <c r="AW218" s="76">
        <v>294362.2</v>
      </c>
      <c r="AX218" s="80">
        <f t="shared" si="8"/>
        <v>-2.0736504704827574E-2</v>
      </c>
      <c r="AY218" s="67"/>
      <c r="AZ218" s="81">
        <v>39387</v>
      </c>
      <c r="BA218" s="82">
        <v>89.795448303222656</v>
      </c>
      <c r="BB218" s="82">
        <v>95.738479614257813</v>
      </c>
      <c r="BC218" s="67"/>
      <c r="BD218" s="83">
        <v>39401</v>
      </c>
      <c r="BE218" s="42">
        <v>5034</v>
      </c>
      <c r="BF218" s="41">
        <f t="shared" si="9"/>
        <v>2.389486260454099E-3</v>
      </c>
      <c r="BG218" s="67"/>
      <c r="BH218" s="84">
        <v>39387</v>
      </c>
      <c r="BI218" s="85">
        <v>102.3446</v>
      </c>
      <c r="BJ218" s="87">
        <f t="shared" si="10"/>
        <v>5.3348919220246316E-3</v>
      </c>
      <c r="BK218" s="67"/>
      <c r="BL218" s="84">
        <v>39387</v>
      </c>
      <c r="BM218" s="86">
        <v>187.76213999999999</v>
      </c>
      <c r="BN218" s="67"/>
      <c r="BO218" s="88">
        <v>39387</v>
      </c>
      <c r="BP218" s="89">
        <v>3.1785000000000001</v>
      </c>
      <c r="BQ218" s="89">
        <v>3.4624999999999999</v>
      </c>
      <c r="BR218" s="90">
        <f t="shared" si="5"/>
        <v>-8.2021660649819417E-2</v>
      </c>
    </row>
    <row r="219" spans="1:70">
      <c r="A219" s="62">
        <v>39417</v>
      </c>
      <c r="B219" s="63">
        <v>39417</v>
      </c>
      <c r="C219" s="39">
        <v>95.98</v>
      </c>
      <c r="D219" s="64">
        <v>88.79</v>
      </c>
      <c r="E219" s="40">
        <f t="shared" si="29"/>
        <v>8.0977587566167353E-2</v>
      </c>
      <c r="F219" s="65"/>
      <c r="G219" s="63">
        <v>39417</v>
      </c>
      <c r="H219" s="39">
        <v>22.5</v>
      </c>
      <c r="I219" s="39">
        <v>23.59</v>
      </c>
      <c r="J219" s="40">
        <f t="shared" si="34"/>
        <v>-4.6206019499788087E-2</v>
      </c>
      <c r="K219" s="67"/>
      <c r="L219" s="68">
        <v>39417</v>
      </c>
      <c r="M219" s="98">
        <v>1468.4</v>
      </c>
      <c r="N219" s="98">
        <v>1479.6</v>
      </c>
      <c r="O219" s="70">
        <f t="shared" si="30"/>
        <v>-7.5696134090293965E-3</v>
      </c>
      <c r="P219" s="67"/>
      <c r="Q219" s="38">
        <v>39417</v>
      </c>
      <c r="R219" s="39">
        <v>7.4829999999999997</v>
      </c>
      <c r="S219" s="39">
        <v>7.2089999999999996</v>
      </c>
      <c r="T219" s="40">
        <f t="shared" si="36"/>
        <v>3.8008045498682197E-2</v>
      </c>
      <c r="U219" s="67"/>
      <c r="V219" s="38">
        <v>39417</v>
      </c>
      <c r="W219" s="39">
        <v>2.6494</v>
      </c>
      <c r="X219" s="39">
        <v>2.5135000000000001</v>
      </c>
      <c r="Y219" s="40">
        <f t="shared" si="31"/>
        <v>5.4068032623831197E-2</v>
      </c>
      <c r="Z219" s="67"/>
      <c r="AA219" s="71">
        <v>39417</v>
      </c>
      <c r="AB219" s="72">
        <v>838</v>
      </c>
      <c r="AC219" s="72">
        <v>789.4</v>
      </c>
      <c r="AD219" s="73">
        <f t="shared" si="32"/>
        <v>6.1565746136306165E-2</v>
      </c>
      <c r="AE219" s="67"/>
      <c r="AF219" s="71">
        <v>39417</v>
      </c>
      <c r="AG219" s="72">
        <v>76.69</v>
      </c>
      <c r="AH219" s="72">
        <v>75.930000000000007</v>
      </c>
      <c r="AI219" s="73">
        <f t="shared" si="33"/>
        <v>1.0009219017516058E-2</v>
      </c>
      <c r="AJ219" s="67"/>
      <c r="AK219" s="74">
        <v>39447</v>
      </c>
      <c r="AL219" s="41">
        <v>4.0399999999999998E-2</v>
      </c>
      <c r="AM219" s="41">
        <f t="shared" si="35"/>
        <v>6.9999999999999923E-4</v>
      </c>
      <c r="AN219" s="67"/>
      <c r="AO219" s="75">
        <v>39417</v>
      </c>
      <c r="AP219" s="76">
        <v>695744.75</v>
      </c>
      <c r="AQ219" s="80">
        <f t="shared" si="7"/>
        <v>1.4548733759971455E-3</v>
      </c>
      <c r="AR219" s="67"/>
      <c r="AS219" s="94">
        <v>39417</v>
      </c>
      <c r="AT219" s="78">
        <v>0.88525000000000009</v>
      </c>
      <c r="AU219" s="67"/>
      <c r="AV219" s="79">
        <v>39417</v>
      </c>
      <c r="AW219" s="76">
        <v>278453</v>
      </c>
      <c r="AX219" s="80">
        <f t="shared" si="8"/>
        <v>-5.4046341547929755E-2</v>
      </c>
      <c r="AY219" s="67"/>
      <c r="AZ219" s="81">
        <v>39417</v>
      </c>
      <c r="BA219" s="82">
        <v>94.967491149902344</v>
      </c>
      <c r="BB219" s="82">
        <v>98.5313720703125</v>
      </c>
      <c r="BC219" s="67"/>
      <c r="BD219" s="83">
        <v>39431</v>
      </c>
      <c r="BE219" s="42">
        <v>5111</v>
      </c>
      <c r="BF219" s="41">
        <f t="shared" si="9"/>
        <v>1.5295987286452206E-2</v>
      </c>
      <c r="BG219" s="67"/>
      <c r="BH219" s="84">
        <v>39417</v>
      </c>
      <c r="BI219" s="85">
        <v>102.38030000000001</v>
      </c>
      <c r="BJ219" s="87">
        <f t="shared" si="10"/>
        <v>3.4882153039839103E-4</v>
      </c>
      <c r="BK219" s="67"/>
      <c r="BL219" s="84">
        <v>39417</v>
      </c>
      <c r="BM219" s="86">
        <v>180.88166000000001</v>
      </c>
      <c r="BN219" s="67"/>
      <c r="BO219" s="88">
        <v>39417</v>
      </c>
      <c r="BP219" s="89">
        <v>3.0409999999999999</v>
      </c>
      <c r="BQ219" s="89">
        <v>3.1345000000000001</v>
      </c>
      <c r="BR219" s="90">
        <f t="shared" si="5"/>
        <v>-2.9829318870633337E-2</v>
      </c>
    </row>
    <row r="220" spans="1:70">
      <c r="A220" s="62">
        <v>39448</v>
      </c>
      <c r="B220" s="63">
        <v>39448</v>
      </c>
      <c r="C220" s="39">
        <v>91.75</v>
      </c>
      <c r="D220" s="64">
        <v>96.05</v>
      </c>
      <c r="E220" s="40">
        <f t="shared" si="29"/>
        <v>-4.4768349817803199E-2</v>
      </c>
      <c r="F220" s="65"/>
      <c r="G220" s="63">
        <v>39448</v>
      </c>
      <c r="H220" s="39">
        <v>26.2</v>
      </c>
      <c r="I220" s="39">
        <v>22.58</v>
      </c>
      <c r="J220" s="40">
        <f t="shared" si="34"/>
        <v>0.16031886625332148</v>
      </c>
      <c r="K220" s="67"/>
      <c r="L220" s="68">
        <v>39448</v>
      </c>
      <c r="M220" s="98">
        <v>1378.5</v>
      </c>
      <c r="N220" s="98">
        <v>1468</v>
      </c>
      <c r="O220" s="70">
        <f t="shared" si="30"/>
        <v>-6.0967302452316074E-2</v>
      </c>
      <c r="P220" s="67"/>
      <c r="Q220" s="38">
        <v>39448</v>
      </c>
      <c r="R220" s="39">
        <v>8.0739999999999998</v>
      </c>
      <c r="S220" s="39">
        <v>7.5720000000000001</v>
      </c>
      <c r="T220" s="40">
        <f t="shared" si="36"/>
        <v>6.6296883254093997E-2</v>
      </c>
      <c r="U220" s="67"/>
      <c r="V220" s="38">
        <v>39448</v>
      </c>
      <c r="W220" s="39">
        <v>2.5291000000000001</v>
      </c>
      <c r="X220" s="39">
        <v>2.6454</v>
      </c>
      <c r="Y220" s="40">
        <f t="shared" si="31"/>
        <v>-4.3963105768503707E-2</v>
      </c>
      <c r="Z220" s="67"/>
      <c r="AA220" s="71">
        <v>39448</v>
      </c>
      <c r="AB220" s="72">
        <v>928</v>
      </c>
      <c r="AC220" s="72">
        <v>837.5</v>
      </c>
      <c r="AD220" s="73">
        <f t="shared" si="32"/>
        <v>0.1080597014925373</v>
      </c>
      <c r="AE220" s="67"/>
      <c r="AF220" s="71">
        <v>39448</v>
      </c>
      <c r="AG220" s="72">
        <v>75.180000000000007</v>
      </c>
      <c r="AH220" s="72">
        <v>76.349999999999994</v>
      </c>
      <c r="AI220" s="73">
        <f t="shared" si="33"/>
        <v>-1.5324165029469428E-2</v>
      </c>
      <c r="AJ220" s="67"/>
      <c r="AK220" s="74">
        <v>39478</v>
      </c>
      <c r="AL220" s="41">
        <v>3.6699999999999997E-2</v>
      </c>
      <c r="AM220" s="41">
        <f t="shared" si="35"/>
        <v>-3.7000000000000019E-3</v>
      </c>
      <c r="AN220" s="67"/>
      <c r="AO220" s="75">
        <v>39448</v>
      </c>
      <c r="AP220" s="76">
        <v>697727.25</v>
      </c>
      <c r="AQ220" s="80">
        <f t="shared" si="7"/>
        <v>2.8494645486005776E-3</v>
      </c>
      <c r="AR220" s="67"/>
      <c r="AS220" s="94">
        <v>39448</v>
      </c>
      <c r="AT220" s="78">
        <v>0.87474999999999992</v>
      </c>
      <c r="AU220" s="67"/>
      <c r="AV220" s="79">
        <v>39448</v>
      </c>
      <c r="AW220" s="76">
        <v>270592.5</v>
      </c>
      <c r="AX220" s="80">
        <f t="shared" si="8"/>
        <v>-2.8229180508021146E-2</v>
      </c>
      <c r="AY220" s="67"/>
      <c r="AZ220" s="81">
        <v>39448</v>
      </c>
      <c r="BA220" s="82">
        <v>81.499824523925781</v>
      </c>
      <c r="BB220" s="82">
        <v>76.402374267578125</v>
      </c>
      <c r="BC220" s="67"/>
      <c r="BD220" s="83">
        <v>39462</v>
      </c>
      <c r="BE220" s="42">
        <v>5115</v>
      </c>
      <c r="BF220" s="41">
        <f t="shared" si="9"/>
        <v>7.8262570925446973E-4</v>
      </c>
      <c r="BG220" s="67"/>
      <c r="BH220" s="84">
        <v>39448</v>
      </c>
      <c r="BI220" s="85">
        <v>102.2448</v>
      </c>
      <c r="BJ220" s="87">
        <f t="shared" si="10"/>
        <v>-1.3234968055378937E-3</v>
      </c>
      <c r="BK220" s="67"/>
      <c r="BL220" s="84">
        <v>39448</v>
      </c>
      <c r="BM220" s="86">
        <v>148.90767</v>
      </c>
      <c r="BN220" s="67"/>
      <c r="BO220" s="88">
        <v>39448</v>
      </c>
      <c r="BP220" s="89">
        <v>3.3069999999999999</v>
      </c>
      <c r="BQ220" s="89">
        <v>3.0409999999999999</v>
      </c>
      <c r="BR220" s="90">
        <f t="shared" si="5"/>
        <v>8.7471226570207117E-2</v>
      </c>
    </row>
    <row r="221" spans="1:70">
      <c r="A221" s="62">
        <v>39479</v>
      </c>
      <c r="B221" s="63">
        <v>39479</v>
      </c>
      <c r="C221" s="39">
        <v>101.84</v>
      </c>
      <c r="D221" s="64">
        <v>91.36</v>
      </c>
      <c r="E221" s="40">
        <f t="shared" si="29"/>
        <v>0.11471103327495635</v>
      </c>
      <c r="F221" s="65"/>
      <c r="G221" s="63">
        <v>39479</v>
      </c>
      <c r="H221" s="39">
        <v>26.54</v>
      </c>
      <c r="I221" s="39">
        <v>25.66</v>
      </c>
      <c r="J221" s="40">
        <f t="shared" si="34"/>
        <v>3.4294621979734874E-2</v>
      </c>
      <c r="K221" s="67"/>
      <c r="L221" s="68">
        <v>39479</v>
      </c>
      <c r="M221" s="98">
        <v>1330.6</v>
      </c>
      <c r="N221" s="98">
        <v>1378.6</v>
      </c>
      <c r="O221" s="70">
        <f t="shared" si="30"/>
        <v>-3.4817931234585764E-2</v>
      </c>
      <c r="P221" s="67"/>
      <c r="Q221" s="38">
        <v>39479</v>
      </c>
      <c r="R221" s="39">
        <v>9.3659999999999997</v>
      </c>
      <c r="S221" s="39">
        <v>8.0649999999999995</v>
      </c>
      <c r="T221" s="40">
        <f t="shared" si="36"/>
        <v>0.16131432114073152</v>
      </c>
      <c r="U221" s="67"/>
      <c r="V221" s="38">
        <v>39479</v>
      </c>
      <c r="W221" s="39">
        <v>2.8069000000000002</v>
      </c>
      <c r="X221" s="39">
        <v>2.4851999999999999</v>
      </c>
      <c r="Y221" s="40">
        <f t="shared" si="31"/>
        <v>0.12944632222758745</v>
      </c>
      <c r="Z221" s="67"/>
      <c r="AA221" s="71">
        <v>39479</v>
      </c>
      <c r="AB221" s="72">
        <v>975</v>
      </c>
      <c r="AC221" s="72">
        <v>929.8</v>
      </c>
      <c r="AD221" s="73">
        <f t="shared" si="32"/>
        <v>4.8612604861260511E-2</v>
      </c>
      <c r="AE221" s="67"/>
      <c r="AF221" s="71">
        <v>39479</v>
      </c>
      <c r="AG221" s="72">
        <v>73.709999999999994</v>
      </c>
      <c r="AH221" s="72">
        <v>75.23</v>
      </c>
      <c r="AI221" s="73">
        <f t="shared" si="33"/>
        <v>-2.0204705569586756E-2</v>
      </c>
      <c r="AJ221" s="67"/>
      <c r="AK221" s="74">
        <v>39507</v>
      </c>
      <c r="AL221" s="41">
        <v>3.5299999999999998E-2</v>
      </c>
      <c r="AM221" s="41">
        <f t="shared" si="35"/>
        <v>-1.3999999999999985E-3</v>
      </c>
      <c r="AN221" s="67"/>
      <c r="AO221" s="75">
        <v>39479</v>
      </c>
      <c r="AP221" s="76">
        <v>698448</v>
      </c>
      <c r="AQ221" s="80">
        <f t="shared" si="7"/>
        <v>1.0329967763191839E-3</v>
      </c>
      <c r="AR221" s="67"/>
      <c r="AS221" s="94">
        <v>39479</v>
      </c>
      <c r="AT221" s="78">
        <v>0.84699999999999998</v>
      </c>
      <c r="AU221" s="67"/>
      <c r="AV221" s="79">
        <v>39479</v>
      </c>
      <c r="AW221" s="76">
        <v>286396.40000000002</v>
      </c>
      <c r="AX221" s="80">
        <f t="shared" si="8"/>
        <v>5.8404796880918708E-2</v>
      </c>
      <c r="AY221" s="67"/>
      <c r="AZ221" s="81">
        <v>39479</v>
      </c>
      <c r="BA221" s="82">
        <v>80.75146484375</v>
      </c>
      <c r="BB221" s="82">
        <v>72.528511047363281</v>
      </c>
      <c r="BC221" s="67"/>
      <c r="BD221" s="83">
        <v>39493</v>
      </c>
      <c r="BE221" s="42">
        <v>5148</v>
      </c>
      <c r="BF221" s="41">
        <f t="shared" si="9"/>
        <v>6.4516129032257119E-3</v>
      </c>
      <c r="BG221" s="67"/>
      <c r="BH221" s="84">
        <v>39479</v>
      </c>
      <c r="BI221" s="85">
        <v>101.8438</v>
      </c>
      <c r="BJ221" s="87">
        <f t="shared" si="10"/>
        <v>-3.9219598453906768E-3</v>
      </c>
      <c r="BK221" s="67"/>
      <c r="BL221" s="84">
        <v>39479</v>
      </c>
      <c r="BM221" s="86">
        <v>144.61760000000001</v>
      </c>
      <c r="BN221" s="67"/>
      <c r="BO221" s="88">
        <v>39479</v>
      </c>
      <c r="BP221" s="89">
        <v>3.855</v>
      </c>
      <c r="BQ221" s="89">
        <v>3.3029999999999999</v>
      </c>
      <c r="BR221" s="90">
        <f t="shared" si="5"/>
        <v>0.16712079927338785</v>
      </c>
    </row>
    <row r="222" spans="1:70">
      <c r="A222" s="62">
        <v>39508</v>
      </c>
      <c r="B222" s="63">
        <v>39508</v>
      </c>
      <c r="C222" s="39">
        <v>101.58</v>
      </c>
      <c r="D222" s="64">
        <v>101.63</v>
      </c>
      <c r="E222" s="40">
        <f t="shared" si="29"/>
        <v>-4.9198071435596624E-4</v>
      </c>
      <c r="F222" s="65"/>
      <c r="G222" s="63">
        <v>39508</v>
      </c>
      <c r="H222" s="39">
        <v>25.61</v>
      </c>
      <c r="I222" s="39">
        <v>27.54</v>
      </c>
      <c r="J222" s="40">
        <f t="shared" si="34"/>
        <v>-7.0079883805373999E-2</v>
      </c>
      <c r="K222" s="67"/>
      <c r="L222" s="68">
        <v>39508</v>
      </c>
      <c r="M222" s="98">
        <v>1322.7</v>
      </c>
      <c r="N222" s="98">
        <v>1330.5</v>
      </c>
      <c r="O222" s="70">
        <f t="shared" si="30"/>
        <v>-5.8624577226605856E-3</v>
      </c>
      <c r="P222" s="67"/>
      <c r="Q222" s="38">
        <v>39508</v>
      </c>
      <c r="R222" s="39">
        <v>10.101000000000001</v>
      </c>
      <c r="S222" s="39">
        <v>9.3870000000000005</v>
      </c>
      <c r="T222" s="40">
        <f t="shared" si="36"/>
        <v>7.6062639821029121E-2</v>
      </c>
      <c r="U222" s="67"/>
      <c r="V222" s="38">
        <v>39508</v>
      </c>
      <c r="W222" s="39">
        <v>2.9060999999999999</v>
      </c>
      <c r="X222" s="39">
        <v>2.7658999999999998</v>
      </c>
      <c r="Y222" s="40">
        <f t="shared" si="31"/>
        <v>5.068874507393617E-2</v>
      </c>
      <c r="Z222" s="67"/>
      <c r="AA222" s="71">
        <v>39508</v>
      </c>
      <c r="AB222" s="72">
        <v>921.5</v>
      </c>
      <c r="AC222" s="72">
        <v>975.6</v>
      </c>
      <c r="AD222" s="73">
        <f t="shared" si="32"/>
        <v>-5.5453054530545276E-2</v>
      </c>
      <c r="AE222" s="67"/>
      <c r="AF222" s="71">
        <v>39508</v>
      </c>
      <c r="AG222" s="72">
        <v>71.8</v>
      </c>
      <c r="AH222" s="72">
        <v>73.75</v>
      </c>
      <c r="AI222" s="73">
        <f t="shared" si="33"/>
        <v>-2.6440677966101722E-2</v>
      </c>
      <c r="AJ222" s="67"/>
      <c r="AK222" s="74">
        <v>39538</v>
      </c>
      <c r="AL222" s="41">
        <v>3.4500000000000003E-2</v>
      </c>
      <c r="AM222" s="41">
        <f t="shared" si="35"/>
        <v>-7.9999999999999516E-4</v>
      </c>
      <c r="AN222" s="67"/>
      <c r="AO222" s="75">
        <v>39508</v>
      </c>
      <c r="AP222" s="76">
        <v>699394.75</v>
      </c>
      <c r="AQ222" s="80">
        <f t="shared" si="7"/>
        <v>1.3555053490024171E-3</v>
      </c>
      <c r="AR222" s="67"/>
      <c r="AS222" s="94">
        <v>39508</v>
      </c>
      <c r="AT222" s="78">
        <v>0.83349999999999991</v>
      </c>
      <c r="AU222" s="67"/>
      <c r="AV222" s="79">
        <v>39508</v>
      </c>
      <c r="AW222" s="76">
        <v>296158</v>
      </c>
      <c r="AX222" s="80">
        <f t="shared" si="8"/>
        <v>3.4084227315706483E-2</v>
      </c>
      <c r="AY222" s="67"/>
      <c r="AZ222" s="81">
        <v>39508</v>
      </c>
      <c r="BA222" s="82">
        <v>77.636138916015625</v>
      </c>
      <c r="BB222" s="82">
        <v>72.029678344726563</v>
      </c>
      <c r="BC222" s="67"/>
      <c r="BD222" s="83">
        <v>39522</v>
      </c>
      <c r="BE222" s="42">
        <v>5189</v>
      </c>
      <c r="BF222" s="41">
        <f t="shared" si="9"/>
        <v>7.9642579642580369E-3</v>
      </c>
      <c r="BG222" s="67"/>
      <c r="BH222" s="84">
        <v>39508</v>
      </c>
      <c r="BI222" s="85">
        <v>101.53360000000001</v>
      </c>
      <c r="BJ222" s="87">
        <f t="shared" si="10"/>
        <v>-3.0458407875589844E-3</v>
      </c>
      <c r="BK222" s="67"/>
      <c r="BL222" s="84">
        <v>39508</v>
      </c>
      <c r="BM222" s="86">
        <v>160.38176000000001</v>
      </c>
      <c r="BN222" s="67"/>
      <c r="BO222" s="88">
        <v>39508</v>
      </c>
      <c r="BP222" s="89">
        <v>3.827</v>
      </c>
      <c r="BQ222" s="89">
        <v>3.8464999999999998</v>
      </c>
      <c r="BR222" s="90">
        <f t="shared" si="5"/>
        <v>-5.069543741063276E-3</v>
      </c>
    </row>
    <row r="223" spans="1:70">
      <c r="A223" s="62">
        <v>39539</v>
      </c>
      <c r="B223" s="63">
        <v>39539</v>
      </c>
      <c r="C223" s="39">
        <v>113.46</v>
      </c>
      <c r="D223" s="64">
        <v>101.57</v>
      </c>
      <c r="E223" s="40">
        <f t="shared" si="29"/>
        <v>0.11706212464310339</v>
      </c>
      <c r="F223" s="65"/>
      <c r="G223" s="63">
        <v>39539</v>
      </c>
      <c r="H223" s="39">
        <v>20.79</v>
      </c>
      <c r="I223" s="39">
        <v>25.61</v>
      </c>
      <c r="J223" s="40">
        <f t="shared" si="34"/>
        <v>-0.18820773135493951</v>
      </c>
      <c r="K223" s="67"/>
      <c r="L223" s="68">
        <v>39539</v>
      </c>
      <c r="M223" s="98">
        <v>1385.6</v>
      </c>
      <c r="N223" s="98">
        <v>1326.4</v>
      </c>
      <c r="O223" s="70">
        <f t="shared" si="30"/>
        <v>4.4632086851628339E-2</v>
      </c>
      <c r="P223" s="67"/>
      <c r="Q223" s="38">
        <v>39539</v>
      </c>
      <c r="R223" s="39">
        <v>10.843</v>
      </c>
      <c r="S223" s="39">
        <v>10.032999999999999</v>
      </c>
      <c r="T223" s="40">
        <f t="shared" si="36"/>
        <v>8.0733579188677407E-2</v>
      </c>
      <c r="U223" s="67"/>
      <c r="V223" s="38">
        <v>39539</v>
      </c>
      <c r="W223" s="39">
        <v>3.1579999999999999</v>
      </c>
      <c r="X223" s="39">
        <v>2.8521000000000001</v>
      </c>
      <c r="Y223" s="40">
        <f t="shared" si="31"/>
        <v>0.10725430384628853</v>
      </c>
      <c r="Z223" s="67"/>
      <c r="AA223" s="71">
        <v>39539</v>
      </c>
      <c r="AB223" s="72">
        <v>865.1</v>
      </c>
      <c r="AC223" s="72">
        <v>920.5</v>
      </c>
      <c r="AD223" s="73">
        <f t="shared" si="32"/>
        <v>-6.0184682237914178E-2</v>
      </c>
      <c r="AE223" s="67"/>
      <c r="AF223" s="71">
        <v>39539</v>
      </c>
      <c r="AG223" s="72">
        <v>72.510000000000005</v>
      </c>
      <c r="AH223" s="72">
        <v>71.87</v>
      </c>
      <c r="AI223" s="73">
        <f t="shared" si="33"/>
        <v>8.9049673020731301E-3</v>
      </c>
      <c r="AJ223" s="67"/>
      <c r="AK223" s="74">
        <v>39568</v>
      </c>
      <c r="AL223" s="41">
        <v>3.7699999999999997E-2</v>
      </c>
      <c r="AM223" s="41">
        <f t="shared" si="35"/>
        <v>3.1999999999999945E-3</v>
      </c>
      <c r="AN223" s="67"/>
      <c r="AO223" s="75">
        <v>39539</v>
      </c>
      <c r="AP223" s="76">
        <v>700964</v>
      </c>
      <c r="AQ223" s="80">
        <f t="shared" si="7"/>
        <v>2.2437257357164064E-3</v>
      </c>
      <c r="AR223" s="67"/>
      <c r="AS223" s="94">
        <v>39539</v>
      </c>
      <c r="AT223" s="78">
        <v>0.83849999999999991</v>
      </c>
      <c r="AU223" s="67"/>
      <c r="AV223" s="79">
        <v>39539</v>
      </c>
      <c r="AW223" s="76">
        <v>298921.5</v>
      </c>
      <c r="AX223" s="80">
        <f t="shared" si="8"/>
        <v>9.3311678225811434E-3</v>
      </c>
      <c r="AY223" s="67"/>
      <c r="AZ223" s="81">
        <v>39539</v>
      </c>
      <c r="BA223" s="82">
        <v>71.904808044433594</v>
      </c>
      <c r="BB223" s="82">
        <v>69.457969665527344</v>
      </c>
      <c r="BC223" s="67"/>
      <c r="BD223" s="83">
        <v>39553</v>
      </c>
      <c r="BE223" s="42">
        <v>5180</v>
      </c>
      <c r="BF223" s="41">
        <f t="shared" si="9"/>
        <v>-1.734438234727298E-3</v>
      </c>
      <c r="BG223" s="67"/>
      <c r="BH223" s="84">
        <v>39539</v>
      </c>
      <c r="BI223" s="85">
        <v>100.8785</v>
      </c>
      <c r="BJ223" s="87">
        <f t="shared" si="10"/>
        <v>-6.4520513406399749E-3</v>
      </c>
      <c r="BK223" s="67"/>
      <c r="BL223" s="84">
        <v>39539</v>
      </c>
      <c r="BM223" s="86">
        <v>163.05819</v>
      </c>
      <c r="BN223" s="67"/>
      <c r="BO223" s="88">
        <v>39539</v>
      </c>
      <c r="BP223" s="89">
        <v>3.9045000000000001</v>
      </c>
      <c r="BQ223" s="89">
        <v>3.8039999999999998</v>
      </c>
      <c r="BR223" s="90">
        <f t="shared" si="5"/>
        <v>2.641955835962162E-2</v>
      </c>
    </row>
    <row r="224" spans="1:70">
      <c r="A224" s="62">
        <v>39569</v>
      </c>
      <c r="B224" s="63">
        <v>39569</v>
      </c>
      <c r="C224" s="39">
        <v>127.35</v>
      </c>
      <c r="D224" s="64">
        <v>114.6</v>
      </c>
      <c r="E224" s="40">
        <f t="shared" si="29"/>
        <v>0.1112565445026179</v>
      </c>
      <c r="F224" s="65"/>
      <c r="G224" s="63">
        <v>39569</v>
      </c>
      <c r="H224" s="39">
        <v>17.829999999999998</v>
      </c>
      <c r="I224" s="39">
        <v>20.78</v>
      </c>
      <c r="J224" s="40">
        <f t="shared" si="34"/>
        <v>-0.14196342637151116</v>
      </c>
      <c r="K224" s="67"/>
      <c r="L224" s="68">
        <v>39569</v>
      </c>
      <c r="M224" s="98">
        <v>1400.4</v>
      </c>
      <c r="N224" s="98">
        <v>1386</v>
      </c>
      <c r="O224" s="70">
        <f t="shared" si="30"/>
        <v>1.0389610389610393E-2</v>
      </c>
      <c r="P224" s="67"/>
      <c r="Q224" s="38">
        <v>39569</v>
      </c>
      <c r="R224" s="39">
        <v>11.702999999999999</v>
      </c>
      <c r="S224" s="39">
        <v>10.92</v>
      </c>
      <c r="T224" s="40">
        <f t="shared" si="36"/>
        <v>7.1703296703296671E-2</v>
      </c>
      <c r="U224" s="67"/>
      <c r="V224" s="38">
        <v>39569</v>
      </c>
      <c r="W224" s="39">
        <v>3.6667000000000001</v>
      </c>
      <c r="X224" s="39">
        <v>3.1976</v>
      </c>
      <c r="Y224" s="40">
        <f t="shared" si="31"/>
        <v>0.14670377783337507</v>
      </c>
      <c r="Z224" s="67"/>
      <c r="AA224" s="71">
        <v>39569</v>
      </c>
      <c r="AB224" s="72">
        <v>891.5</v>
      </c>
      <c r="AC224" s="72">
        <v>879</v>
      </c>
      <c r="AD224" s="73">
        <f t="shared" si="32"/>
        <v>1.4220705346985163E-2</v>
      </c>
      <c r="AE224" s="67"/>
      <c r="AF224" s="71">
        <v>39569</v>
      </c>
      <c r="AG224" s="72">
        <v>72.88</v>
      </c>
      <c r="AH224" s="72">
        <v>72.569999999999993</v>
      </c>
      <c r="AI224" s="73">
        <f t="shared" si="33"/>
        <v>4.2717376326306677E-3</v>
      </c>
      <c r="AJ224" s="67"/>
      <c r="AK224" s="74">
        <v>39599</v>
      </c>
      <c r="AL224" s="41">
        <v>4.0599999999999997E-2</v>
      </c>
      <c r="AM224" s="41">
        <f t="shared" si="35"/>
        <v>2.8999999999999998E-3</v>
      </c>
      <c r="AN224" s="67"/>
      <c r="AO224" s="92">
        <v>39569</v>
      </c>
      <c r="AP224" s="76">
        <v>702672.8</v>
      </c>
      <c r="AQ224" s="80">
        <f t="shared" si="7"/>
        <v>2.4377856780091189E-3</v>
      </c>
      <c r="AR224" s="67"/>
      <c r="AS224" s="97">
        <v>39569</v>
      </c>
      <c r="AT224" s="78">
        <v>0.87419999999999998</v>
      </c>
      <c r="AU224" s="67"/>
      <c r="AV224" s="93">
        <v>39569</v>
      </c>
      <c r="AW224" s="76">
        <v>300519</v>
      </c>
      <c r="AX224" s="80">
        <f t="shared" si="8"/>
        <v>5.3442124437352856E-3</v>
      </c>
      <c r="AY224" s="67"/>
      <c r="AZ224" s="81">
        <v>39569</v>
      </c>
      <c r="BA224" s="82">
        <v>72.573799133300781</v>
      </c>
      <c r="BB224" s="82">
        <v>70.677749633789063</v>
      </c>
      <c r="BC224" s="67"/>
      <c r="BD224" s="83">
        <v>39583</v>
      </c>
      <c r="BE224" s="42">
        <v>5143</v>
      </c>
      <c r="BF224" s="41">
        <f t="shared" si="9"/>
        <v>-7.1428571428571175E-3</v>
      </c>
      <c r="BG224" s="67"/>
      <c r="BH224" s="84">
        <v>39569</v>
      </c>
      <c r="BI224" s="85">
        <v>100.26739999999999</v>
      </c>
      <c r="BJ224" s="87">
        <f t="shared" si="10"/>
        <v>-6.0577823817761223E-3</v>
      </c>
      <c r="BK224" s="67"/>
      <c r="BL224" s="84">
        <v>39569</v>
      </c>
      <c r="BM224" s="86">
        <v>189.52794</v>
      </c>
      <c r="BN224" s="67"/>
      <c r="BO224" s="88">
        <v>39569</v>
      </c>
      <c r="BP224" s="89">
        <v>3.6059999999999999</v>
      </c>
      <c r="BQ224" s="89">
        <v>3.9075000000000002</v>
      </c>
      <c r="BR224" s="90">
        <f t="shared" si="5"/>
        <v>-7.7159309021113343E-2</v>
      </c>
    </row>
    <row r="225" spans="1:70">
      <c r="A225" s="62">
        <v>39600</v>
      </c>
      <c r="B225" s="63">
        <v>39600</v>
      </c>
      <c r="C225" s="39">
        <v>140</v>
      </c>
      <c r="D225" s="64">
        <v>127.63</v>
      </c>
      <c r="E225" s="40">
        <f t="shared" si="29"/>
        <v>9.692078664890702E-2</v>
      </c>
      <c r="F225" s="65"/>
      <c r="G225" s="63">
        <v>39600</v>
      </c>
      <c r="H225" s="39">
        <v>23.95</v>
      </c>
      <c r="I225" s="39">
        <v>17.829999999999998</v>
      </c>
      <c r="J225" s="40">
        <f t="shared" si="34"/>
        <v>0.34324172742568715</v>
      </c>
      <c r="K225" s="67"/>
      <c r="L225" s="68">
        <v>39600</v>
      </c>
      <c r="M225" s="98">
        <v>1280</v>
      </c>
      <c r="N225" s="98">
        <v>1399.6</v>
      </c>
      <c r="O225" s="70">
        <f t="shared" si="30"/>
        <v>-8.5452986567590705E-2</v>
      </c>
      <c r="P225" s="67"/>
      <c r="Q225" s="38">
        <v>39600</v>
      </c>
      <c r="R225" s="39">
        <v>13.353</v>
      </c>
      <c r="S225" s="39">
        <v>11.791</v>
      </c>
      <c r="T225" s="40">
        <f t="shared" si="36"/>
        <v>0.1324739207870409</v>
      </c>
      <c r="U225" s="67"/>
      <c r="V225" s="38">
        <v>39600</v>
      </c>
      <c r="W225" s="39">
        <v>3.91</v>
      </c>
      <c r="X225" s="39">
        <v>3.6926999999999999</v>
      </c>
      <c r="Y225" s="40">
        <f t="shared" si="31"/>
        <v>5.8845830963793588E-2</v>
      </c>
      <c r="Z225" s="67"/>
      <c r="AA225" s="71">
        <v>39600</v>
      </c>
      <c r="AB225" s="72">
        <v>928.3</v>
      </c>
      <c r="AC225" s="72">
        <v>891.3</v>
      </c>
      <c r="AD225" s="73">
        <f t="shared" si="32"/>
        <v>4.1512397621451758E-2</v>
      </c>
      <c r="AE225" s="67"/>
      <c r="AF225" s="71">
        <v>39600</v>
      </c>
      <c r="AG225" s="72">
        <v>72.459999999999994</v>
      </c>
      <c r="AH225" s="72">
        <v>72.87</v>
      </c>
      <c r="AI225" s="73">
        <f t="shared" si="33"/>
        <v>-5.6264580760259086E-3</v>
      </c>
      <c r="AJ225" s="67"/>
      <c r="AK225" s="74">
        <v>39629</v>
      </c>
      <c r="AL225" s="41">
        <v>3.9900000000000005E-2</v>
      </c>
      <c r="AM225" s="41">
        <f t="shared" si="35"/>
        <v>-6.999999999999923E-4</v>
      </c>
      <c r="AN225" s="67"/>
      <c r="AO225" s="75">
        <v>39600</v>
      </c>
      <c r="AP225" s="76">
        <v>704916.5</v>
      </c>
      <c r="AQ225" s="80">
        <f t="shared" si="7"/>
        <v>3.1930935707202845E-3</v>
      </c>
      <c r="AR225" s="67"/>
      <c r="AS225" s="94">
        <v>39600</v>
      </c>
      <c r="AT225" s="78">
        <v>0.88924999999999998</v>
      </c>
      <c r="AU225" s="67"/>
      <c r="AV225" s="79">
        <v>39600</v>
      </c>
      <c r="AW225" s="76">
        <v>283653.5</v>
      </c>
      <c r="AX225" s="80">
        <f t="shared" si="8"/>
        <v>-5.6121243581936597E-2</v>
      </c>
      <c r="AY225" s="67"/>
      <c r="AZ225" s="81">
        <v>39600</v>
      </c>
      <c r="BA225" s="82">
        <v>87.548423767089844</v>
      </c>
      <c r="BB225" s="82">
        <v>88.886062622070313</v>
      </c>
      <c r="BC225" s="67"/>
      <c r="BD225" s="83">
        <v>39614</v>
      </c>
      <c r="BE225" s="42">
        <v>5138</v>
      </c>
      <c r="BF225" s="41">
        <f t="shared" si="9"/>
        <v>-9.7219521679958731E-4</v>
      </c>
      <c r="BG225" s="67"/>
      <c r="BH225" s="84">
        <v>39600</v>
      </c>
      <c r="BI225" s="85">
        <v>100.0335</v>
      </c>
      <c r="BJ225" s="87">
        <f t="shared" si="10"/>
        <v>-2.3327621938934451E-3</v>
      </c>
      <c r="BK225" s="67"/>
      <c r="BL225" s="84">
        <v>39600</v>
      </c>
      <c r="BM225" s="86">
        <v>182.97072</v>
      </c>
      <c r="BN225" s="67"/>
      <c r="BO225" s="88">
        <v>39600</v>
      </c>
      <c r="BP225" s="89">
        <v>3.8824999999999998</v>
      </c>
      <c r="BQ225" s="89">
        <v>3.57</v>
      </c>
      <c r="BR225" s="90">
        <f t="shared" si="5"/>
        <v>8.7535014005602152E-2</v>
      </c>
    </row>
    <row r="226" spans="1:70">
      <c r="A226" s="62">
        <v>39630</v>
      </c>
      <c r="B226" s="63">
        <v>39630</v>
      </c>
      <c r="C226" s="39">
        <v>124.08</v>
      </c>
      <c r="D226" s="64">
        <v>140.18</v>
      </c>
      <c r="E226" s="40">
        <f t="shared" si="29"/>
        <v>-0.11485233271508066</v>
      </c>
      <c r="F226" s="65"/>
      <c r="G226" s="63">
        <v>39630</v>
      </c>
      <c r="H226" s="39">
        <v>22.94</v>
      </c>
      <c r="I226" s="39">
        <v>25.14</v>
      </c>
      <c r="J226" s="40">
        <f t="shared" si="34"/>
        <v>-8.7509944311853549E-2</v>
      </c>
      <c r="K226" s="67"/>
      <c r="L226" s="68">
        <v>39630</v>
      </c>
      <c r="M226" s="98">
        <v>1267.4000000000001</v>
      </c>
      <c r="N226" s="98">
        <v>1276.7</v>
      </c>
      <c r="O226" s="70">
        <f t="shared" si="30"/>
        <v>-7.2844051069161919E-3</v>
      </c>
      <c r="P226" s="67"/>
      <c r="Q226" s="38">
        <v>39630</v>
      </c>
      <c r="R226" s="39">
        <v>9.1189999999999998</v>
      </c>
      <c r="S226" s="39">
        <v>13.374000000000001</v>
      </c>
      <c r="T226" s="40">
        <f t="shared" si="36"/>
        <v>-0.31815462838343056</v>
      </c>
      <c r="U226" s="67"/>
      <c r="V226" s="38">
        <v>39630</v>
      </c>
      <c r="W226" s="39">
        <v>3.4592999999999998</v>
      </c>
      <c r="X226" s="39">
        <v>3.9565000000000001</v>
      </c>
      <c r="Y226" s="40">
        <f t="shared" si="31"/>
        <v>-0.12566662454189315</v>
      </c>
      <c r="Z226" s="67"/>
      <c r="AA226" s="71">
        <v>39630</v>
      </c>
      <c r="AB226" s="72">
        <v>922.7</v>
      </c>
      <c r="AC226" s="72">
        <v>928</v>
      </c>
      <c r="AD226" s="73">
        <f t="shared" si="32"/>
        <v>-5.7112068965516904E-3</v>
      </c>
      <c r="AE226" s="67"/>
      <c r="AF226" s="71">
        <v>39630</v>
      </c>
      <c r="AG226" s="72">
        <v>73.23</v>
      </c>
      <c r="AH226" s="72">
        <v>72.459999999999994</v>
      </c>
      <c r="AI226" s="73">
        <f t="shared" si="33"/>
        <v>1.0626552580734305E-2</v>
      </c>
      <c r="AJ226" s="67"/>
      <c r="AK226" s="74">
        <v>39660</v>
      </c>
      <c r="AL226" s="41">
        <v>3.9900000000000005E-2</v>
      </c>
      <c r="AM226" s="41">
        <f t="shared" si="35"/>
        <v>0</v>
      </c>
      <c r="AN226" s="67"/>
      <c r="AO226" s="75">
        <v>39630</v>
      </c>
      <c r="AP226" s="76">
        <v>706127</v>
      </c>
      <c r="AQ226" s="80">
        <f t="shared" si="7"/>
        <v>1.7172246641978806E-3</v>
      </c>
      <c r="AR226" s="67"/>
      <c r="AS226" s="94">
        <v>39630</v>
      </c>
      <c r="AT226" s="78">
        <v>0.88249999999999995</v>
      </c>
      <c r="AU226" s="67"/>
      <c r="AV226" s="79">
        <v>39630</v>
      </c>
      <c r="AW226" s="76">
        <v>277966.75</v>
      </c>
      <c r="AX226" s="80">
        <f t="shared" si="8"/>
        <v>-2.0048227855464451E-2</v>
      </c>
      <c r="AY226" s="67"/>
      <c r="AZ226" s="81">
        <v>39630</v>
      </c>
      <c r="BA226" s="82">
        <v>89.739570617675781</v>
      </c>
      <c r="BB226" s="82">
        <v>84.322486877441406</v>
      </c>
      <c r="BC226" s="67"/>
      <c r="BD226" s="83">
        <v>39644</v>
      </c>
      <c r="BE226" s="42">
        <v>5177</v>
      </c>
      <c r="BF226" s="41">
        <f t="shared" si="9"/>
        <v>7.5905021409108375E-3</v>
      </c>
      <c r="BG226" s="67"/>
      <c r="BH226" s="84">
        <v>39630</v>
      </c>
      <c r="BI226" s="85">
        <v>99.676000000000002</v>
      </c>
      <c r="BJ226" s="87">
        <f t="shared" si="10"/>
        <v>-3.5738027760700009E-3</v>
      </c>
      <c r="BK226" s="67"/>
      <c r="BL226" s="84">
        <v>39630</v>
      </c>
      <c r="BM226" s="86">
        <v>168.75631000000001</v>
      </c>
      <c r="BN226" s="67"/>
      <c r="BO226" s="88">
        <v>39630</v>
      </c>
      <c r="BP226" s="89">
        <v>3.6560000000000001</v>
      </c>
      <c r="BQ226" s="89">
        <v>3.8694999999999999</v>
      </c>
      <c r="BR226" s="90">
        <f t="shared" si="5"/>
        <v>-5.5175087220571073E-2</v>
      </c>
    </row>
    <row r="227" spans="1:70">
      <c r="A227" s="62">
        <v>39661</v>
      </c>
      <c r="B227" s="63">
        <v>39661</v>
      </c>
      <c r="C227" s="39">
        <v>115.46</v>
      </c>
      <c r="D227" s="64">
        <v>124.06</v>
      </c>
      <c r="E227" s="40">
        <f t="shared" si="29"/>
        <v>-6.9321296147025646E-2</v>
      </c>
      <c r="F227" s="65"/>
      <c r="G227" s="63">
        <v>39661</v>
      </c>
      <c r="H227" s="39">
        <v>20.65</v>
      </c>
      <c r="I227" s="39">
        <v>22.66</v>
      </c>
      <c r="J227" s="40">
        <f t="shared" si="34"/>
        <v>-8.8702559576346096E-2</v>
      </c>
      <c r="K227" s="67"/>
      <c r="L227" s="68">
        <v>39661</v>
      </c>
      <c r="M227" s="98">
        <v>1282.8</v>
      </c>
      <c r="N227" s="98">
        <v>1269.4000000000001</v>
      </c>
      <c r="O227" s="70">
        <f t="shared" si="30"/>
        <v>1.0556168268473165E-2</v>
      </c>
      <c r="P227" s="67"/>
      <c r="Q227" s="38">
        <v>39661</v>
      </c>
      <c r="R227" s="39">
        <v>7.9429999999999996</v>
      </c>
      <c r="S227" s="39">
        <v>9.1229999999999993</v>
      </c>
      <c r="T227" s="40">
        <f t="shared" si="36"/>
        <v>-0.12934341773539404</v>
      </c>
      <c r="U227" s="67"/>
      <c r="V227" s="38">
        <v>39661</v>
      </c>
      <c r="W227" s="39">
        <v>3.1919</v>
      </c>
      <c r="X227" s="39">
        <v>3.4878999999999998</v>
      </c>
      <c r="Y227" s="40">
        <f t="shared" si="31"/>
        <v>-8.4864818372086259E-2</v>
      </c>
      <c r="Z227" s="67"/>
      <c r="AA227" s="71">
        <v>39661</v>
      </c>
      <c r="AB227" s="72">
        <v>835.2</v>
      </c>
      <c r="AC227" s="72">
        <v>922.9</v>
      </c>
      <c r="AD227" s="73">
        <f t="shared" si="32"/>
        <v>-9.5026546754794605E-2</v>
      </c>
      <c r="AE227" s="67"/>
      <c r="AF227" s="71">
        <v>39661</v>
      </c>
      <c r="AG227" s="72">
        <v>77.38</v>
      </c>
      <c r="AH227" s="72">
        <v>73.22</v>
      </c>
      <c r="AI227" s="73">
        <f t="shared" si="33"/>
        <v>5.6815077847582662E-2</v>
      </c>
      <c r="AJ227" s="67"/>
      <c r="AK227" s="74">
        <v>39691</v>
      </c>
      <c r="AL227" s="41">
        <v>3.8300000000000001E-2</v>
      </c>
      <c r="AM227" s="41">
        <f t="shared" si="35"/>
        <v>-1.6000000000000042E-3</v>
      </c>
      <c r="AN227" s="67"/>
      <c r="AO227" s="75">
        <v>39661</v>
      </c>
      <c r="AP227" s="76">
        <v>707134</v>
      </c>
      <c r="AQ227" s="80">
        <f t="shared" si="7"/>
        <v>1.4260890746282673E-3</v>
      </c>
      <c r="AR227" s="67"/>
      <c r="AS227" s="94">
        <v>39661</v>
      </c>
      <c r="AT227" s="78">
        <v>0.86919999999999997</v>
      </c>
      <c r="AU227" s="67"/>
      <c r="AV227" s="79">
        <v>39661</v>
      </c>
      <c r="AW227" s="76">
        <v>284293.8</v>
      </c>
      <c r="AX227" s="80">
        <f t="shared" si="8"/>
        <v>2.2761895082775041E-2</v>
      </c>
      <c r="AY227" s="67"/>
      <c r="AZ227" s="81">
        <v>39661</v>
      </c>
      <c r="BA227" s="82">
        <v>88.554107666015625</v>
      </c>
      <c r="BB227" s="82">
        <v>75.76971435546875</v>
      </c>
      <c r="BC227" s="67"/>
      <c r="BD227" s="83">
        <v>39675</v>
      </c>
      <c r="BE227" s="42">
        <v>5003</v>
      </c>
      <c r="BF227" s="41">
        <f t="shared" si="9"/>
        <v>-3.3610198956924853E-2</v>
      </c>
      <c r="BG227" s="67"/>
      <c r="BH227" s="84">
        <v>39661</v>
      </c>
      <c r="BI227" s="85">
        <v>98.111099999999993</v>
      </c>
      <c r="BJ227" s="87">
        <f t="shared" si="10"/>
        <v>-1.5699867570929893E-2</v>
      </c>
      <c r="BK227" s="67"/>
      <c r="BL227" s="84">
        <v>39661</v>
      </c>
      <c r="BM227" s="86">
        <v>150.25237000000001</v>
      </c>
      <c r="BN227" s="67"/>
      <c r="BO227" s="88">
        <v>39661</v>
      </c>
      <c r="BP227" s="89">
        <v>3.3995000000000002</v>
      </c>
      <c r="BQ227" s="89">
        <v>3.6564999999999999</v>
      </c>
      <c r="BR227" s="90">
        <f t="shared" si="5"/>
        <v>-7.0285792424449545E-2</v>
      </c>
    </row>
    <row r="228" spans="1:70">
      <c r="A228" s="62">
        <v>39692</v>
      </c>
      <c r="B228" s="63">
        <v>39692</v>
      </c>
      <c r="C228" s="39">
        <v>100.64</v>
      </c>
      <c r="D228" s="64">
        <v>116.65</v>
      </c>
      <c r="E228" s="40">
        <f t="shared" si="29"/>
        <v>-0.1372481783111873</v>
      </c>
      <c r="F228" s="65"/>
      <c r="G228" s="63">
        <v>39692</v>
      </c>
      <c r="H228" s="39">
        <v>39.39</v>
      </c>
      <c r="I228" s="39">
        <v>20.65</v>
      </c>
      <c r="J228" s="40">
        <f t="shared" si="34"/>
        <v>0.90750605326876532</v>
      </c>
      <c r="K228" s="67"/>
      <c r="L228" s="68">
        <v>39692</v>
      </c>
      <c r="M228" s="98">
        <v>1166.4000000000001</v>
      </c>
      <c r="N228" s="98">
        <v>1287.8</v>
      </c>
      <c r="O228" s="70">
        <f t="shared" si="30"/>
        <v>-9.42692964746078E-2</v>
      </c>
      <c r="P228" s="67"/>
      <c r="Q228" s="38">
        <v>39692</v>
      </c>
      <c r="R228" s="39">
        <v>7.4379999999999997</v>
      </c>
      <c r="S228" s="39">
        <v>8.0939999999999994</v>
      </c>
      <c r="T228" s="40">
        <f t="shared" si="36"/>
        <v>-8.1047689646651766E-2</v>
      </c>
      <c r="U228" s="67"/>
      <c r="V228" s="38">
        <v>39692</v>
      </c>
      <c r="W228" s="39">
        <v>2.8946999999999998</v>
      </c>
      <c r="X228" s="39">
        <v>3.2925</v>
      </c>
      <c r="Y228" s="40">
        <f t="shared" si="31"/>
        <v>-0.12082004555808656</v>
      </c>
      <c r="Z228" s="67"/>
      <c r="AA228" s="71">
        <v>39692</v>
      </c>
      <c r="AB228" s="72">
        <v>880.8</v>
      </c>
      <c r="AC228" s="72">
        <v>842.2</v>
      </c>
      <c r="AD228" s="73">
        <f t="shared" si="32"/>
        <v>4.5832343861315517E-2</v>
      </c>
      <c r="AE228" s="67"/>
      <c r="AF228" s="71">
        <v>39692</v>
      </c>
      <c r="AG228" s="72">
        <v>79.45</v>
      </c>
      <c r="AH228" s="72">
        <v>77.75</v>
      </c>
      <c r="AI228" s="73">
        <f t="shared" si="33"/>
        <v>2.1864951768488794E-2</v>
      </c>
      <c r="AJ228" s="67"/>
      <c r="AK228" s="74">
        <v>39721</v>
      </c>
      <c r="AL228" s="41">
        <v>3.85E-2</v>
      </c>
      <c r="AM228" s="41">
        <f t="shared" si="35"/>
        <v>1.9999999999999879E-4</v>
      </c>
      <c r="AN228" s="67"/>
      <c r="AO228" s="75">
        <v>39692</v>
      </c>
      <c r="AP228" s="76">
        <v>706157</v>
      </c>
      <c r="AQ228" s="80">
        <f t="shared" si="7"/>
        <v>-1.3816334669242147E-3</v>
      </c>
      <c r="AR228" s="67"/>
      <c r="AS228" s="94">
        <v>39692</v>
      </c>
      <c r="AT228" s="78">
        <v>0.73675000000000002</v>
      </c>
      <c r="AU228" s="67"/>
      <c r="AV228" s="79">
        <v>39692</v>
      </c>
      <c r="AW228" s="76">
        <v>276045.5</v>
      </c>
      <c r="AX228" s="80">
        <f t="shared" si="8"/>
        <v>-2.9013295400743822E-2</v>
      </c>
      <c r="AY228" s="67"/>
      <c r="AZ228" s="81">
        <v>39692</v>
      </c>
      <c r="BA228" s="82">
        <v>88.542556762695313</v>
      </c>
      <c r="BB228" s="82">
        <v>82.014266967773438</v>
      </c>
      <c r="BC228" s="67"/>
      <c r="BD228" s="83">
        <v>39706</v>
      </c>
      <c r="BE228" s="42">
        <v>3974</v>
      </c>
      <c r="BF228" s="41">
        <f t="shared" si="9"/>
        <v>-0.20567659404357386</v>
      </c>
      <c r="BG228" s="67"/>
      <c r="BH228" s="84">
        <v>39692</v>
      </c>
      <c r="BI228" s="85">
        <v>93.789500000000004</v>
      </c>
      <c r="BJ228" s="87">
        <f t="shared" si="10"/>
        <v>-4.4048023108496315E-2</v>
      </c>
      <c r="BK228" s="67"/>
      <c r="BL228" s="84">
        <v>39692</v>
      </c>
      <c r="BM228" s="86">
        <v>110.58826999999999</v>
      </c>
      <c r="BN228" s="67"/>
      <c r="BO228" s="88">
        <v>39692</v>
      </c>
      <c r="BP228" s="89">
        <v>2.879</v>
      </c>
      <c r="BQ228" s="89">
        <v>3.35</v>
      </c>
      <c r="BR228" s="90">
        <f t="shared" si="5"/>
        <v>-0.14059701492537313</v>
      </c>
    </row>
    <row r="229" spans="1:70">
      <c r="A229" s="62">
        <v>39722</v>
      </c>
      <c r="B229" s="63">
        <v>39722</v>
      </c>
      <c r="C229" s="39">
        <v>67.81</v>
      </c>
      <c r="D229" s="64">
        <v>101.86</v>
      </c>
      <c r="E229" s="40">
        <f t="shared" si="29"/>
        <v>-0.33428234832122516</v>
      </c>
      <c r="F229" s="65"/>
      <c r="G229" s="63">
        <v>39722</v>
      </c>
      <c r="H229" s="39">
        <v>59.89</v>
      </c>
      <c r="I229" s="39">
        <v>39.39</v>
      </c>
      <c r="J229" s="40">
        <f t="shared" si="34"/>
        <v>0.5204366590505205</v>
      </c>
      <c r="K229" s="67"/>
      <c r="L229" s="68">
        <v>39722</v>
      </c>
      <c r="M229" s="98">
        <v>968.8</v>
      </c>
      <c r="N229" s="98">
        <v>1164.2</v>
      </c>
      <c r="O229" s="70">
        <f t="shared" si="30"/>
        <v>-0.1678405772204089</v>
      </c>
      <c r="P229" s="67"/>
      <c r="Q229" s="38">
        <v>39722</v>
      </c>
      <c r="R229" s="39">
        <v>6.7830000000000004</v>
      </c>
      <c r="S229" s="39">
        <v>7.5179999999999998</v>
      </c>
      <c r="T229" s="40">
        <f t="shared" si="36"/>
        <v>-9.77653631284916E-2</v>
      </c>
      <c r="U229" s="67"/>
      <c r="V229" s="38">
        <v>39722</v>
      </c>
      <c r="W229" s="39">
        <v>2.0842000000000001</v>
      </c>
      <c r="X229" s="39">
        <v>2.9331</v>
      </c>
      <c r="Y229" s="40">
        <f t="shared" si="31"/>
        <v>-0.28942074937779139</v>
      </c>
      <c r="Z229" s="67"/>
      <c r="AA229" s="71">
        <v>39722</v>
      </c>
      <c r="AB229" s="72">
        <v>718.2</v>
      </c>
      <c r="AC229" s="72">
        <v>876.9</v>
      </c>
      <c r="AD229" s="73">
        <f t="shared" si="32"/>
        <v>-0.18097844680123154</v>
      </c>
      <c r="AE229" s="67"/>
      <c r="AF229" s="71">
        <v>39722</v>
      </c>
      <c r="AG229" s="72">
        <v>85.63</v>
      </c>
      <c r="AH229" s="72">
        <v>79.2</v>
      </c>
      <c r="AI229" s="73">
        <f t="shared" si="33"/>
        <v>8.1186868686868641E-2</v>
      </c>
      <c r="AJ229" s="67"/>
      <c r="AK229" s="74">
        <v>39752</v>
      </c>
      <c r="AL229" s="41">
        <v>4.0099999999999997E-2</v>
      </c>
      <c r="AM229" s="41">
        <f t="shared" si="35"/>
        <v>1.5999999999999973E-3</v>
      </c>
      <c r="AN229" s="67"/>
      <c r="AO229" s="75">
        <v>39722</v>
      </c>
      <c r="AP229" s="76">
        <v>702020.2</v>
      </c>
      <c r="AQ229" s="80">
        <f t="shared" si="7"/>
        <v>-5.858187343607768E-3</v>
      </c>
      <c r="AR229" s="67"/>
      <c r="AS229" s="94">
        <v>39722</v>
      </c>
      <c r="AT229" s="78">
        <v>0.83700000000000008</v>
      </c>
      <c r="AU229" s="67"/>
      <c r="AV229" s="79">
        <v>39722</v>
      </c>
      <c r="AW229" s="76">
        <v>291710</v>
      </c>
      <c r="AX229" s="80">
        <f t="shared" si="8"/>
        <v>5.6746079903494229E-2</v>
      </c>
      <c r="AY229" s="67"/>
      <c r="AZ229" s="81">
        <v>39722</v>
      </c>
      <c r="BA229" s="82">
        <v>64.159797668457031</v>
      </c>
      <c r="BB229" s="82">
        <v>53.117389678955078</v>
      </c>
      <c r="BC229" s="67"/>
      <c r="BD229" s="83">
        <v>39736</v>
      </c>
      <c r="BE229" s="42">
        <v>4738</v>
      </c>
      <c r="BF229" s="41">
        <f t="shared" si="9"/>
        <v>0.19224962254655265</v>
      </c>
      <c r="BG229" s="67"/>
      <c r="BH229" s="84">
        <v>39722</v>
      </c>
      <c r="BI229" s="85">
        <v>94.721900000000005</v>
      </c>
      <c r="BJ229" s="87">
        <f t="shared" si="10"/>
        <v>9.9414113520170933E-3</v>
      </c>
      <c r="BK229" s="67"/>
      <c r="BL229" s="84">
        <v>39722</v>
      </c>
      <c r="BM229" s="86">
        <v>10.398785</v>
      </c>
      <c r="BN229" s="67"/>
      <c r="BO229" s="88">
        <v>39722</v>
      </c>
      <c r="BP229" s="89">
        <v>1.8345</v>
      </c>
      <c r="BQ229" s="89">
        <v>2.891</v>
      </c>
      <c r="BR229" s="90">
        <f t="shared" si="5"/>
        <v>-0.36544448287789688</v>
      </c>
    </row>
    <row r="230" spans="1:70">
      <c r="A230" s="62">
        <v>39753</v>
      </c>
      <c r="B230" s="63">
        <v>39753</v>
      </c>
      <c r="C230" s="39">
        <v>54.43</v>
      </c>
      <c r="D230" s="64">
        <v>67.37</v>
      </c>
      <c r="E230" s="40">
        <f t="shared" si="29"/>
        <v>-0.19207362327445454</v>
      </c>
      <c r="F230" s="65"/>
      <c r="G230" s="63">
        <v>39753</v>
      </c>
      <c r="H230" s="39">
        <v>55.28</v>
      </c>
      <c r="I230" s="39">
        <v>60.17</v>
      </c>
      <c r="J230" s="40">
        <f t="shared" si="34"/>
        <v>-8.1269735748711991E-2</v>
      </c>
      <c r="K230" s="67"/>
      <c r="L230" s="68">
        <v>39753</v>
      </c>
      <c r="M230" s="69">
        <v>896.2</v>
      </c>
      <c r="N230" s="98">
        <v>968.7</v>
      </c>
      <c r="O230" s="70">
        <f t="shared" si="30"/>
        <v>-7.484257251987203E-2</v>
      </c>
      <c r="P230" s="67"/>
      <c r="Q230" s="38">
        <v>39753</v>
      </c>
      <c r="R230" s="39">
        <v>6.51</v>
      </c>
      <c r="S230" s="39">
        <v>6.6929999999999996</v>
      </c>
      <c r="T230" s="40">
        <f t="shared" si="36"/>
        <v>-2.7341999103540959E-2</v>
      </c>
      <c r="U230" s="67"/>
      <c r="V230" s="38">
        <v>39753</v>
      </c>
      <c r="W230" s="39">
        <v>1.7271000000000001</v>
      </c>
      <c r="X230" s="39">
        <v>2.11</v>
      </c>
      <c r="Y230" s="40">
        <f t="shared" si="31"/>
        <v>-0.18146919431279607</v>
      </c>
      <c r="Z230" s="67"/>
      <c r="AA230" s="71">
        <v>39753</v>
      </c>
      <c r="AB230" s="72">
        <v>819</v>
      </c>
      <c r="AC230" s="72">
        <v>727</v>
      </c>
      <c r="AD230" s="73">
        <f t="shared" si="32"/>
        <v>0.12654745529573597</v>
      </c>
      <c r="AE230" s="67"/>
      <c r="AF230" s="71">
        <v>39753</v>
      </c>
      <c r="AG230" s="72">
        <v>86.52</v>
      </c>
      <c r="AH230" s="72">
        <v>85.81</v>
      </c>
      <c r="AI230" s="73">
        <f t="shared" si="33"/>
        <v>8.2740939284464687E-3</v>
      </c>
      <c r="AJ230" s="67"/>
      <c r="AK230" s="74">
        <v>39782</v>
      </c>
      <c r="AL230" s="41">
        <v>2.9300000000000003E-2</v>
      </c>
      <c r="AM230" s="41">
        <f t="shared" si="35"/>
        <v>-1.0799999999999994E-2</v>
      </c>
      <c r="AN230" s="67"/>
      <c r="AO230" s="75">
        <v>39753</v>
      </c>
      <c r="AP230" s="76">
        <v>701830.25</v>
      </c>
      <c r="AQ230" s="80">
        <f t="shared" si="7"/>
        <v>-2.7057625977133792E-4</v>
      </c>
      <c r="AR230" s="67"/>
      <c r="AS230" s="94">
        <v>39753</v>
      </c>
      <c r="AT230" s="78">
        <v>0.85</v>
      </c>
      <c r="AU230" s="67"/>
      <c r="AV230" s="79">
        <v>39753</v>
      </c>
      <c r="AW230" s="76">
        <v>299119.25</v>
      </c>
      <c r="AX230" s="80">
        <f t="shared" si="8"/>
        <v>2.5399369236570601E-2</v>
      </c>
      <c r="AY230" s="67"/>
      <c r="AZ230" s="81">
        <v>39753</v>
      </c>
      <c r="BA230" s="82">
        <v>79.080970764160156</v>
      </c>
      <c r="BB230" s="82">
        <v>68.30364990234375</v>
      </c>
      <c r="BC230" s="67"/>
      <c r="BD230" s="83">
        <v>39767</v>
      </c>
      <c r="BE230" s="42">
        <v>5078</v>
      </c>
      <c r="BF230" s="41">
        <f t="shared" si="9"/>
        <v>7.1760236386660958E-2</v>
      </c>
      <c r="BG230" s="67"/>
      <c r="BH230" s="84">
        <v>39753</v>
      </c>
      <c r="BI230" s="85">
        <v>93.471500000000006</v>
      </c>
      <c r="BJ230" s="87">
        <f t="shared" si="10"/>
        <v>-1.3200748718089517E-2</v>
      </c>
      <c r="BK230" s="67"/>
      <c r="BL230" s="84">
        <v>39753</v>
      </c>
      <c r="BM230" s="86">
        <v>-66.836681999999996</v>
      </c>
      <c r="BN230" s="67"/>
      <c r="BO230" s="88">
        <v>39753</v>
      </c>
      <c r="BP230" s="89">
        <v>1.6439999999999999</v>
      </c>
      <c r="BQ230" s="89">
        <v>1.893</v>
      </c>
      <c r="BR230" s="90">
        <f t="shared" si="5"/>
        <v>-0.13153724247226628</v>
      </c>
    </row>
    <row r="231" spans="1:70">
      <c r="A231" s="62">
        <v>39783</v>
      </c>
      <c r="B231" s="63">
        <v>39783</v>
      </c>
      <c r="C231" s="39">
        <v>44.6</v>
      </c>
      <c r="D231" s="64">
        <v>54.62</v>
      </c>
      <c r="E231" s="40">
        <f t="shared" si="29"/>
        <v>-0.18344928597583299</v>
      </c>
      <c r="F231" s="65"/>
      <c r="G231" s="63">
        <v>39783</v>
      </c>
      <c r="H231" s="39">
        <v>40</v>
      </c>
      <c r="I231" s="39">
        <v>60.47</v>
      </c>
      <c r="J231" s="40">
        <f t="shared" si="34"/>
        <v>-0.33851496609889198</v>
      </c>
      <c r="K231" s="67"/>
      <c r="L231" s="68">
        <v>39783</v>
      </c>
      <c r="M231" s="69">
        <v>903.2</v>
      </c>
      <c r="N231" s="69">
        <v>888.6</v>
      </c>
      <c r="O231" s="70">
        <f t="shared" si="30"/>
        <v>1.6430339860454612E-2</v>
      </c>
      <c r="P231" s="67"/>
      <c r="Q231" s="38">
        <v>39783</v>
      </c>
      <c r="R231" s="39">
        <v>5.6219999999999999</v>
      </c>
      <c r="S231" s="39">
        <v>6.55</v>
      </c>
      <c r="T231" s="40">
        <f t="shared" si="36"/>
        <v>-0.14167938931297708</v>
      </c>
      <c r="U231" s="67"/>
      <c r="V231" s="38">
        <v>39783</v>
      </c>
      <c r="W231" s="39">
        <v>1.4420999999999999</v>
      </c>
      <c r="X231" s="39">
        <v>1.74</v>
      </c>
      <c r="Y231" s="40">
        <f t="shared" si="31"/>
        <v>-0.17120689655172416</v>
      </c>
      <c r="Z231" s="67"/>
      <c r="AA231" s="71">
        <v>39783</v>
      </c>
      <c r="AB231" s="72">
        <v>884.3</v>
      </c>
      <c r="AC231" s="72">
        <v>819</v>
      </c>
      <c r="AD231" s="73">
        <f t="shared" si="32"/>
        <v>7.973137973137967E-2</v>
      </c>
      <c r="AE231" s="67"/>
      <c r="AF231" s="71">
        <v>39783</v>
      </c>
      <c r="AG231" s="72">
        <v>81.150000000000006</v>
      </c>
      <c r="AH231" s="72">
        <v>86.42</v>
      </c>
      <c r="AI231" s="73">
        <f t="shared" si="33"/>
        <v>-6.0981254339273261E-2</v>
      </c>
      <c r="AJ231" s="67"/>
      <c r="AK231" s="74">
        <v>39813</v>
      </c>
      <c r="AL231" s="41">
        <v>2.2499999999999999E-2</v>
      </c>
      <c r="AM231" s="41">
        <f t="shared" si="35"/>
        <v>-6.800000000000004E-3</v>
      </c>
      <c r="AN231" s="67"/>
      <c r="AO231" s="75">
        <v>39783</v>
      </c>
      <c r="AP231" s="76">
        <v>701826.5</v>
      </c>
      <c r="AQ231" s="80">
        <f t="shared" si="7"/>
        <v>-5.3431723696650835E-6</v>
      </c>
      <c r="AR231" s="67"/>
      <c r="AS231" s="94">
        <v>39783</v>
      </c>
      <c r="AT231" s="78">
        <v>0.84675</v>
      </c>
      <c r="AU231" s="67"/>
      <c r="AV231" s="79">
        <v>39783</v>
      </c>
      <c r="AW231" s="76">
        <v>302149.5</v>
      </c>
      <c r="AX231" s="80">
        <f t="shared" si="8"/>
        <v>1.0130575013142851E-2</v>
      </c>
      <c r="AY231" s="67"/>
      <c r="AZ231" s="81">
        <v>39783</v>
      </c>
      <c r="BA231" s="82">
        <v>92.366432189941406</v>
      </c>
      <c r="BB231" s="82">
        <v>83.843132019042969</v>
      </c>
      <c r="BC231" s="67"/>
      <c r="BD231" s="83">
        <v>39797</v>
      </c>
      <c r="BE231" s="42">
        <v>5103</v>
      </c>
      <c r="BF231" s="41">
        <f t="shared" si="9"/>
        <v>4.923198109491933E-3</v>
      </c>
      <c r="BG231" s="67"/>
      <c r="BH231" s="84">
        <v>39783</v>
      </c>
      <c r="BI231" s="85">
        <v>90.835700000000003</v>
      </c>
      <c r="BJ231" s="87">
        <f t="shared" si="10"/>
        <v>-2.8198969739439361E-2</v>
      </c>
      <c r="BK231" s="67"/>
      <c r="BL231" s="84">
        <v>39783</v>
      </c>
      <c r="BM231" s="86">
        <v>-75.581356999999997</v>
      </c>
      <c r="BN231" s="67"/>
      <c r="BO231" s="88">
        <v>39783</v>
      </c>
      <c r="BP231" s="89">
        <v>1.41</v>
      </c>
      <c r="BQ231" s="89">
        <v>1.6495</v>
      </c>
      <c r="BR231" s="90">
        <f t="shared" si="5"/>
        <v>-0.1451955137920582</v>
      </c>
    </row>
    <row r="232" spans="1:70">
      <c r="A232" s="62">
        <v>39814</v>
      </c>
      <c r="B232" s="63">
        <v>39814</v>
      </c>
      <c r="C232" s="39">
        <v>41.68</v>
      </c>
      <c r="D232" s="64">
        <v>43.72</v>
      </c>
      <c r="E232" s="40">
        <f t="shared" si="29"/>
        <v>-4.6660567246111562E-2</v>
      </c>
      <c r="F232" s="65"/>
      <c r="G232" s="63">
        <v>39814</v>
      </c>
      <c r="H232" s="39">
        <v>44.84</v>
      </c>
      <c r="I232" s="39">
        <v>39.58</v>
      </c>
      <c r="J232" s="40">
        <f t="shared" si="34"/>
        <v>0.13289540171803949</v>
      </c>
      <c r="K232" s="67"/>
      <c r="L232" s="68">
        <v>39814</v>
      </c>
      <c r="M232" s="69">
        <v>825.9</v>
      </c>
      <c r="N232" s="69">
        <v>903</v>
      </c>
      <c r="O232" s="70">
        <f t="shared" si="30"/>
        <v>-8.5382059800664489E-2</v>
      </c>
      <c r="P232" s="67"/>
      <c r="Q232" s="38">
        <v>39814</v>
      </c>
      <c r="R232" s="39">
        <v>4.4169999999999998</v>
      </c>
      <c r="S232" s="39">
        <v>5.55</v>
      </c>
      <c r="T232" s="40">
        <f t="shared" si="36"/>
        <v>-0.20414414414414417</v>
      </c>
      <c r="U232" s="67"/>
      <c r="V232" s="38">
        <v>39814</v>
      </c>
      <c r="W232" s="39">
        <v>1.4339999999999999</v>
      </c>
      <c r="X232" s="39">
        <v>1.45</v>
      </c>
      <c r="Y232" s="40">
        <f t="shared" si="31"/>
        <v>-1.1034482758620734E-2</v>
      </c>
      <c r="Z232" s="67"/>
      <c r="AA232" s="71">
        <v>39814</v>
      </c>
      <c r="AB232" s="72">
        <v>928.4</v>
      </c>
      <c r="AC232" s="72">
        <v>883</v>
      </c>
      <c r="AD232" s="73">
        <f t="shared" si="32"/>
        <v>5.1415628539071223E-2</v>
      </c>
      <c r="AE232" s="67"/>
      <c r="AF232" s="71">
        <v>39814</v>
      </c>
      <c r="AG232" s="72">
        <v>85.83</v>
      </c>
      <c r="AH232" s="72">
        <v>81.180000000000007</v>
      </c>
      <c r="AI232" s="73">
        <f t="shared" si="33"/>
        <v>5.7280118255727874E-2</v>
      </c>
      <c r="AJ232" s="67"/>
      <c r="AK232" s="74">
        <v>39844</v>
      </c>
      <c r="AL232" s="41">
        <v>2.87E-2</v>
      </c>
      <c r="AM232" s="41">
        <f t="shared" si="35"/>
        <v>6.2000000000000006E-3</v>
      </c>
      <c r="AN232" s="67"/>
      <c r="AO232" s="75">
        <v>39814</v>
      </c>
      <c r="AP232" s="76">
        <v>702418.4</v>
      </c>
      <c r="AQ232" s="80">
        <f t="shared" si="7"/>
        <v>8.4337083310481731E-4</v>
      </c>
      <c r="AR232" s="67"/>
      <c r="AS232" s="94">
        <v>39814</v>
      </c>
      <c r="AT232" s="78">
        <v>0.83819999999999995</v>
      </c>
      <c r="AU232" s="67"/>
      <c r="AV232" s="79">
        <v>39814</v>
      </c>
      <c r="AW232" s="76">
        <v>315732.40000000002</v>
      </c>
      <c r="AX232" s="80">
        <f t="shared" si="8"/>
        <v>4.4954236230740241E-2</v>
      </c>
      <c r="AY232" s="67"/>
      <c r="AZ232" s="81">
        <v>39814</v>
      </c>
      <c r="BA232" s="82">
        <v>85.369476318359375</v>
      </c>
      <c r="BB232" s="82">
        <v>86.31317138671875</v>
      </c>
      <c r="BC232" s="67"/>
      <c r="BD232" s="83">
        <v>39828</v>
      </c>
      <c r="BE232" s="42">
        <v>5144</v>
      </c>
      <c r="BF232" s="41">
        <f t="shared" si="9"/>
        <v>8.0344895159709662E-3</v>
      </c>
      <c r="BG232" s="67"/>
      <c r="BH232" s="84">
        <v>39814</v>
      </c>
      <c r="BI232" s="85">
        <v>88.57</v>
      </c>
      <c r="BJ232" s="87">
        <f t="shared" si="10"/>
        <v>-2.4942836351786957E-2</v>
      </c>
      <c r="BK232" s="67"/>
      <c r="BL232" s="84">
        <v>39814</v>
      </c>
      <c r="BM232" s="86">
        <v>-55.942855999999999</v>
      </c>
      <c r="BN232" s="67"/>
      <c r="BO232" s="88">
        <v>39814</v>
      </c>
      <c r="BP232" s="89">
        <v>1.4755</v>
      </c>
      <c r="BQ232" s="89">
        <v>1.3955</v>
      </c>
      <c r="BR232" s="90">
        <f t="shared" si="5"/>
        <v>5.7327122895019844E-2</v>
      </c>
    </row>
    <row r="233" spans="1:70">
      <c r="A233" s="62">
        <v>39845</v>
      </c>
      <c r="B233" s="63">
        <v>39845</v>
      </c>
      <c r="C233" s="39">
        <v>44.76</v>
      </c>
      <c r="D233" s="64">
        <v>41.75</v>
      </c>
      <c r="E233" s="40">
        <f t="shared" si="29"/>
        <v>7.2095808383233484E-2</v>
      </c>
      <c r="F233" s="65"/>
      <c r="G233" s="63">
        <v>39845</v>
      </c>
      <c r="H233" s="39">
        <v>46.35</v>
      </c>
      <c r="I233" s="39">
        <v>49.42</v>
      </c>
      <c r="J233" s="40">
        <f t="shared" si="34"/>
        <v>-6.2120598947794425E-2</v>
      </c>
      <c r="K233" s="67"/>
      <c r="L233" s="68">
        <v>39845</v>
      </c>
      <c r="M233" s="69">
        <v>735.1</v>
      </c>
      <c r="N233" s="69">
        <v>823.1</v>
      </c>
      <c r="O233" s="70">
        <f t="shared" si="30"/>
        <v>-0.10691289029279549</v>
      </c>
      <c r="P233" s="67"/>
      <c r="Q233" s="38">
        <v>39845</v>
      </c>
      <c r="R233" s="39">
        <v>4.1980000000000004</v>
      </c>
      <c r="S233" s="39">
        <v>4.3150000000000004</v>
      </c>
      <c r="T233" s="40">
        <f t="shared" si="36"/>
        <v>-2.7114716106604875E-2</v>
      </c>
      <c r="U233" s="67"/>
      <c r="V233" s="38">
        <v>39845</v>
      </c>
      <c r="W233" s="39">
        <v>1.2675000000000001</v>
      </c>
      <c r="X233" s="39">
        <v>1.4303999999999999</v>
      </c>
      <c r="Y233" s="40">
        <f t="shared" si="31"/>
        <v>-0.11388422818791932</v>
      </c>
      <c r="Z233" s="67"/>
      <c r="AA233" s="71">
        <v>39845</v>
      </c>
      <c r="AB233" s="72">
        <v>942.5</v>
      </c>
      <c r="AC233" s="72">
        <v>924.6</v>
      </c>
      <c r="AD233" s="73">
        <f t="shared" si="32"/>
        <v>1.9359723123512751E-2</v>
      </c>
      <c r="AE233" s="67"/>
      <c r="AF233" s="71">
        <v>39845</v>
      </c>
      <c r="AG233" s="72">
        <v>88.17</v>
      </c>
      <c r="AH233" s="72">
        <v>86.08</v>
      </c>
      <c r="AI233" s="73">
        <f t="shared" si="33"/>
        <v>2.4279739776951637E-2</v>
      </c>
      <c r="AJ233" s="67"/>
      <c r="AK233" s="74">
        <v>39872</v>
      </c>
      <c r="AL233" s="41">
        <v>3.0200000000000001E-2</v>
      </c>
      <c r="AM233" s="41">
        <f t="shared" si="35"/>
        <v>1.5000000000000013E-3</v>
      </c>
      <c r="AN233" s="67"/>
      <c r="AO233" s="75">
        <v>39845</v>
      </c>
      <c r="AP233" s="76">
        <v>704214.75</v>
      </c>
      <c r="AQ233" s="80">
        <f t="shared" si="7"/>
        <v>2.5573789069306407E-3</v>
      </c>
      <c r="AR233" s="67"/>
      <c r="AS233" s="94">
        <v>39845</v>
      </c>
      <c r="AT233" s="78">
        <v>0.82099999999999995</v>
      </c>
      <c r="AU233" s="67"/>
      <c r="AV233" s="79">
        <v>39845</v>
      </c>
      <c r="AW233" s="76">
        <v>332552.75</v>
      </c>
      <c r="AX233" s="80">
        <f t="shared" si="8"/>
        <v>5.3274070066930079E-2</v>
      </c>
      <c r="AY233" s="67"/>
      <c r="AZ233" s="81">
        <v>39845</v>
      </c>
      <c r="BA233" s="82">
        <v>67.452674865722656</v>
      </c>
      <c r="BB233" s="82">
        <v>64.772911071777344</v>
      </c>
      <c r="BC233" s="67"/>
      <c r="BD233" s="83">
        <v>39859</v>
      </c>
      <c r="BE233" s="42">
        <v>5239</v>
      </c>
      <c r="BF233" s="41">
        <f t="shared" si="9"/>
        <v>1.8468118195956507E-2</v>
      </c>
      <c r="BG233" s="67"/>
      <c r="BH233" s="84">
        <v>39845</v>
      </c>
      <c r="BI233" s="85">
        <v>88.031000000000006</v>
      </c>
      <c r="BJ233" s="87">
        <f t="shared" si="10"/>
        <v>-6.0855820255163451E-3</v>
      </c>
      <c r="BK233" s="67"/>
      <c r="BL233" s="84">
        <v>39845</v>
      </c>
      <c r="BM233" s="86">
        <v>13.50657</v>
      </c>
      <c r="BN233" s="67"/>
      <c r="BO233" s="88">
        <v>39845</v>
      </c>
      <c r="BP233" s="89">
        <v>1.5385</v>
      </c>
      <c r="BQ233" s="89">
        <v>1.4535</v>
      </c>
      <c r="BR233" s="90">
        <f t="shared" si="5"/>
        <v>5.8479532163742576E-2</v>
      </c>
    </row>
    <row r="234" spans="1:70">
      <c r="A234" s="62">
        <v>39873</v>
      </c>
      <c r="B234" s="63">
        <v>39873</v>
      </c>
      <c r="C234" s="39">
        <v>49.66</v>
      </c>
      <c r="D234" s="64">
        <v>44.34</v>
      </c>
      <c r="E234" s="40">
        <f t="shared" si="29"/>
        <v>0.11998195760036068</v>
      </c>
      <c r="F234" s="65"/>
      <c r="G234" s="63">
        <v>39873</v>
      </c>
      <c r="H234" s="39">
        <v>44.14</v>
      </c>
      <c r="I234" s="39">
        <v>49.96</v>
      </c>
      <c r="J234" s="40">
        <f t="shared" si="34"/>
        <v>-0.11649319455564455</v>
      </c>
      <c r="K234" s="67"/>
      <c r="L234" s="68">
        <v>39873</v>
      </c>
      <c r="M234" s="69">
        <v>797.9</v>
      </c>
      <c r="N234" s="69">
        <v>729.6</v>
      </c>
      <c r="O234" s="70">
        <f t="shared" si="30"/>
        <v>9.3612938596491224E-2</v>
      </c>
      <c r="P234" s="67"/>
      <c r="Q234" s="38">
        <v>39873</v>
      </c>
      <c r="R234" s="39">
        <v>3.7759999999999998</v>
      </c>
      <c r="S234" s="39">
        <v>4.274</v>
      </c>
      <c r="T234" s="40">
        <f t="shared" si="36"/>
        <v>-0.11651848385587282</v>
      </c>
      <c r="U234" s="67"/>
      <c r="V234" s="38">
        <v>39873</v>
      </c>
      <c r="W234" s="39">
        <v>1.3678999999999999</v>
      </c>
      <c r="X234" s="39">
        <v>1.2696000000000001</v>
      </c>
      <c r="Y234" s="40">
        <f t="shared" si="31"/>
        <v>7.7425960932577143E-2</v>
      </c>
      <c r="Z234" s="67"/>
      <c r="AA234" s="71">
        <v>39873</v>
      </c>
      <c r="AB234" s="72">
        <v>925</v>
      </c>
      <c r="AC234" s="72">
        <v>940.3</v>
      </c>
      <c r="AD234" s="73">
        <f t="shared" si="32"/>
        <v>-1.6271402743805119E-2</v>
      </c>
      <c r="AE234" s="67"/>
      <c r="AF234" s="71">
        <v>39873</v>
      </c>
      <c r="AG234" s="72">
        <v>85.51</v>
      </c>
      <c r="AH234" s="72">
        <v>88.58</v>
      </c>
      <c r="AI234" s="73">
        <f t="shared" si="33"/>
        <v>-3.4657936328742256E-2</v>
      </c>
      <c r="AJ234" s="67"/>
      <c r="AK234" s="74">
        <v>39903</v>
      </c>
      <c r="AL234" s="41">
        <v>2.7099999999999999E-2</v>
      </c>
      <c r="AM234" s="41">
        <f t="shared" si="35"/>
        <v>-3.1000000000000021E-3</v>
      </c>
      <c r="AN234" s="67"/>
      <c r="AO234" s="75">
        <v>39873</v>
      </c>
      <c r="AP234" s="76">
        <v>708387.25</v>
      </c>
      <c r="AQ234" s="80">
        <f t="shared" si="7"/>
        <v>5.9250392014651432E-3</v>
      </c>
      <c r="AR234" s="67"/>
      <c r="AS234" s="94">
        <v>39873</v>
      </c>
      <c r="AT234" s="78">
        <v>0.82125000000000004</v>
      </c>
      <c r="AU234" s="67"/>
      <c r="AV234" s="79">
        <v>39873</v>
      </c>
      <c r="AW234" s="76">
        <v>336642.5</v>
      </c>
      <c r="AX234" s="80">
        <f t="shared" si="8"/>
        <v>1.2298048956143059E-2</v>
      </c>
      <c r="AY234" s="67"/>
      <c r="AZ234" s="81">
        <v>39873</v>
      </c>
      <c r="BA234" s="82">
        <v>72.644622802734375</v>
      </c>
      <c r="BB234" s="82">
        <v>69.177108764648438</v>
      </c>
      <c r="BC234" s="67"/>
      <c r="BD234" s="83">
        <v>39887</v>
      </c>
      <c r="BE234" s="42">
        <v>5219</v>
      </c>
      <c r="BF234" s="41">
        <f t="shared" si="9"/>
        <v>-3.8175224279443087E-3</v>
      </c>
      <c r="BG234" s="67"/>
      <c r="BH234" s="84">
        <v>39873</v>
      </c>
      <c r="BI234" s="85">
        <v>86.652799999999999</v>
      </c>
      <c r="BJ234" s="87">
        <f t="shared" si="10"/>
        <v>-1.5655848507912018E-2</v>
      </c>
      <c r="BK234" s="67"/>
      <c r="BL234" s="84">
        <v>39873</v>
      </c>
      <c r="BM234" s="86">
        <v>21.301442000000002</v>
      </c>
      <c r="BN234" s="67"/>
      <c r="BO234" s="88">
        <v>39873</v>
      </c>
      <c r="BP234" s="89">
        <v>1.849</v>
      </c>
      <c r="BQ234" s="89">
        <v>1.5495000000000001</v>
      </c>
      <c r="BR234" s="90">
        <f t="shared" si="5"/>
        <v>0.19328815747015149</v>
      </c>
    </row>
    <row r="235" spans="1:70">
      <c r="A235" s="62">
        <v>39904</v>
      </c>
      <c r="B235" s="63">
        <v>39904</v>
      </c>
      <c r="C235" s="39">
        <v>51.12</v>
      </c>
      <c r="D235" s="64">
        <v>48.96</v>
      </c>
      <c r="E235" s="40">
        <f t="shared" si="29"/>
        <v>4.4117647058823373E-2</v>
      </c>
      <c r="F235" s="65"/>
      <c r="G235" s="63">
        <v>39904</v>
      </c>
      <c r="H235" s="39">
        <v>36.5</v>
      </c>
      <c r="I235" s="39">
        <v>45.42</v>
      </c>
      <c r="J235" s="40">
        <f t="shared" si="34"/>
        <v>-0.19638925583443423</v>
      </c>
      <c r="K235" s="67"/>
      <c r="L235" s="68">
        <v>39904</v>
      </c>
      <c r="M235" s="69">
        <v>872.8</v>
      </c>
      <c r="N235" s="69">
        <v>793.6</v>
      </c>
      <c r="O235" s="70">
        <f t="shared" si="30"/>
        <v>9.9798387096774022E-2</v>
      </c>
      <c r="P235" s="67"/>
      <c r="Q235" s="38">
        <v>39904</v>
      </c>
      <c r="R235" s="39">
        <v>3.3730000000000002</v>
      </c>
      <c r="S235" s="39">
        <v>3.7909999999999999</v>
      </c>
      <c r="T235" s="40">
        <f t="shared" si="36"/>
        <v>-0.11026114481667104</v>
      </c>
      <c r="U235" s="67"/>
      <c r="V235" s="38">
        <v>39904</v>
      </c>
      <c r="W235" s="39">
        <v>1.3368</v>
      </c>
      <c r="X235" s="39">
        <v>1.38</v>
      </c>
      <c r="Y235" s="40">
        <f t="shared" si="31"/>
        <v>-3.1304347826086931E-2</v>
      </c>
      <c r="Z235" s="67"/>
      <c r="AA235" s="71">
        <v>39904</v>
      </c>
      <c r="AB235" s="72">
        <v>891.2</v>
      </c>
      <c r="AC235" s="72">
        <v>920</v>
      </c>
      <c r="AD235" s="73">
        <f t="shared" si="32"/>
        <v>-3.1304347826086931E-2</v>
      </c>
      <c r="AE235" s="67"/>
      <c r="AF235" s="71">
        <v>39904</v>
      </c>
      <c r="AG235" s="72">
        <v>84.82</v>
      </c>
      <c r="AH235" s="72">
        <v>85.53</v>
      </c>
      <c r="AI235" s="73">
        <f t="shared" si="33"/>
        <v>-8.3011808722086577E-3</v>
      </c>
      <c r="AJ235" s="67"/>
      <c r="AK235" s="74">
        <v>39933</v>
      </c>
      <c r="AL235" s="41">
        <v>3.1600000000000003E-2</v>
      </c>
      <c r="AM235" s="41">
        <f t="shared" si="35"/>
        <v>4.500000000000004E-3</v>
      </c>
      <c r="AN235" s="67"/>
      <c r="AO235" s="75">
        <v>39904</v>
      </c>
      <c r="AP235" s="76">
        <v>714789.5</v>
      </c>
      <c r="AQ235" s="80">
        <f t="shared" si="7"/>
        <v>9.0377826534850936E-3</v>
      </c>
      <c r="AR235" s="67"/>
      <c r="AS235" s="94">
        <v>39904</v>
      </c>
      <c r="AT235" s="78">
        <v>0.82074999999999998</v>
      </c>
      <c r="AU235" s="67"/>
      <c r="AV235" s="79">
        <v>39904</v>
      </c>
      <c r="AW235" s="76">
        <v>349523</v>
      </c>
      <c r="AX235" s="80">
        <f t="shared" si="8"/>
        <v>3.8261657396199134E-2</v>
      </c>
      <c r="AY235" s="67"/>
      <c r="AZ235" s="81">
        <v>39904</v>
      </c>
      <c r="BA235" s="82">
        <v>85.688499450683594</v>
      </c>
      <c r="BB235" s="82">
        <v>84.485366821289063</v>
      </c>
      <c r="BC235" s="67"/>
      <c r="BD235" s="83">
        <v>39918</v>
      </c>
      <c r="BE235" s="42">
        <v>5278</v>
      </c>
      <c r="BF235" s="41">
        <f t="shared" si="9"/>
        <v>1.130484767196771E-2</v>
      </c>
      <c r="BG235" s="67"/>
      <c r="BH235" s="84">
        <v>39904</v>
      </c>
      <c r="BI235" s="85">
        <v>85.934399999999997</v>
      </c>
      <c r="BJ235" s="87">
        <f t="shared" si="10"/>
        <v>-8.2905572583921172E-3</v>
      </c>
      <c r="BK235" s="67"/>
      <c r="BL235" s="84">
        <v>39904</v>
      </c>
      <c r="BM235" s="86">
        <v>4.7972994</v>
      </c>
      <c r="BN235" s="67"/>
      <c r="BO235" s="88">
        <v>39904</v>
      </c>
      <c r="BP235" s="89">
        <v>2.0474999999999999</v>
      </c>
      <c r="BQ235" s="89">
        <v>1.84</v>
      </c>
      <c r="BR235" s="90">
        <f t="shared" si="5"/>
        <v>0.11277173913043459</v>
      </c>
    </row>
    <row r="236" spans="1:70">
      <c r="A236" s="62">
        <v>39934</v>
      </c>
      <c r="B236" s="63">
        <v>39934</v>
      </c>
      <c r="C236" s="39">
        <v>66.31</v>
      </c>
      <c r="D236" s="64">
        <v>50.95</v>
      </c>
      <c r="E236" s="40">
        <f t="shared" si="29"/>
        <v>0.30147203140333656</v>
      </c>
      <c r="F236" s="65"/>
      <c r="G236" s="63">
        <v>39934</v>
      </c>
      <c r="H236" s="39">
        <v>28.92</v>
      </c>
      <c r="I236" s="39">
        <v>36.5</v>
      </c>
      <c r="J236" s="40">
        <f t="shared" si="34"/>
        <v>-0.2076712328767123</v>
      </c>
      <c r="K236" s="67"/>
      <c r="L236" s="68">
        <v>39934</v>
      </c>
      <c r="M236" s="69">
        <v>919.1</v>
      </c>
      <c r="N236" s="69">
        <v>872.7</v>
      </c>
      <c r="O236" s="70">
        <f t="shared" si="30"/>
        <v>5.3168328176922186E-2</v>
      </c>
      <c r="P236" s="67"/>
      <c r="Q236" s="38">
        <v>39934</v>
      </c>
      <c r="R236" s="39">
        <v>3.835</v>
      </c>
      <c r="S236" s="39">
        <v>3.3929999999999998</v>
      </c>
      <c r="T236" s="40">
        <f t="shared" si="36"/>
        <v>0.13026819923371646</v>
      </c>
      <c r="U236" s="67"/>
      <c r="V236" s="38">
        <v>39934</v>
      </c>
      <c r="W236" s="39">
        <v>1.6776</v>
      </c>
      <c r="X236" s="39">
        <v>1.3596999999999999</v>
      </c>
      <c r="Y236" s="40">
        <f t="shared" si="31"/>
        <v>0.2338015738765904</v>
      </c>
      <c r="Z236" s="67"/>
      <c r="AA236" s="71">
        <v>39934</v>
      </c>
      <c r="AB236" s="72">
        <v>980.3</v>
      </c>
      <c r="AC236" s="72">
        <v>888.9</v>
      </c>
      <c r="AD236" s="73">
        <f t="shared" si="32"/>
        <v>0.10282371470356622</v>
      </c>
      <c r="AE236" s="67"/>
      <c r="AF236" s="71">
        <v>39934</v>
      </c>
      <c r="AG236" s="72">
        <v>79.23</v>
      </c>
      <c r="AH236" s="72">
        <v>84.72</v>
      </c>
      <c r="AI236" s="73">
        <f t="shared" si="33"/>
        <v>-6.480169971671379E-2</v>
      </c>
      <c r="AJ236" s="67"/>
      <c r="AK236" s="74">
        <v>39964</v>
      </c>
      <c r="AL236" s="41">
        <v>3.4700000000000002E-2</v>
      </c>
      <c r="AM236" s="41">
        <f t="shared" si="35"/>
        <v>3.0999999999999986E-3</v>
      </c>
      <c r="AN236" s="67"/>
      <c r="AO236" s="92">
        <v>39934</v>
      </c>
      <c r="AP236" s="76">
        <v>720395.2</v>
      </c>
      <c r="AQ236" s="80">
        <f t="shared" si="7"/>
        <v>7.8424487209169946E-3</v>
      </c>
      <c r="AR236" s="67"/>
      <c r="AS236" s="97">
        <v>39934</v>
      </c>
      <c r="AT236" s="78">
        <v>0.84439999999999993</v>
      </c>
      <c r="AU236" s="67"/>
      <c r="AV236" s="93">
        <v>39934</v>
      </c>
      <c r="AW236" s="76">
        <v>350304.8</v>
      </c>
      <c r="AX236" s="80">
        <f t="shared" si="8"/>
        <v>2.2367626737009871E-3</v>
      </c>
      <c r="AY236" s="67"/>
      <c r="AZ236" s="81">
        <v>39934</v>
      </c>
      <c r="BA236" s="82">
        <v>89.680862426757813</v>
      </c>
      <c r="BB236" s="82">
        <v>86.63702392578125</v>
      </c>
      <c r="BC236" s="67"/>
      <c r="BD236" s="83">
        <v>39948</v>
      </c>
      <c r="BE236" s="42">
        <v>5377</v>
      </c>
      <c r="BF236" s="41">
        <f t="shared" si="9"/>
        <v>1.8757104964001625E-2</v>
      </c>
      <c r="BG236" s="67"/>
      <c r="BH236" s="84">
        <v>39934</v>
      </c>
      <c r="BI236" s="85">
        <v>85.066500000000005</v>
      </c>
      <c r="BJ236" s="87">
        <f t="shared" si="10"/>
        <v>-1.0099564318829191E-2</v>
      </c>
      <c r="BK236" s="67"/>
      <c r="BL236" s="84">
        <v>39934</v>
      </c>
      <c r="BM236" s="86">
        <v>47.412534000000001</v>
      </c>
      <c r="BN236" s="67"/>
      <c r="BO236" s="88">
        <v>39934</v>
      </c>
      <c r="BP236" s="89">
        <v>2.1995</v>
      </c>
      <c r="BQ236" s="89">
        <v>2.0415000000000001</v>
      </c>
      <c r="BR236" s="90">
        <f t="shared" si="5"/>
        <v>7.7394072985549789E-2</v>
      </c>
    </row>
    <row r="237" spans="1:70">
      <c r="A237" s="62">
        <v>39965</v>
      </c>
      <c r="B237" s="63">
        <v>39965</v>
      </c>
      <c r="C237" s="39">
        <v>69.89</v>
      </c>
      <c r="D237" s="64">
        <v>66.48</v>
      </c>
      <c r="E237" s="40">
        <f t="shared" si="29"/>
        <v>5.1293622141997508E-2</v>
      </c>
      <c r="F237" s="65"/>
      <c r="G237" s="63">
        <v>39965</v>
      </c>
      <c r="H237" s="39">
        <v>26.35</v>
      </c>
      <c r="I237" s="39">
        <v>28.7</v>
      </c>
      <c r="J237" s="40">
        <f t="shared" si="34"/>
        <v>-8.1881533101045179E-2</v>
      </c>
      <c r="K237" s="67"/>
      <c r="L237" s="68">
        <v>39965</v>
      </c>
      <c r="M237" s="69">
        <v>919.3</v>
      </c>
      <c r="N237" s="69">
        <v>923.3</v>
      </c>
      <c r="O237" s="70">
        <f t="shared" si="30"/>
        <v>-4.3322863641286347E-3</v>
      </c>
      <c r="P237" s="67"/>
      <c r="Q237" s="38">
        <v>39965</v>
      </c>
      <c r="R237" s="39">
        <v>3.835</v>
      </c>
      <c r="S237" s="39">
        <v>3.8690000000000002</v>
      </c>
      <c r="T237" s="40">
        <f t="shared" si="36"/>
        <v>-8.7878004652365282E-3</v>
      </c>
      <c r="U237" s="67"/>
      <c r="V237" s="38">
        <v>39965</v>
      </c>
      <c r="W237" s="39">
        <v>1.7877000000000001</v>
      </c>
      <c r="X237" s="39">
        <v>1.7171000000000001</v>
      </c>
      <c r="Y237" s="40">
        <f t="shared" si="31"/>
        <v>4.1115834837808007E-2</v>
      </c>
      <c r="Z237" s="67"/>
      <c r="AA237" s="71">
        <v>39965</v>
      </c>
      <c r="AB237" s="72">
        <v>927.4</v>
      </c>
      <c r="AC237" s="72">
        <v>981</v>
      </c>
      <c r="AD237" s="73">
        <f t="shared" si="32"/>
        <v>-5.4638124362895057E-2</v>
      </c>
      <c r="AE237" s="67"/>
      <c r="AF237" s="71">
        <v>39965</v>
      </c>
      <c r="AG237" s="72">
        <v>80.16</v>
      </c>
      <c r="AH237" s="72">
        <v>79.349999999999994</v>
      </c>
      <c r="AI237" s="73">
        <f t="shared" si="33"/>
        <v>1.0207939508506625E-2</v>
      </c>
      <c r="AJ237" s="67"/>
      <c r="AK237" s="74">
        <v>39994</v>
      </c>
      <c r="AL237" s="41">
        <v>3.5299999999999998E-2</v>
      </c>
      <c r="AM237" s="41">
        <f t="shared" si="35"/>
        <v>5.9999999999999637E-4</v>
      </c>
      <c r="AN237" s="67"/>
      <c r="AO237" s="75">
        <v>39965</v>
      </c>
      <c r="AP237" s="76">
        <v>722546</v>
      </c>
      <c r="AQ237" s="80">
        <f t="shared" si="7"/>
        <v>2.9855834686294269E-3</v>
      </c>
      <c r="AR237" s="67"/>
      <c r="AS237" s="94">
        <v>39965</v>
      </c>
      <c r="AT237" s="78">
        <v>0.86474999999999991</v>
      </c>
      <c r="AU237" s="67"/>
      <c r="AV237" s="79">
        <v>39965</v>
      </c>
      <c r="AW237" s="76">
        <v>337431.5</v>
      </c>
      <c r="AX237" s="80">
        <f t="shared" si="8"/>
        <v>-3.6748854140736809E-2</v>
      </c>
      <c r="AY237" s="67"/>
      <c r="AZ237" s="81">
        <v>39965</v>
      </c>
      <c r="BA237" s="82">
        <v>81.109588623046875</v>
      </c>
      <c r="BB237" s="82">
        <v>80.800819396972656</v>
      </c>
      <c r="BC237" s="67"/>
      <c r="BD237" s="83">
        <v>39979</v>
      </c>
      <c r="BE237" s="42">
        <v>5269</v>
      </c>
      <c r="BF237" s="41">
        <f t="shared" si="9"/>
        <v>-2.0085549562953275E-2</v>
      </c>
      <c r="BG237" s="67"/>
      <c r="BH237" s="84">
        <v>39965</v>
      </c>
      <c r="BI237" s="85">
        <v>84.745900000000006</v>
      </c>
      <c r="BJ237" s="87">
        <f t="shared" si="10"/>
        <v>-3.7688161614736204E-3</v>
      </c>
      <c r="BK237" s="67"/>
      <c r="BL237" s="84">
        <v>39965</v>
      </c>
      <c r="BM237" s="86">
        <v>87.640504000000007</v>
      </c>
      <c r="BN237" s="67"/>
      <c r="BO237" s="88">
        <v>39965</v>
      </c>
      <c r="BP237" s="89">
        <v>2.2719999999999998</v>
      </c>
      <c r="BQ237" s="89">
        <v>2.1909999999999998</v>
      </c>
      <c r="BR237" s="90">
        <f t="shared" si="5"/>
        <v>3.6969420356001814E-2</v>
      </c>
    </row>
    <row r="238" spans="1:70">
      <c r="A238" s="62">
        <v>39995</v>
      </c>
      <c r="B238" s="63">
        <v>39995</v>
      </c>
      <c r="C238" s="39">
        <v>69.45</v>
      </c>
      <c r="D238" s="64">
        <v>70.45</v>
      </c>
      <c r="E238" s="40">
        <f t="shared" si="29"/>
        <v>-1.419446415897796E-2</v>
      </c>
      <c r="F238" s="65"/>
      <c r="G238" s="63">
        <v>39995</v>
      </c>
      <c r="H238" s="39">
        <v>25.92</v>
      </c>
      <c r="I238" s="39">
        <v>25.73</v>
      </c>
      <c r="J238" s="40">
        <f t="shared" si="34"/>
        <v>7.3843762145355818E-3</v>
      </c>
      <c r="K238" s="67"/>
      <c r="L238" s="68">
        <v>39995</v>
      </c>
      <c r="M238" s="69">
        <v>987.5</v>
      </c>
      <c r="N238" s="69">
        <v>920.8</v>
      </c>
      <c r="O238" s="70">
        <f t="shared" si="30"/>
        <v>7.243701129452651E-2</v>
      </c>
      <c r="P238" s="67"/>
      <c r="Q238" s="38">
        <v>39995</v>
      </c>
      <c r="R238" s="39">
        <v>3.653</v>
      </c>
      <c r="S238" s="39">
        <v>3.8490000000000002</v>
      </c>
      <c r="T238" s="40">
        <f t="shared" si="36"/>
        <v>-5.0922317485061153E-2</v>
      </c>
      <c r="U238" s="67"/>
      <c r="V238" s="38">
        <v>39995</v>
      </c>
      <c r="W238" s="39">
        <v>1.8325</v>
      </c>
      <c r="X238" s="39">
        <v>1.849</v>
      </c>
      <c r="Y238" s="40">
        <f t="shared" si="31"/>
        <v>-8.9237425635478873E-3</v>
      </c>
      <c r="Z238" s="67"/>
      <c r="AA238" s="71">
        <v>39995</v>
      </c>
      <c r="AB238" s="72">
        <v>955.8</v>
      </c>
      <c r="AC238" s="72">
        <v>926.1</v>
      </c>
      <c r="AD238" s="73">
        <f t="shared" si="32"/>
        <v>3.2069970845481022E-2</v>
      </c>
      <c r="AE238" s="67"/>
      <c r="AF238" s="71">
        <v>39995</v>
      </c>
      <c r="AG238" s="72">
        <v>78.349999999999994</v>
      </c>
      <c r="AH238" s="72">
        <v>80.12</v>
      </c>
      <c r="AI238" s="73">
        <f t="shared" si="33"/>
        <v>-2.2091862206690127E-2</v>
      </c>
      <c r="AJ238" s="67"/>
      <c r="AK238" s="74">
        <v>40025</v>
      </c>
      <c r="AL238" s="41">
        <v>3.5200000000000002E-2</v>
      </c>
      <c r="AM238" s="41">
        <f t="shared" si="35"/>
        <v>-9.9999999999995925E-5</v>
      </c>
      <c r="AN238" s="67"/>
      <c r="AO238" s="75">
        <v>39995</v>
      </c>
      <c r="AP238" s="76">
        <v>723961</v>
      </c>
      <c r="AQ238" s="80">
        <f t="shared" si="7"/>
        <v>1.958352824595222E-3</v>
      </c>
      <c r="AR238" s="67"/>
      <c r="AS238" s="94">
        <v>39995</v>
      </c>
      <c r="AT238" s="78">
        <v>0.85919999999999996</v>
      </c>
      <c r="AU238" s="67"/>
      <c r="AV238" s="79">
        <v>39995</v>
      </c>
      <c r="AW238" s="76">
        <v>328149.8</v>
      </c>
      <c r="AX238" s="80">
        <f t="shared" si="8"/>
        <v>-2.7506916218551059E-2</v>
      </c>
      <c r="AY238" s="67"/>
      <c r="AZ238" s="81">
        <v>39995</v>
      </c>
      <c r="BA238" s="82">
        <v>83.439620971679688</v>
      </c>
      <c r="BB238" s="82">
        <v>82.10675048828125</v>
      </c>
      <c r="BC238" s="67"/>
      <c r="BD238" s="83">
        <v>40009</v>
      </c>
      <c r="BE238" s="42">
        <v>5398</v>
      </c>
      <c r="BF238" s="41">
        <f t="shared" si="9"/>
        <v>2.4482824065287456E-2</v>
      </c>
      <c r="BG238" s="67"/>
      <c r="BH238" s="84">
        <v>39995</v>
      </c>
      <c r="BI238" s="85">
        <v>85.702699999999993</v>
      </c>
      <c r="BJ238" s="87">
        <f t="shared" si="10"/>
        <v>1.1290221709840731E-2</v>
      </c>
      <c r="BK238" s="67"/>
      <c r="BL238" s="84">
        <v>39995</v>
      </c>
      <c r="BM238" s="86">
        <v>74.987730999999997</v>
      </c>
      <c r="BN238" s="67"/>
      <c r="BO238" s="88">
        <v>39995</v>
      </c>
      <c r="BP238" s="89">
        <v>2.6244999999999998</v>
      </c>
      <c r="BQ238" s="89">
        <v>2.274</v>
      </c>
      <c r="BR238" s="90">
        <f t="shared" si="5"/>
        <v>0.15413368513632353</v>
      </c>
    </row>
    <row r="239" spans="1:70">
      <c r="A239" s="62">
        <v>40026</v>
      </c>
      <c r="B239" s="63">
        <v>40026</v>
      </c>
      <c r="C239" s="39">
        <v>69.959999999999994</v>
      </c>
      <c r="D239" s="64">
        <v>69.3</v>
      </c>
      <c r="E239" s="40">
        <f t="shared" si="29"/>
        <v>9.52380952380949E-3</v>
      </c>
      <c r="F239" s="65"/>
      <c r="G239" s="63">
        <v>40026</v>
      </c>
      <c r="H239" s="39">
        <v>26.01</v>
      </c>
      <c r="I239" s="39">
        <v>25.92</v>
      </c>
      <c r="J239" s="40">
        <f t="shared" si="34"/>
        <v>3.4722222222223209E-3</v>
      </c>
      <c r="K239" s="67"/>
      <c r="L239" s="68">
        <v>40026</v>
      </c>
      <c r="M239" s="98">
        <v>1020.6</v>
      </c>
      <c r="N239" s="98">
        <v>990.2</v>
      </c>
      <c r="O239" s="70">
        <f t="shared" si="30"/>
        <v>3.070086851141185E-2</v>
      </c>
      <c r="P239" s="67"/>
      <c r="Q239" s="38">
        <v>40026</v>
      </c>
      <c r="R239" s="39">
        <v>2.9769999999999999</v>
      </c>
      <c r="S239" s="39">
        <v>3.6320000000000001</v>
      </c>
      <c r="T239" s="40">
        <f t="shared" si="36"/>
        <v>-0.18034140969163004</v>
      </c>
      <c r="U239" s="67"/>
      <c r="V239" s="38">
        <v>40026</v>
      </c>
      <c r="W239" s="39">
        <v>1.8085</v>
      </c>
      <c r="X239" s="39">
        <v>1.8740000000000001</v>
      </c>
      <c r="Y239" s="40">
        <f t="shared" si="31"/>
        <v>-3.4951974386339457E-2</v>
      </c>
      <c r="Z239" s="67"/>
      <c r="AA239" s="71">
        <v>40026</v>
      </c>
      <c r="AB239" s="72">
        <v>953.5</v>
      </c>
      <c r="AC239" s="72">
        <v>954.5</v>
      </c>
      <c r="AD239" s="73">
        <f t="shared" si="32"/>
        <v>-1.0476689366160086E-3</v>
      </c>
      <c r="AE239" s="67"/>
      <c r="AF239" s="71">
        <v>40026</v>
      </c>
      <c r="AG239" s="72">
        <v>78.17</v>
      </c>
      <c r="AH239" s="72">
        <v>78.25</v>
      </c>
      <c r="AI239" s="73">
        <f t="shared" si="33"/>
        <v>-1.0223642172523251E-3</v>
      </c>
      <c r="AJ239" s="67"/>
      <c r="AK239" s="74">
        <v>40056</v>
      </c>
      <c r="AL239" s="41">
        <v>3.4000000000000002E-2</v>
      </c>
      <c r="AM239" s="41">
        <f t="shared" si="35"/>
        <v>-1.1999999999999997E-3</v>
      </c>
      <c r="AN239" s="67"/>
      <c r="AO239" s="75">
        <v>40026</v>
      </c>
      <c r="AP239" s="76">
        <v>724093</v>
      </c>
      <c r="AQ239" s="80">
        <f t="shared" si="7"/>
        <v>1.823302636467794E-4</v>
      </c>
      <c r="AR239" s="67"/>
      <c r="AS239" s="94">
        <v>40026</v>
      </c>
      <c r="AT239" s="78">
        <v>0.84699999999999998</v>
      </c>
      <c r="AU239" s="67"/>
      <c r="AV239" s="79">
        <v>40026</v>
      </c>
      <c r="AW239" s="76">
        <v>327665.25</v>
      </c>
      <c r="AX239" s="80">
        <f t="shared" si="8"/>
        <v>-1.4766122057670028E-3</v>
      </c>
      <c r="AY239" s="67"/>
      <c r="AZ239" s="81">
        <v>40026</v>
      </c>
      <c r="BA239" s="82">
        <v>73.371879577636719</v>
      </c>
      <c r="BB239" s="82">
        <v>64.709175109863281</v>
      </c>
      <c r="BC239" s="67"/>
      <c r="BD239" s="83">
        <v>40040</v>
      </c>
      <c r="BE239" s="42">
        <v>5418</v>
      </c>
      <c r="BF239" s="41">
        <f t="shared" si="9"/>
        <v>3.7050759540571132E-3</v>
      </c>
      <c r="BG239" s="67"/>
      <c r="BH239" s="84">
        <v>40026</v>
      </c>
      <c r="BI239" s="85">
        <v>86.642600000000002</v>
      </c>
      <c r="BJ239" s="87">
        <f t="shared" si="10"/>
        <v>1.0966982370450573E-2</v>
      </c>
      <c r="BK239" s="67"/>
      <c r="BL239" s="84">
        <v>40026</v>
      </c>
      <c r="BM239" s="86">
        <v>52.335282999999997</v>
      </c>
      <c r="BN239" s="67"/>
      <c r="BO239" s="88">
        <v>40026</v>
      </c>
      <c r="BP239" s="89">
        <v>2.8210000000000002</v>
      </c>
      <c r="BQ239" s="89">
        <v>2.7160000000000002</v>
      </c>
      <c r="BR239" s="90">
        <f t="shared" si="5"/>
        <v>3.8659793814433074E-2</v>
      </c>
    </row>
    <row r="240" spans="1:70">
      <c r="A240" s="62">
        <v>40057</v>
      </c>
      <c r="B240" s="63">
        <v>40057</v>
      </c>
      <c r="C240" s="39">
        <v>70.61</v>
      </c>
      <c r="D240" s="64">
        <v>69.849999999999994</v>
      </c>
      <c r="E240" s="40">
        <f t="shared" si="29"/>
        <v>1.0880458124552739E-2</v>
      </c>
      <c r="F240" s="65"/>
      <c r="G240" s="63">
        <v>40057</v>
      </c>
      <c r="H240" s="39">
        <v>25.61</v>
      </c>
      <c r="I240" s="39">
        <v>26.01</v>
      </c>
      <c r="J240" s="40">
        <f t="shared" si="34"/>
        <v>-1.5378700499807829E-2</v>
      </c>
      <c r="K240" s="67"/>
      <c r="L240" s="68">
        <v>40057</v>
      </c>
      <c r="M240" s="98">
        <v>1057.0999999999999</v>
      </c>
      <c r="N240" s="98">
        <v>1019.5</v>
      </c>
      <c r="O240" s="70">
        <f t="shared" si="30"/>
        <v>3.6880823933300499E-2</v>
      </c>
      <c r="P240" s="67"/>
      <c r="Q240" s="38">
        <v>40057</v>
      </c>
      <c r="R240" s="39">
        <v>4.8410000000000002</v>
      </c>
      <c r="S240" s="39">
        <v>2.984</v>
      </c>
      <c r="T240" s="40">
        <f t="shared" si="36"/>
        <v>0.62231903485254692</v>
      </c>
      <c r="U240" s="67"/>
      <c r="V240" s="38">
        <v>40057</v>
      </c>
      <c r="W240" s="39">
        <v>1.8324</v>
      </c>
      <c r="X240" s="39">
        <v>1.835</v>
      </c>
      <c r="Y240" s="40">
        <f t="shared" si="31"/>
        <v>-1.4168937329699371E-3</v>
      </c>
      <c r="Z240" s="67"/>
      <c r="AA240" s="71">
        <v>40057</v>
      </c>
      <c r="AB240" s="99">
        <v>1009.3</v>
      </c>
      <c r="AC240" s="72">
        <v>952</v>
      </c>
      <c r="AD240" s="73">
        <f t="shared" si="32"/>
        <v>6.0189075630252109E-2</v>
      </c>
      <c r="AE240" s="67"/>
      <c r="AF240" s="71">
        <v>40057</v>
      </c>
      <c r="AG240" s="72">
        <v>76.650000000000006</v>
      </c>
      <c r="AH240" s="72">
        <v>78.11</v>
      </c>
      <c r="AI240" s="73">
        <f t="shared" si="33"/>
        <v>-1.869158878504662E-2</v>
      </c>
      <c r="AJ240" s="67"/>
      <c r="AK240" s="74">
        <v>40086</v>
      </c>
      <c r="AL240" s="41">
        <v>3.3099999999999997E-2</v>
      </c>
      <c r="AM240" s="41">
        <f t="shared" si="35"/>
        <v>-9.0000000000000496E-4</v>
      </c>
      <c r="AN240" s="67"/>
      <c r="AO240" s="75">
        <v>40057</v>
      </c>
      <c r="AP240" s="76">
        <v>724714.75</v>
      </c>
      <c r="AQ240" s="80">
        <f t="shared" si="7"/>
        <v>8.5866042069171478E-4</v>
      </c>
      <c r="AR240" s="67"/>
      <c r="AS240" s="94">
        <v>40057</v>
      </c>
      <c r="AT240" s="78">
        <v>0.86075000000000002</v>
      </c>
      <c r="AU240" s="67"/>
      <c r="AV240" s="79">
        <v>40057</v>
      </c>
      <c r="AW240" s="76">
        <v>318124.75</v>
      </c>
      <c r="AX240" s="80">
        <f t="shared" si="8"/>
        <v>-2.9116606048398497E-2</v>
      </c>
      <c r="AY240" s="67"/>
      <c r="AZ240" s="81">
        <v>40057</v>
      </c>
      <c r="BA240" s="82">
        <v>92.839988708496094</v>
      </c>
      <c r="BB240" s="82">
        <v>97.492919921875</v>
      </c>
      <c r="BC240" s="67"/>
      <c r="BD240" s="83">
        <v>40071</v>
      </c>
      <c r="BE240" s="42">
        <v>5559</v>
      </c>
      <c r="BF240" s="41">
        <f t="shared" si="9"/>
        <v>2.6024363233665637E-2</v>
      </c>
      <c r="BG240" s="67"/>
      <c r="BH240" s="84">
        <v>40057</v>
      </c>
      <c r="BI240" s="85">
        <v>87.406300000000002</v>
      </c>
      <c r="BJ240" s="87">
        <f t="shared" si="10"/>
        <v>8.8143707598802301E-3</v>
      </c>
      <c r="BK240" s="67"/>
      <c r="BL240" s="84">
        <v>40057</v>
      </c>
      <c r="BM240" s="86">
        <v>39.025753000000002</v>
      </c>
      <c r="BN240" s="67"/>
      <c r="BO240" s="88">
        <v>40057</v>
      </c>
      <c r="BP240" s="89">
        <v>2.819</v>
      </c>
      <c r="BQ240" s="89">
        <v>2.883</v>
      </c>
      <c r="BR240" s="90">
        <f t="shared" si="5"/>
        <v>-2.2199098161637232E-2</v>
      </c>
    </row>
    <row r="241" spans="1:70">
      <c r="A241" s="62">
        <v>40087</v>
      </c>
      <c r="B241" s="63">
        <v>40087</v>
      </c>
      <c r="C241" s="39">
        <v>77</v>
      </c>
      <c r="D241" s="64">
        <v>70.400000000000006</v>
      </c>
      <c r="E241" s="40">
        <f t="shared" si="29"/>
        <v>9.375E-2</v>
      </c>
      <c r="F241" s="65"/>
      <c r="G241" s="63">
        <v>40087</v>
      </c>
      <c r="H241" s="39">
        <v>30.69</v>
      </c>
      <c r="I241" s="39">
        <v>25.98</v>
      </c>
      <c r="J241" s="40">
        <f t="shared" si="34"/>
        <v>0.18129330254041576</v>
      </c>
      <c r="K241" s="67"/>
      <c r="L241" s="68">
        <v>40087</v>
      </c>
      <c r="M241" s="98">
        <v>1036.2</v>
      </c>
      <c r="N241" s="98">
        <v>1054.9000000000001</v>
      </c>
      <c r="O241" s="70">
        <f t="shared" si="30"/>
        <v>-1.7726798748696648E-2</v>
      </c>
      <c r="P241" s="67"/>
      <c r="Q241" s="38">
        <v>40087</v>
      </c>
      <c r="R241" s="39">
        <v>5.0449999999999999</v>
      </c>
      <c r="S241" s="39">
        <v>4.8250000000000002</v>
      </c>
      <c r="T241" s="40">
        <f t="shared" si="36"/>
        <v>4.5595854922279688E-2</v>
      </c>
      <c r="U241" s="67"/>
      <c r="V241" s="38">
        <v>40087</v>
      </c>
      <c r="W241" s="39">
        <v>2.0051999999999999</v>
      </c>
      <c r="X241" s="39">
        <v>1.8509</v>
      </c>
      <c r="Y241" s="40">
        <f t="shared" si="31"/>
        <v>8.3364849532659768E-2</v>
      </c>
      <c r="Z241" s="67"/>
      <c r="AA241" s="71">
        <v>40087</v>
      </c>
      <c r="AB241" s="99">
        <v>1040.4000000000001</v>
      </c>
      <c r="AC241" s="99">
        <v>1008.3</v>
      </c>
      <c r="AD241" s="73">
        <f t="shared" si="32"/>
        <v>3.1835763165724673E-2</v>
      </c>
      <c r="AE241" s="67"/>
      <c r="AF241" s="71">
        <v>40087</v>
      </c>
      <c r="AG241" s="72">
        <v>76.3</v>
      </c>
      <c r="AH241" s="72">
        <v>76.650000000000006</v>
      </c>
      <c r="AI241" s="73">
        <f t="shared" si="33"/>
        <v>-4.5662100456622667E-3</v>
      </c>
      <c r="AJ241" s="67"/>
      <c r="AK241" s="74">
        <v>40117</v>
      </c>
      <c r="AL241" s="41">
        <v>3.4099999999999998E-2</v>
      </c>
      <c r="AM241" s="41">
        <f t="shared" si="35"/>
        <v>1.0000000000000009E-3</v>
      </c>
      <c r="AN241" s="67"/>
      <c r="AO241" s="75">
        <v>40087</v>
      </c>
      <c r="AP241" s="76">
        <v>725084</v>
      </c>
      <c r="AQ241" s="80">
        <f t="shared" si="7"/>
        <v>5.095108109776092E-4</v>
      </c>
      <c r="AR241" s="67"/>
      <c r="AS241" s="94">
        <v>40087</v>
      </c>
      <c r="AT241" s="78">
        <v>0.81879999999999997</v>
      </c>
      <c r="AU241" s="67"/>
      <c r="AV241" s="79">
        <v>40087</v>
      </c>
      <c r="AW241" s="76">
        <v>319911.40000000002</v>
      </c>
      <c r="AX241" s="80">
        <f t="shared" si="8"/>
        <v>5.6161930186193754E-3</v>
      </c>
      <c r="AY241" s="67"/>
      <c r="AZ241" s="81">
        <v>40087</v>
      </c>
      <c r="BA241" s="82">
        <v>90.576400756835938</v>
      </c>
      <c r="BB241" s="82">
        <v>88.229911804199219</v>
      </c>
      <c r="BC241" s="67"/>
      <c r="BD241" s="83">
        <v>40101</v>
      </c>
      <c r="BE241" s="42">
        <v>5524</v>
      </c>
      <c r="BF241" s="41">
        <f t="shared" si="9"/>
        <v>-6.2960964202194436E-3</v>
      </c>
      <c r="BG241" s="67"/>
      <c r="BH241" s="84">
        <v>40087</v>
      </c>
      <c r="BI241" s="85">
        <v>87.641900000000007</v>
      </c>
      <c r="BJ241" s="87">
        <f t="shared" si="10"/>
        <v>2.6954578788944694E-3</v>
      </c>
      <c r="BK241" s="67"/>
      <c r="BL241" s="84">
        <v>40087</v>
      </c>
      <c r="BM241" s="86">
        <v>54.423831999999997</v>
      </c>
      <c r="BN241" s="67"/>
      <c r="BO241" s="88">
        <v>40087</v>
      </c>
      <c r="BP241" s="89">
        <v>2.9605000000000001</v>
      </c>
      <c r="BQ241" s="89">
        <v>2.8144999999999998</v>
      </c>
      <c r="BR241" s="90">
        <f t="shared" si="5"/>
        <v>5.1874222774915824E-2</v>
      </c>
    </row>
    <row r="242" spans="1:70">
      <c r="A242" s="62">
        <v>40118</v>
      </c>
      <c r="B242" s="63">
        <v>40118</v>
      </c>
      <c r="C242" s="39">
        <v>77.28</v>
      </c>
      <c r="D242" s="64">
        <v>77.02</v>
      </c>
      <c r="E242" s="40">
        <f t="shared" si="29"/>
        <v>3.3757465593353686E-3</v>
      </c>
      <c r="F242" s="65"/>
      <c r="G242" s="63">
        <v>40118</v>
      </c>
      <c r="H242" s="39">
        <v>24.51</v>
      </c>
      <c r="I242" s="39">
        <v>30.7</v>
      </c>
      <c r="J242" s="40">
        <f t="shared" si="34"/>
        <v>-0.20162866449511396</v>
      </c>
      <c r="K242" s="67"/>
      <c r="L242" s="68">
        <v>40118</v>
      </c>
      <c r="M242" s="98">
        <v>1095.5999999999999</v>
      </c>
      <c r="N242" s="98">
        <v>1036.2</v>
      </c>
      <c r="O242" s="70">
        <f t="shared" si="30"/>
        <v>5.7324840764330975E-2</v>
      </c>
      <c r="P242" s="67"/>
      <c r="Q242" s="38">
        <v>40118</v>
      </c>
      <c r="R242" s="39">
        <v>4.8479999999999999</v>
      </c>
      <c r="S242" s="39">
        <v>5.0339999999999998</v>
      </c>
      <c r="T242" s="40">
        <f t="shared" si="36"/>
        <v>-3.694874851013108E-2</v>
      </c>
      <c r="U242" s="67"/>
      <c r="V242" s="38">
        <v>40118</v>
      </c>
      <c r="W242" s="39">
        <v>2.0478999999999998</v>
      </c>
      <c r="X242" s="39">
        <v>2.0434999999999999</v>
      </c>
      <c r="Y242" s="40">
        <f t="shared" si="31"/>
        <v>2.1531685833129366E-3</v>
      </c>
      <c r="Z242" s="67"/>
      <c r="AA242" s="71">
        <v>40118</v>
      </c>
      <c r="AB242" s="99">
        <v>1182.3</v>
      </c>
      <c r="AC242" s="99">
        <v>1043.4000000000001</v>
      </c>
      <c r="AD242" s="73">
        <f t="shared" si="32"/>
        <v>0.13312248418631389</v>
      </c>
      <c r="AE242" s="67"/>
      <c r="AF242" s="71">
        <v>40118</v>
      </c>
      <c r="AG242" s="72">
        <v>74.78</v>
      </c>
      <c r="AH242" s="72">
        <v>76.37</v>
      </c>
      <c r="AI242" s="73">
        <f t="shared" si="33"/>
        <v>-2.081969359696223E-2</v>
      </c>
      <c r="AJ242" s="67"/>
      <c r="AK242" s="74">
        <v>40147</v>
      </c>
      <c r="AL242" s="41">
        <v>3.2099999999999997E-2</v>
      </c>
      <c r="AM242" s="41">
        <f t="shared" si="35"/>
        <v>-2.0000000000000018E-3</v>
      </c>
      <c r="AN242" s="67"/>
      <c r="AO242" s="75">
        <v>40118</v>
      </c>
      <c r="AP242" s="76">
        <v>725211.25</v>
      </c>
      <c r="AQ242" s="80">
        <f t="shared" si="7"/>
        <v>1.7549690794438355E-4</v>
      </c>
      <c r="AR242" s="67"/>
      <c r="AS242" s="94">
        <v>40118</v>
      </c>
      <c r="AT242" s="78">
        <v>0.79825000000000002</v>
      </c>
      <c r="AU242" s="67"/>
      <c r="AV242" s="79">
        <v>40118</v>
      </c>
      <c r="AW242" s="76">
        <v>319976</v>
      </c>
      <c r="AX242" s="80">
        <f t="shared" si="8"/>
        <v>2.0193090962061788E-4</v>
      </c>
      <c r="AY242" s="67"/>
      <c r="AZ242" s="81">
        <v>40118</v>
      </c>
      <c r="BA242" s="82">
        <v>82.101760864257813</v>
      </c>
      <c r="BB242" s="82">
        <v>74.315383911132813</v>
      </c>
      <c r="BC242" s="67"/>
      <c r="BD242" s="83">
        <v>40132</v>
      </c>
      <c r="BE242" s="42">
        <v>5395</v>
      </c>
      <c r="BF242" s="41">
        <f t="shared" si="9"/>
        <v>-2.3352643012309882E-2</v>
      </c>
      <c r="BG242" s="67"/>
      <c r="BH242" s="84">
        <v>40118</v>
      </c>
      <c r="BI242" s="85">
        <v>88.022099999999995</v>
      </c>
      <c r="BJ242" s="87">
        <f t="shared" si="10"/>
        <v>4.338107685935455E-3</v>
      </c>
      <c r="BK242" s="67"/>
      <c r="BL242" s="84">
        <v>40118</v>
      </c>
      <c r="BM242" s="86">
        <v>90.385819999999995</v>
      </c>
      <c r="BN242" s="67"/>
      <c r="BO242" s="88">
        <v>40118</v>
      </c>
      <c r="BP242" s="89">
        <v>3.1680000000000001</v>
      </c>
      <c r="BQ242" s="89">
        <v>2.952</v>
      </c>
      <c r="BR242" s="90">
        <f t="shared" si="5"/>
        <v>7.3170731707317138E-2</v>
      </c>
    </row>
    <row r="243" spans="1:70">
      <c r="A243" s="62">
        <v>40148</v>
      </c>
      <c r="B243" s="63">
        <v>40148</v>
      </c>
      <c r="C243" s="39">
        <v>79.36</v>
      </c>
      <c r="D243" s="64">
        <v>77.349999999999994</v>
      </c>
      <c r="E243" s="40">
        <f t="shared" si="29"/>
        <v>2.5985778926955527E-2</v>
      </c>
      <c r="F243" s="65"/>
      <c r="G243" s="63">
        <v>40148</v>
      </c>
      <c r="H243" s="39">
        <v>21.68</v>
      </c>
      <c r="I243" s="39">
        <v>24.51</v>
      </c>
      <c r="J243" s="40">
        <f t="shared" si="34"/>
        <v>-0.11546307629538966</v>
      </c>
      <c r="K243" s="67"/>
      <c r="L243" s="68">
        <v>40148</v>
      </c>
      <c r="M243" s="98">
        <v>1115.0999999999999</v>
      </c>
      <c r="N243" s="98">
        <v>1098.9000000000001</v>
      </c>
      <c r="O243" s="70">
        <f t="shared" si="30"/>
        <v>1.4742014742014531E-2</v>
      </c>
      <c r="P243" s="67"/>
      <c r="Q243" s="38">
        <v>40148</v>
      </c>
      <c r="R243" s="39">
        <v>5.5720000000000001</v>
      </c>
      <c r="S243" s="39">
        <v>4.82</v>
      </c>
      <c r="T243" s="40">
        <f t="shared" si="36"/>
        <v>0.15601659751037333</v>
      </c>
      <c r="U243" s="67"/>
      <c r="V243" s="38">
        <v>40148</v>
      </c>
      <c r="W243" s="39">
        <v>2.1156000000000001</v>
      </c>
      <c r="X243" s="39">
        <v>2.0796000000000001</v>
      </c>
      <c r="Y243" s="40">
        <f t="shared" si="31"/>
        <v>1.7311021350259637E-2</v>
      </c>
      <c r="Z243" s="67"/>
      <c r="AA243" s="71">
        <v>40148</v>
      </c>
      <c r="AB243" s="99">
        <v>1096.2</v>
      </c>
      <c r="AC243" s="99">
        <v>1181.4000000000001</v>
      </c>
      <c r="AD243" s="73">
        <f t="shared" si="32"/>
        <v>-7.2117826307770527E-2</v>
      </c>
      <c r="AE243" s="67"/>
      <c r="AF243" s="71">
        <v>40148</v>
      </c>
      <c r="AG243" s="72">
        <v>77.86</v>
      </c>
      <c r="AH243" s="72">
        <v>74.709999999999994</v>
      </c>
      <c r="AI243" s="73">
        <f t="shared" si="33"/>
        <v>4.2163030384152034E-2</v>
      </c>
      <c r="AJ243" s="67"/>
      <c r="AK243" s="74">
        <v>40178</v>
      </c>
      <c r="AL243" s="41">
        <v>3.85E-2</v>
      </c>
      <c r="AM243" s="41">
        <f t="shared" si="35"/>
        <v>6.4000000000000029E-3</v>
      </c>
      <c r="AN243" s="67"/>
      <c r="AO243" s="75">
        <v>40148</v>
      </c>
      <c r="AP243" s="76">
        <v>726128.25</v>
      </c>
      <c r="AQ243" s="80">
        <f t="shared" si="7"/>
        <v>1.264459148972108E-3</v>
      </c>
      <c r="AR243" s="67"/>
      <c r="AS243" s="94">
        <v>40148</v>
      </c>
      <c r="AT243" s="78">
        <v>0.80349999999999999</v>
      </c>
      <c r="AU243" s="67"/>
      <c r="AV243" s="79">
        <v>40148</v>
      </c>
      <c r="AW243" s="76">
        <v>312465.25</v>
      </c>
      <c r="AX243" s="80">
        <f t="shared" si="8"/>
        <v>-2.3472854214066086E-2</v>
      </c>
      <c r="AY243" s="67"/>
      <c r="AZ243" s="81">
        <v>40148</v>
      </c>
      <c r="BA243" s="82">
        <v>92.946914672851563</v>
      </c>
      <c r="BB243" s="82">
        <v>89.343345642089844</v>
      </c>
      <c r="BC243" s="67"/>
      <c r="BD243" s="83">
        <v>40162</v>
      </c>
      <c r="BE243" s="42">
        <v>5452</v>
      </c>
      <c r="BF243" s="41">
        <f t="shared" si="9"/>
        <v>1.0565338276181668E-2</v>
      </c>
      <c r="BG243" s="67"/>
      <c r="BH243" s="84">
        <v>40148</v>
      </c>
      <c r="BI243" s="85">
        <v>88.379300000000001</v>
      </c>
      <c r="BJ243" s="87">
        <f t="shared" si="10"/>
        <v>4.0580717797007448E-3</v>
      </c>
      <c r="BK243" s="67"/>
      <c r="BL243" s="84">
        <v>40148</v>
      </c>
      <c r="BM243" s="86">
        <v>80.670300999999995</v>
      </c>
      <c r="BN243" s="67"/>
      <c r="BO243" s="88">
        <v>40148</v>
      </c>
      <c r="BP243" s="89">
        <v>3.3464999999999998</v>
      </c>
      <c r="BQ243" s="89">
        <v>3.1749999999999998</v>
      </c>
      <c r="BR243" s="90">
        <f t="shared" si="5"/>
        <v>5.4015748031496003E-2</v>
      </c>
    </row>
    <row r="244" spans="1:70">
      <c r="A244" s="62">
        <v>40179</v>
      </c>
      <c r="B244" s="63">
        <v>40179</v>
      </c>
      <c r="C244" s="39">
        <v>72.89</v>
      </c>
      <c r="D244" s="64">
        <v>79.63</v>
      </c>
      <c r="E244" s="40">
        <f t="shared" si="29"/>
        <v>-8.4641466783875408E-2</v>
      </c>
      <c r="F244" s="65"/>
      <c r="G244" s="63">
        <v>40179</v>
      </c>
      <c r="H244" s="39">
        <v>24.62</v>
      </c>
      <c r="I244" s="39">
        <v>21.68</v>
      </c>
      <c r="J244" s="40">
        <f t="shared" si="34"/>
        <v>0.13560885608856088</v>
      </c>
      <c r="K244" s="67"/>
      <c r="L244" s="68">
        <v>40179</v>
      </c>
      <c r="M244" s="98">
        <v>1073.9000000000001</v>
      </c>
      <c r="N244" s="98">
        <v>1116.5999999999999</v>
      </c>
      <c r="O244" s="70">
        <f t="shared" si="30"/>
        <v>-3.8241089020239816E-2</v>
      </c>
      <c r="P244" s="67"/>
      <c r="Q244" s="38">
        <v>40179</v>
      </c>
      <c r="R244" s="39">
        <v>5.1310000000000002</v>
      </c>
      <c r="S244" s="39">
        <v>5.7050000000000001</v>
      </c>
      <c r="T244" s="40">
        <f t="shared" si="36"/>
        <v>-0.10061349693251531</v>
      </c>
      <c r="U244" s="67"/>
      <c r="V244" s="38">
        <v>40179</v>
      </c>
      <c r="W244" s="39">
        <v>1.913</v>
      </c>
      <c r="X244" s="39">
        <v>2.1379000000000001</v>
      </c>
      <c r="Y244" s="40">
        <f t="shared" si="31"/>
        <v>-0.10519668833902429</v>
      </c>
      <c r="Z244" s="67"/>
      <c r="AA244" s="71">
        <v>40179</v>
      </c>
      <c r="AB244" s="99">
        <v>1083.8</v>
      </c>
      <c r="AC244" s="99">
        <v>1099</v>
      </c>
      <c r="AD244" s="73">
        <f t="shared" si="32"/>
        <v>-1.3830755232029146E-2</v>
      </c>
      <c r="AE244" s="67"/>
      <c r="AF244" s="71">
        <v>40179</v>
      </c>
      <c r="AG244" s="72">
        <v>79.459999999999994</v>
      </c>
      <c r="AH244" s="72">
        <v>77.92</v>
      </c>
      <c r="AI244" s="73">
        <f t="shared" si="33"/>
        <v>1.9763860369609754E-2</v>
      </c>
      <c r="AJ244" s="67"/>
      <c r="AK244" s="74">
        <v>40209</v>
      </c>
      <c r="AL244" s="41">
        <v>3.6299999999999999E-2</v>
      </c>
      <c r="AM244" s="41">
        <f t="shared" si="35"/>
        <v>-2.2000000000000006E-3</v>
      </c>
      <c r="AN244" s="67"/>
      <c r="AO244" s="75">
        <v>40179</v>
      </c>
      <c r="AP244" s="76">
        <v>726615.8</v>
      </c>
      <c r="AQ244" s="80">
        <f t="shared" si="7"/>
        <v>6.7143786238865744E-4</v>
      </c>
      <c r="AR244" s="67"/>
      <c r="AS244" s="94">
        <v>40179</v>
      </c>
      <c r="AT244" s="78">
        <v>0.79159999999999997</v>
      </c>
      <c r="AU244" s="67"/>
      <c r="AV244" s="79">
        <v>40179</v>
      </c>
      <c r="AW244" s="76">
        <v>308210.8</v>
      </c>
      <c r="AX244" s="80">
        <f t="shared" si="8"/>
        <v>-1.3615754071852781E-2</v>
      </c>
      <c r="AY244" s="67"/>
      <c r="AZ244" s="81">
        <v>40179</v>
      </c>
      <c r="BA244" s="82">
        <v>91.581024169921875</v>
      </c>
      <c r="BB244" s="82">
        <v>84.972991943359375</v>
      </c>
      <c r="BC244" s="67"/>
      <c r="BD244" s="83">
        <v>40193</v>
      </c>
      <c r="BE244" s="42">
        <v>5404</v>
      </c>
      <c r="BF244" s="41">
        <f t="shared" si="9"/>
        <v>-8.8041085840058209E-3</v>
      </c>
      <c r="BG244" s="67"/>
      <c r="BH244" s="84">
        <v>40179</v>
      </c>
      <c r="BI244" s="85">
        <v>89.342600000000004</v>
      </c>
      <c r="BJ244" s="87">
        <f t="shared" si="10"/>
        <v>1.089961110803106E-2</v>
      </c>
      <c r="BK244" s="67"/>
      <c r="BL244" s="84">
        <v>40179</v>
      </c>
      <c r="BM244" s="86">
        <v>68.770297999999997</v>
      </c>
      <c r="BN244" s="67"/>
      <c r="BO244" s="88">
        <v>40179</v>
      </c>
      <c r="BP244" s="89">
        <v>3.0594999999999999</v>
      </c>
      <c r="BQ244" s="89">
        <v>3.35</v>
      </c>
      <c r="BR244" s="90">
        <f t="shared" si="5"/>
        <v>-8.6716417910447818E-2</v>
      </c>
    </row>
    <row r="245" spans="1:70">
      <c r="A245" s="62">
        <v>40210</v>
      </c>
      <c r="B245" s="63">
        <v>40210</v>
      </c>
      <c r="C245" s="39">
        <v>79.66</v>
      </c>
      <c r="D245" s="64">
        <v>72.84</v>
      </c>
      <c r="E245" s="40">
        <f t="shared" si="29"/>
        <v>9.3629873695771471E-2</v>
      </c>
      <c r="F245" s="65"/>
      <c r="G245" s="63">
        <v>40210</v>
      </c>
      <c r="H245" s="39">
        <v>19.5</v>
      </c>
      <c r="I245" s="39">
        <v>24.33</v>
      </c>
      <c r="J245" s="40">
        <f t="shared" si="34"/>
        <v>-0.19852034525277429</v>
      </c>
      <c r="K245" s="67"/>
      <c r="L245" s="68">
        <v>40210</v>
      </c>
      <c r="M245" s="98">
        <v>1104.5</v>
      </c>
      <c r="N245" s="98">
        <v>1073.9000000000001</v>
      </c>
      <c r="O245" s="70">
        <f t="shared" si="30"/>
        <v>2.8494273209795917E-2</v>
      </c>
      <c r="P245" s="67"/>
      <c r="Q245" s="38">
        <v>40210</v>
      </c>
      <c r="R245" s="39">
        <v>4.8129999999999997</v>
      </c>
      <c r="S245" s="39">
        <v>5.2469999999999999</v>
      </c>
      <c r="T245" s="40">
        <f t="shared" si="36"/>
        <v>-8.2713931770535543E-2</v>
      </c>
      <c r="U245" s="67"/>
      <c r="V245" s="38">
        <v>40210</v>
      </c>
      <c r="W245" s="39">
        <v>2.0352999999999999</v>
      </c>
      <c r="X245" s="39">
        <v>1.9189000000000001</v>
      </c>
      <c r="Y245" s="40">
        <f t="shared" si="31"/>
        <v>6.0659752983480031E-2</v>
      </c>
      <c r="Z245" s="67"/>
      <c r="AA245" s="71">
        <v>40210</v>
      </c>
      <c r="AB245" s="99">
        <v>1118.9000000000001</v>
      </c>
      <c r="AC245" s="99">
        <v>1081.9000000000001</v>
      </c>
      <c r="AD245" s="73">
        <f t="shared" si="32"/>
        <v>3.4199094186154078E-2</v>
      </c>
      <c r="AE245" s="67"/>
      <c r="AF245" s="71">
        <v>40210</v>
      </c>
      <c r="AG245" s="72">
        <v>80.36</v>
      </c>
      <c r="AH245" s="72">
        <v>79.459999999999994</v>
      </c>
      <c r="AI245" s="73">
        <f t="shared" si="33"/>
        <v>1.1326453561540495E-2</v>
      </c>
      <c r="AJ245" s="67"/>
      <c r="AK245" s="74">
        <v>40237</v>
      </c>
      <c r="AL245" s="41">
        <v>3.61E-2</v>
      </c>
      <c r="AM245" s="41">
        <f t="shared" si="35"/>
        <v>-1.9999999999999879E-4</v>
      </c>
      <c r="AN245" s="67"/>
      <c r="AO245" s="75">
        <v>40210</v>
      </c>
      <c r="AP245" s="76">
        <v>726611.5</v>
      </c>
      <c r="AQ245" s="80">
        <f t="shared" si="7"/>
        <v>-5.9178454419051008E-6</v>
      </c>
      <c r="AR245" s="67"/>
      <c r="AS245" s="94">
        <v>40210</v>
      </c>
      <c r="AT245" s="78">
        <v>0.80500000000000005</v>
      </c>
      <c r="AU245" s="67"/>
      <c r="AV245" s="79">
        <v>40210</v>
      </c>
      <c r="AW245" s="76">
        <v>315416.25</v>
      </c>
      <c r="AX245" s="80">
        <f t="shared" si="8"/>
        <v>2.3378317696849171E-2</v>
      </c>
      <c r="AY245" s="67"/>
      <c r="AZ245" s="81">
        <v>40210</v>
      </c>
      <c r="BA245" s="82">
        <v>80.725357055664063</v>
      </c>
      <c r="BB245" s="82">
        <v>78.846275329589844</v>
      </c>
      <c r="BC245" s="67"/>
      <c r="BD245" s="83">
        <v>40224</v>
      </c>
      <c r="BE245" s="42">
        <v>5553</v>
      </c>
      <c r="BF245" s="41">
        <f t="shared" si="9"/>
        <v>2.757216876387858E-2</v>
      </c>
      <c r="BG245" s="67"/>
      <c r="BH245" s="84">
        <v>40210</v>
      </c>
      <c r="BI245" s="85">
        <v>89.677899999999994</v>
      </c>
      <c r="BJ245" s="87">
        <f t="shared" si="10"/>
        <v>3.7529689084490059E-3</v>
      </c>
      <c r="BK245" s="67"/>
      <c r="BL245" s="84">
        <v>40210</v>
      </c>
      <c r="BM245" s="86">
        <v>52.229866999999999</v>
      </c>
      <c r="BN245" s="67"/>
      <c r="BO245" s="88">
        <v>40210</v>
      </c>
      <c r="BP245" s="89">
        <v>3.2839999999999998</v>
      </c>
      <c r="BQ245" s="89">
        <v>3.0150000000000001</v>
      </c>
      <c r="BR245" s="90">
        <f t="shared" si="5"/>
        <v>8.922056384742949E-2</v>
      </c>
    </row>
    <row r="246" spans="1:70">
      <c r="A246" s="62">
        <v>40238</v>
      </c>
      <c r="B246" s="63">
        <v>40238</v>
      </c>
      <c r="C246" s="39">
        <v>83.76</v>
      </c>
      <c r="D246" s="64">
        <v>79.84</v>
      </c>
      <c r="E246" s="40">
        <f t="shared" si="29"/>
        <v>4.9098196392785676E-2</v>
      </c>
      <c r="F246" s="65"/>
      <c r="G246" s="63">
        <v>40238</v>
      </c>
      <c r="H246" s="39">
        <v>17.59</v>
      </c>
      <c r="I246" s="39">
        <v>19.93</v>
      </c>
      <c r="J246" s="40">
        <f t="shared" si="34"/>
        <v>-0.11741093828399396</v>
      </c>
      <c r="K246" s="67"/>
      <c r="L246" s="68">
        <v>40238</v>
      </c>
      <c r="M246" s="98">
        <v>1169.4000000000001</v>
      </c>
      <c r="N246" s="98">
        <v>1105.4000000000001</v>
      </c>
      <c r="O246" s="70">
        <f t="shared" si="30"/>
        <v>5.7897593631264677E-2</v>
      </c>
      <c r="P246" s="67"/>
      <c r="Q246" s="38">
        <v>40238</v>
      </c>
      <c r="R246" s="39">
        <v>3.8690000000000002</v>
      </c>
      <c r="S246" s="39">
        <v>4.7720000000000002</v>
      </c>
      <c r="T246" s="40">
        <f t="shared" si="36"/>
        <v>-0.18922883487007547</v>
      </c>
      <c r="U246" s="67"/>
      <c r="V246" s="38">
        <v>40238</v>
      </c>
      <c r="W246" s="39">
        <v>2.1789999999999998</v>
      </c>
      <c r="X246" s="39">
        <v>2.0522</v>
      </c>
      <c r="Y246" s="40">
        <f t="shared" si="31"/>
        <v>6.1787350160802834E-2</v>
      </c>
      <c r="Z246" s="67"/>
      <c r="AA246" s="71">
        <v>40238</v>
      </c>
      <c r="AB246" s="99">
        <v>1114.5</v>
      </c>
      <c r="AC246" s="99">
        <v>1119</v>
      </c>
      <c r="AD246" s="73">
        <f t="shared" si="32"/>
        <v>-4.0214477211796273E-3</v>
      </c>
      <c r="AE246" s="67"/>
      <c r="AF246" s="71">
        <v>40238</v>
      </c>
      <c r="AG246" s="72">
        <v>81.069999999999993</v>
      </c>
      <c r="AH246" s="72">
        <v>80.42</v>
      </c>
      <c r="AI246" s="73">
        <f t="shared" si="33"/>
        <v>8.0825665257397983E-3</v>
      </c>
      <c r="AJ246" s="67"/>
      <c r="AK246" s="74">
        <v>40268</v>
      </c>
      <c r="AL246" s="41">
        <v>3.8399999999999997E-2</v>
      </c>
      <c r="AM246" s="41">
        <f t="shared" si="35"/>
        <v>2.2999999999999965E-3</v>
      </c>
      <c r="AN246" s="67"/>
      <c r="AO246" s="75">
        <v>40238</v>
      </c>
      <c r="AP246" s="76">
        <v>726607.5</v>
      </c>
      <c r="AQ246" s="80">
        <f t="shared" si="7"/>
        <v>-5.505005081785086E-6</v>
      </c>
      <c r="AR246" s="67"/>
      <c r="AS246" s="94">
        <v>40238</v>
      </c>
      <c r="AT246" s="78">
        <v>0.8125</v>
      </c>
      <c r="AU246" s="67"/>
      <c r="AV246" s="79">
        <v>40238</v>
      </c>
      <c r="AW246" s="76">
        <v>327313.75</v>
      </c>
      <c r="AX246" s="80">
        <f t="shared" si="8"/>
        <v>3.7719996988107019E-2</v>
      </c>
      <c r="AY246" s="67"/>
      <c r="AZ246" s="81">
        <v>40238</v>
      </c>
      <c r="BA246" s="82">
        <v>74.116943359375</v>
      </c>
      <c r="BB246" s="82">
        <v>73.496910095214844</v>
      </c>
      <c r="BC246" s="67"/>
      <c r="BD246" s="83">
        <v>40252</v>
      </c>
      <c r="BE246" s="42">
        <v>5515</v>
      </c>
      <c r="BF246" s="41">
        <f t="shared" si="9"/>
        <v>-6.8431478480101005E-3</v>
      </c>
      <c r="BG246" s="67"/>
      <c r="BH246" s="84">
        <v>40238</v>
      </c>
      <c r="BI246" s="85">
        <v>90.2928</v>
      </c>
      <c r="BJ246" s="87">
        <f t="shared" si="10"/>
        <v>6.856761810881018E-3</v>
      </c>
      <c r="BK246" s="67"/>
      <c r="BL246" s="84">
        <v>40238</v>
      </c>
      <c r="BM246" s="86">
        <v>70.390671999999995</v>
      </c>
      <c r="BN246" s="67"/>
      <c r="BO246" s="88">
        <v>40238</v>
      </c>
      <c r="BP246" s="89">
        <v>3.5630000000000002</v>
      </c>
      <c r="BQ246" s="89">
        <v>3.383</v>
      </c>
      <c r="BR246" s="90">
        <f t="shared" si="5"/>
        <v>5.3207212533254555E-2</v>
      </c>
    </row>
    <row r="247" spans="1:70">
      <c r="A247" s="62">
        <v>40269</v>
      </c>
      <c r="B247" s="63">
        <v>40269</v>
      </c>
      <c r="C247" s="39">
        <v>86.15</v>
      </c>
      <c r="D247" s="64">
        <v>83.36</v>
      </c>
      <c r="E247" s="40">
        <f t="shared" si="29"/>
        <v>3.3469289827255277E-2</v>
      </c>
      <c r="F247" s="65"/>
      <c r="G247" s="63">
        <v>40269</v>
      </c>
      <c r="H247" s="39">
        <v>22.05</v>
      </c>
      <c r="I247" s="39">
        <v>17.010000000000002</v>
      </c>
      <c r="J247" s="40">
        <f t="shared" si="34"/>
        <v>0.29629629629629628</v>
      </c>
      <c r="K247" s="67"/>
      <c r="L247" s="68">
        <v>40269</v>
      </c>
      <c r="M247" s="98">
        <v>1186.7</v>
      </c>
      <c r="N247" s="98">
        <v>1171.2</v>
      </c>
      <c r="O247" s="70">
        <f t="shared" si="30"/>
        <v>1.3234289617486406E-2</v>
      </c>
      <c r="P247" s="67"/>
      <c r="Q247" s="38">
        <v>40269</v>
      </c>
      <c r="R247" s="39">
        <v>3.92</v>
      </c>
      <c r="S247" s="39">
        <v>3.8740000000000001</v>
      </c>
      <c r="T247" s="40">
        <f t="shared" si="36"/>
        <v>1.1874032008260205E-2</v>
      </c>
      <c r="U247" s="67"/>
      <c r="V247" s="38">
        <v>40269</v>
      </c>
      <c r="W247" s="39">
        <v>2.3157000000000001</v>
      </c>
      <c r="X247" s="39">
        <v>2.1840999999999999</v>
      </c>
      <c r="Y247" s="40">
        <f t="shared" si="31"/>
        <v>6.0253651389588381E-2</v>
      </c>
      <c r="Z247" s="67"/>
      <c r="AA247" s="71">
        <v>40269</v>
      </c>
      <c r="AB247" s="99">
        <v>1180.7</v>
      </c>
      <c r="AC247" s="99">
        <v>1114.5999999999999</v>
      </c>
      <c r="AD247" s="73">
        <f t="shared" si="32"/>
        <v>5.9303786111609691E-2</v>
      </c>
      <c r="AE247" s="67"/>
      <c r="AF247" s="71">
        <v>40269</v>
      </c>
      <c r="AG247" s="72">
        <v>81.87</v>
      </c>
      <c r="AH247" s="72">
        <v>81.040000000000006</v>
      </c>
      <c r="AI247" s="73">
        <f t="shared" si="33"/>
        <v>1.0241855873642569E-2</v>
      </c>
      <c r="AJ247" s="67"/>
      <c r="AK247" s="74">
        <v>40298</v>
      </c>
      <c r="AL247" s="41">
        <v>3.6900000000000002E-2</v>
      </c>
      <c r="AM247" s="41">
        <f t="shared" si="35"/>
        <v>-1.4999999999999944E-3</v>
      </c>
      <c r="AN247" s="67"/>
      <c r="AO247" s="75">
        <v>40269</v>
      </c>
      <c r="AP247" s="76">
        <v>726602.8</v>
      </c>
      <c r="AQ247" s="80">
        <f t="shared" si="7"/>
        <v>-6.4684165796968784E-6</v>
      </c>
      <c r="AR247" s="67"/>
      <c r="AS247" s="94">
        <v>40269</v>
      </c>
      <c r="AT247" s="78">
        <v>0.86919999999999997</v>
      </c>
      <c r="AU247" s="67"/>
      <c r="AV247" s="79">
        <v>40269</v>
      </c>
      <c r="AW247" s="76">
        <v>336243</v>
      </c>
      <c r="AX247" s="80">
        <f t="shared" si="8"/>
        <v>2.728039992209319E-2</v>
      </c>
      <c r="AY247" s="67"/>
      <c r="AZ247" s="81">
        <v>40269</v>
      </c>
      <c r="BA247" s="82">
        <v>88.761581420898438</v>
      </c>
      <c r="BB247" s="82">
        <v>92.056915283203125</v>
      </c>
      <c r="BC247" s="67"/>
      <c r="BD247" s="83">
        <v>40283</v>
      </c>
      <c r="BE247" s="42">
        <v>5392</v>
      </c>
      <c r="BF247" s="41">
        <f t="shared" si="9"/>
        <v>-2.2302810516772409E-2</v>
      </c>
      <c r="BG247" s="67"/>
      <c r="BH247" s="84">
        <v>40269</v>
      </c>
      <c r="BI247" s="85">
        <v>90.599100000000007</v>
      </c>
      <c r="BJ247" s="87">
        <f t="shared" si="10"/>
        <v>3.3922970602306979E-3</v>
      </c>
      <c r="BK247" s="67"/>
      <c r="BL247" s="84">
        <v>40269</v>
      </c>
      <c r="BM247" s="86">
        <v>65.285833999999994</v>
      </c>
      <c r="BN247" s="67"/>
      <c r="BO247" s="88">
        <v>40269</v>
      </c>
      <c r="BP247" s="89">
        <v>3.3534999999999999</v>
      </c>
      <c r="BQ247" s="89">
        <v>3.5585</v>
      </c>
      <c r="BR247" s="90">
        <f t="shared" si="5"/>
        <v>-5.7608542925389972E-2</v>
      </c>
    </row>
    <row r="248" spans="1:70">
      <c r="A248" s="62">
        <v>40299</v>
      </c>
      <c r="B248" s="63">
        <v>40299</v>
      </c>
      <c r="C248" s="39">
        <v>73.97</v>
      </c>
      <c r="D248" s="64">
        <v>86.2</v>
      </c>
      <c r="E248" s="40">
        <f t="shared" si="29"/>
        <v>-0.1418793503480279</v>
      </c>
      <c r="F248" s="65"/>
      <c r="G248" s="63">
        <v>40299</v>
      </c>
      <c r="H248" s="39">
        <v>32.07</v>
      </c>
      <c r="I248" s="39">
        <v>22.41</v>
      </c>
      <c r="J248" s="40">
        <f t="shared" si="34"/>
        <v>0.4310575635876841</v>
      </c>
      <c r="K248" s="67"/>
      <c r="L248" s="68">
        <v>40299</v>
      </c>
      <c r="M248" s="98">
        <v>1089.4000000000001</v>
      </c>
      <c r="N248" s="98">
        <v>1188.5999999999999</v>
      </c>
      <c r="O248" s="70">
        <f t="shared" si="30"/>
        <v>-8.3459532222782906E-2</v>
      </c>
      <c r="P248" s="67"/>
      <c r="Q248" s="38">
        <v>40299</v>
      </c>
      <c r="R248" s="39">
        <v>4.3410000000000002</v>
      </c>
      <c r="S248" s="39">
        <v>3.9350000000000001</v>
      </c>
      <c r="T248" s="40">
        <f t="shared" si="36"/>
        <v>0.10317662007623896</v>
      </c>
      <c r="U248" s="67"/>
      <c r="V248" s="38">
        <v>40299</v>
      </c>
      <c r="W248" s="39">
        <v>2.0045000000000002</v>
      </c>
      <c r="X248" s="39">
        <v>2.35</v>
      </c>
      <c r="Y248" s="40">
        <f t="shared" si="31"/>
        <v>-0.1470212765957446</v>
      </c>
      <c r="Z248" s="67"/>
      <c r="AA248" s="71">
        <v>40299</v>
      </c>
      <c r="AB248" s="99">
        <v>1215</v>
      </c>
      <c r="AC248" s="99">
        <v>1181</v>
      </c>
      <c r="AD248" s="73">
        <f t="shared" si="32"/>
        <v>2.8789161727349688E-2</v>
      </c>
      <c r="AE248" s="67"/>
      <c r="AF248" s="71">
        <v>40299</v>
      </c>
      <c r="AG248" s="72">
        <v>86.59</v>
      </c>
      <c r="AH248" s="72">
        <v>81.84</v>
      </c>
      <c r="AI248" s="73">
        <f t="shared" si="33"/>
        <v>5.8040078201368583E-2</v>
      </c>
      <c r="AJ248" s="67"/>
      <c r="AK248" s="74">
        <v>40329</v>
      </c>
      <c r="AL248" s="41">
        <v>3.3099999999999997E-2</v>
      </c>
      <c r="AM248" s="41">
        <f t="shared" si="35"/>
        <v>-3.8000000000000048E-3</v>
      </c>
      <c r="AN248" s="67"/>
      <c r="AO248" s="92">
        <v>40299</v>
      </c>
      <c r="AP248" s="76">
        <v>726597</v>
      </c>
      <c r="AQ248" s="80">
        <f t="shared" si="7"/>
        <v>-7.982352944524429E-6</v>
      </c>
      <c r="AR248" s="67"/>
      <c r="AS248" s="97">
        <v>40299</v>
      </c>
      <c r="AT248" s="78">
        <v>0.879</v>
      </c>
      <c r="AU248" s="67"/>
      <c r="AV248" s="93">
        <v>40299</v>
      </c>
      <c r="AW248" s="76">
        <v>342737</v>
      </c>
      <c r="AX248" s="80">
        <f t="shared" si="8"/>
        <v>1.9313413216037301E-2</v>
      </c>
      <c r="AY248" s="67"/>
      <c r="AZ248" s="81">
        <v>40299</v>
      </c>
      <c r="BA248" s="82">
        <v>88.958709716796875</v>
      </c>
      <c r="BB248" s="82">
        <v>87.494110107421875</v>
      </c>
      <c r="BC248" s="67"/>
      <c r="BD248" s="83">
        <v>40313</v>
      </c>
      <c r="BE248" s="42">
        <v>5401</v>
      </c>
      <c r="BF248" s="41">
        <f t="shared" si="9"/>
        <v>1.6691394658754355E-3</v>
      </c>
      <c r="BG248" s="67"/>
      <c r="BH248" s="84">
        <v>40299</v>
      </c>
      <c r="BI248" s="85">
        <v>91.822999999999993</v>
      </c>
      <c r="BJ248" s="87">
        <f t="shared" si="10"/>
        <v>1.3508964217083586E-2</v>
      </c>
      <c r="BK248" s="67"/>
      <c r="BL248" s="84">
        <v>40299</v>
      </c>
      <c r="BM248" s="86">
        <v>88.715946000000002</v>
      </c>
      <c r="BN248" s="67"/>
      <c r="BO248" s="88">
        <v>40299</v>
      </c>
      <c r="BP248" s="89">
        <v>3.1150000000000002</v>
      </c>
      <c r="BQ248" s="89">
        <v>3.3559999999999999</v>
      </c>
      <c r="BR248" s="90">
        <f t="shared" si="5"/>
        <v>-7.1811680572109515E-2</v>
      </c>
    </row>
    <row r="249" spans="1:70">
      <c r="A249" s="62">
        <v>40330</v>
      </c>
      <c r="B249" s="63">
        <v>40330</v>
      </c>
      <c r="C249" s="39">
        <v>75.63</v>
      </c>
      <c r="D249" s="64">
        <v>73.97</v>
      </c>
      <c r="E249" s="40">
        <f t="shared" si="29"/>
        <v>2.2441530350141958E-2</v>
      </c>
      <c r="F249" s="65"/>
      <c r="G249" s="63">
        <v>40330</v>
      </c>
      <c r="H249" s="39">
        <v>34.54</v>
      </c>
      <c r="I249" s="39">
        <v>34.869999999999997</v>
      </c>
      <c r="J249" s="40">
        <f t="shared" si="34"/>
        <v>-9.4637223974762819E-3</v>
      </c>
      <c r="K249" s="67"/>
      <c r="L249" s="68">
        <v>40330</v>
      </c>
      <c r="M249" s="98">
        <v>1030.7</v>
      </c>
      <c r="N249" s="98">
        <v>1087.3</v>
      </c>
      <c r="O249" s="70">
        <f t="shared" si="30"/>
        <v>-5.2055550446058918E-2</v>
      </c>
      <c r="P249" s="67"/>
      <c r="Q249" s="38">
        <v>40330</v>
      </c>
      <c r="R249" s="39">
        <v>4.6159999999999997</v>
      </c>
      <c r="S249" s="39">
        <v>4.3499999999999996</v>
      </c>
      <c r="T249" s="40">
        <f t="shared" si="36"/>
        <v>6.114942528735634E-2</v>
      </c>
      <c r="U249" s="67"/>
      <c r="V249" s="38">
        <v>40330</v>
      </c>
      <c r="W249" s="39">
        <v>2.0143</v>
      </c>
      <c r="X249" s="39">
        <v>2.0234999999999999</v>
      </c>
      <c r="Y249" s="40">
        <f t="shared" si="31"/>
        <v>-4.546577711885269E-3</v>
      </c>
      <c r="Z249" s="67"/>
      <c r="AA249" s="71">
        <v>40330</v>
      </c>
      <c r="AB249" s="99">
        <v>1245.9000000000001</v>
      </c>
      <c r="AC249" s="99">
        <v>1216.7</v>
      </c>
      <c r="AD249" s="73">
        <f t="shared" si="32"/>
        <v>2.3999342483767672E-2</v>
      </c>
      <c r="AE249" s="67"/>
      <c r="AF249" s="71">
        <v>40330</v>
      </c>
      <c r="AG249" s="72">
        <v>86.02</v>
      </c>
      <c r="AH249" s="72">
        <v>86.58</v>
      </c>
      <c r="AI249" s="73">
        <f t="shared" si="33"/>
        <v>-6.468006468006493E-3</v>
      </c>
      <c r="AJ249" s="67"/>
      <c r="AK249" s="74">
        <v>40359</v>
      </c>
      <c r="AL249" s="41">
        <v>2.9700000000000001E-2</v>
      </c>
      <c r="AM249" s="41">
        <f t="shared" si="35"/>
        <v>-3.3999999999999968E-3</v>
      </c>
      <c r="AN249" s="67"/>
      <c r="AO249" s="75">
        <v>40330</v>
      </c>
      <c r="AP249" s="76">
        <v>726593.75</v>
      </c>
      <c r="AQ249" s="80">
        <f t="shared" si="7"/>
        <v>-4.4729058886749939E-6</v>
      </c>
      <c r="AR249" s="67"/>
      <c r="AS249" s="94">
        <v>40330</v>
      </c>
      <c r="AT249" s="78">
        <v>0.88700000000000001</v>
      </c>
      <c r="AU249" s="67"/>
      <c r="AV249" s="79">
        <v>40330</v>
      </c>
      <c r="AW249" s="76">
        <v>342680.25</v>
      </c>
      <c r="AX249" s="80">
        <f t="shared" si="8"/>
        <v>-1.6557885492374247E-4</v>
      </c>
      <c r="AY249" s="67"/>
      <c r="AZ249" s="81">
        <v>40330</v>
      </c>
      <c r="BA249" s="82">
        <v>96.453697204589844</v>
      </c>
      <c r="BB249" s="82">
        <v>110.69171905517578</v>
      </c>
      <c r="BC249" s="67"/>
      <c r="BD249" s="83">
        <v>40344</v>
      </c>
      <c r="BE249" s="42">
        <v>5380</v>
      </c>
      <c r="BF249" s="41">
        <f t="shared" si="9"/>
        <v>-3.888168857619001E-3</v>
      </c>
      <c r="BG249" s="67"/>
      <c r="BH249" s="84">
        <v>40330</v>
      </c>
      <c r="BI249" s="85">
        <v>91.992800000000003</v>
      </c>
      <c r="BJ249" s="87">
        <f t="shared" si="10"/>
        <v>1.8492098929463463E-3</v>
      </c>
      <c r="BK249" s="67"/>
      <c r="BL249" s="84">
        <v>40330</v>
      </c>
      <c r="BM249" s="86">
        <v>67.182426000000007</v>
      </c>
      <c r="BN249" s="67"/>
      <c r="BO249" s="88">
        <v>40330</v>
      </c>
      <c r="BP249" s="89">
        <v>2.9504999999999999</v>
      </c>
      <c r="BQ249" s="89">
        <v>3.1324999999999998</v>
      </c>
      <c r="BR249" s="90">
        <f t="shared" si="5"/>
        <v>-5.8100558659217816E-2</v>
      </c>
    </row>
    <row r="250" spans="1:70">
      <c r="A250" s="62">
        <v>40360</v>
      </c>
      <c r="B250" s="63">
        <v>40360</v>
      </c>
      <c r="C250" s="39">
        <v>78.95</v>
      </c>
      <c r="D250" s="64">
        <v>75.37</v>
      </c>
      <c r="E250" s="40">
        <f t="shared" si="29"/>
        <v>4.7499004909115072E-2</v>
      </c>
      <c r="F250" s="65"/>
      <c r="G250" s="63">
        <v>40360</v>
      </c>
      <c r="H250" s="39">
        <v>23.5</v>
      </c>
      <c r="I250" s="39">
        <v>34.409999999999997</v>
      </c>
      <c r="J250" s="40">
        <f t="shared" si="34"/>
        <v>-0.31705899447834929</v>
      </c>
      <c r="K250" s="67"/>
      <c r="L250" s="68">
        <v>40360</v>
      </c>
      <c r="M250" s="98">
        <v>1101.5999999999999</v>
      </c>
      <c r="N250" s="98">
        <v>1031.0999999999999</v>
      </c>
      <c r="O250" s="70">
        <f t="shared" si="30"/>
        <v>6.8373581611870904E-2</v>
      </c>
      <c r="P250" s="67"/>
      <c r="Q250" s="38">
        <v>40360</v>
      </c>
      <c r="R250" s="39">
        <v>4.923</v>
      </c>
      <c r="S250" s="39">
        <v>4.6360000000000001</v>
      </c>
      <c r="T250" s="40">
        <f t="shared" si="36"/>
        <v>6.1906816220880012E-2</v>
      </c>
      <c r="U250" s="67"/>
      <c r="V250" s="38">
        <v>40360</v>
      </c>
      <c r="W250" s="39">
        <v>2.0880999999999998</v>
      </c>
      <c r="X250" s="39">
        <v>2.0371999999999999</v>
      </c>
      <c r="Y250" s="40">
        <f t="shared" si="31"/>
        <v>2.4985273905360206E-2</v>
      </c>
      <c r="Z250" s="67"/>
      <c r="AA250" s="71">
        <v>40360</v>
      </c>
      <c r="AB250" s="99">
        <v>1183.9000000000001</v>
      </c>
      <c r="AC250" s="99">
        <v>1243</v>
      </c>
      <c r="AD250" s="73">
        <f t="shared" si="32"/>
        <v>-4.754625905068377E-2</v>
      </c>
      <c r="AE250" s="67"/>
      <c r="AF250" s="71">
        <v>40360</v>
      </c>
      <c r="AG250" s="72">
        <v>81.540000000000006</v>
      </c>
      <c r="AH250" s="72">
        <v>86.1</v>
      </c>
      <c r="AI250" s="73">
        <f t="shared" si="33"/>
        <v>-5.2961672473867516E-2</v>
      </c>
      <c r="AJ250" s="67"/>
      <c r="AK250" s="74">
        <v>40390</v>
      </c>
      <c r="AL250" s="41">
        <v>2.9399999999999999E-2</v>
      </c>
      <c r="AM250" s="41">
        <f t="shared" si="35"/>
        <v>-3.0000000000000165E-4</v>
      </c>
      <c r="AN250" s="67"/>
      <c r="AO250" s="75">
        <v>40360</v>
      </c>
      <c r="AP250" s="76">
        <v>726590.2</v>
      </c>
      <c r="AQ250" s="80">
        <f t="shared" si="7"/>
        <v>-4.8858113630423361E-6</v>
      </c>
      <c r="AR250" s="67"/>
      <c r="AS250" s="94">
        <v>40360</v>
      </c>
      <c r="AT250" s="78">
        <v>0.90720000000000001</v>
      </c>
      <c r="AU250" s="67"/>
      <c r="AV250" s="79">
        <v>40360</v>
      </c>
      <c r="AW250" s="76">
        <v>336098</v>
      </c>
      <c r="AX250" s="80">
        <f t="shared" si="8"/>
        <v>-1.9208139366070798E-2</v>
      </c>
      <c r="AY250" s="67"/>
      <c r="AZ250" s="81">
        <v>40360</v>
      </c>
      <c r="BA250" s="82">
        <v>79.381378173828125</v>
      </c>
      <c r="BB250" s="82">
        <v>75.185379028320313</v>
      </c>
      <c r="BC250" s="67"/>
      <c r="BD250" s="83">
        <v>40374</v>
      </c>
      <c r="BE250" s="42">
        <v>5298</v>
      </c>
      <c r="BF250" s="41">
        <f t="shared" si="9"/>
        <v>-1.5241635687732291E-2</v>
      </c>
      <c r="BG250" s="67"/>
      <c r="BH250" s="84">
        <v>40360</v>
      </c>
      <c r="BI250" s="85">
        <v>92.342100000000002</v>
      </c>
      <c r="BJ250" s="87">
        <f t="shared" si="10"/>
        <v>3.7970362897965515E-3</v>
      </c>
      <c r="BK250" s="67"/>
      <c r="BL250" s="84">
        <v>40360</v>
      </c>
      <c r="BM250" s="86">
        <v>19.121005</v>
      </c>
      <c r="BN250" s="67"/>
      <c r="BO250" s="88">
        <v>40360</v>
      </c>
      <c r="BP250" s="89">
        <v>3.32</v>
      </c>
      <c r="BQ250" s="89">
        <v>2.91</v>
      </c>
      <c r="BR250" s="90">
        <f t="shared" si="5"/>
        <v>0.14089347079037795</v>
      </c>
    </row>
    <row r="251" spans="1:70">
      <c r="A251" s="62">
        <v>40391</v>
      </c>
      <c r="B251" s="63">
        <v>40391</v>
      </c>
      <c r="C251" s="39">
        <v>71.92</v>
      </c>
      <c r="D251" s="64">
        <v>78.95</v>
      </c>
      <c r="E251" s="40">
        <f t="shared" si="29"/>
        <v>-8.9043698543381899E-2</v>
      </c>
      <c r="F251" s="65"/>
      <c r="G251" s="63">
        <v>40391</v>
      </c>
      <c r="H251" s="39">
        <v>26.05</v>
      </c>
      <c r="I251" s="39">
        <v>23.07</v>
      </c>
      <c r="J251" s="40">
        <f t="shared" si="34"/>
        <v>0.12917208495882093</v>
      </c>
      <c r="K251" s="67"/>
      <c r="L251" s="68">
        <v>40391</v>
      </c>
      <c r="M251" s="98">
        <v>1049.3</v>
      </c>
      <c r="N251" s="98">
        <v>1107.5</v>
      </c>
      <c r="O251" s="70">
        <f t="shared" si="30"/>
        <v>-5.2550790067720121E-2</v>
      </c>
      <c r="P251" s="67"/>
      <c r="Q251" s="38">
        <v>40391</v>
      </c>
      <c r="R251" s="39">
        <v>3.8159999999999998</v>
      </c>
      <c r="S251" s="39">
        <v>4.9880000000000004</v>
      </c>
      <c r="T251" s="40">
        <f t="shared" si="36"/>
        <v>-0.23496391339214129</v>
      </c>
      <c r="U251" s="67"/>
      <c r="V251" s="38">
        <v>40391</v>
      </c>
      <c r="W251" s="39">
        <v>1.9917</v>
      </c>
      <c r="X251" s="39">
        <v>2.1158999999999999</v>
      </c>
      <c r="Y251" s="40">
        <f t="shared" si="31"/>
        <v>-5.8698426201616249E-2</v>
      </c>
      <c r="Z251" s="67"/>
      <c r="AA251" s="71">
        <v>40391</v>
      </c>
      <c r="AB251" s="99">
        <v>1250.3</v>
      </c>
      <c r="AC251" s="99">
        <v>1183.8</v>
      </c>
      <c r="AD251" s="73">
        <f t="shared" si="32"/>
        <v>5.6175029565805001E-2</v>
      </c>
      <c r="AE251" s="67"/>
      <c r="AF251" s="71">
        <v>40391</v>
      </c>
      <c r="AG251" s="72">
        <v>83.2</v>
      </c>
      <c r="AH251" s="72">
        <v>81.5</v>
      </c>
      <c r="AI251" s="73">
        <f t="shared" si="33"/>
        <v>2.0858895705521574E-2</v>
      </c>
      <c r="AJ251" s="67"/>
      <c r="AK251" s="74">
        <v>40421</v>
      </c>
      <c r="AL251" s="41">
        <v>2.4700000000000003E-2</v>
      </c>
      <c r="AM251" s="41">
        <f t="shared" si="35"/>
        <v>-4.6999999999999958E-3</v>
      </c>
      <c r="AN251" s="67"/>
      <c r="AO251" s="75">
        <v>40391</v>
      </c>
      <c r="AP251" s="76">
        <v>726584.75</v>
      </c>
      <c r="AQ251" s="80">
        <f t="shared" si="7"/>
        <v>-7.5007893032275064E-6</v>
      </c>
      <c r="AR251" s="67"/>
      <c r="AS251" s="94">
        <v>40391</v>
      </c>
      <c r="AT251" s="78">
        <v>0.88200000000000001</v>
      </c>
      <c r="AU251" s="67"/>
      <c r="AV251" s="79">
        <v>40391</v>
      </c>
      <c r="AW251" s="76">
        <v>336686.75</v>
      </c>
      <c r="AX251" s="80">
        <f t="shared" si="8"/>
        <v>1.7517212241666691E-3</v>
      </c>
      <c r="AY251" s="67"/>
      <c r="AZ251" s="81">
        <v>40391</v>
      </c>
      <c r="BA251" s="82">
        <v>80.993865966796875</v>
      </c>
      <c r="BB251" s="82">
        <v>71.951530456542969</v>
      </c>
      <c r="BC251" s="67"/>
      <c r="BD251" s="83">
        <v>40405</v>
      </c>
      <c r="BE251" s="42">
        <v>5447</v>
      </c>
      <c r="BF251" s="41">
        <f t="shared" si="9"/>
        <v>2.8123820309550851E-2</v>
      </c>
      <c r="BG251" s="67"/>
      <c r="BH251" s="84">
        <v>40391</v>
      </c>
      <c r="BI251" s="85">
        <v>92.680499999999995</v>
      </c>
      <c r="BJ251" s="87">
        <f t="shared" si="10"/>
        <v>3.6646340076735839E-3</v>
      </c>
      <c r="BK251" s="67"/>
      <c r="BL251" s="84">
        <v>40391</v>
      </c>
      <c r="BM251" s="86">
        <v>43.303415999999999</v>
      </c>
      <c r="BN251" s="67"/>
      <c r="BO251" s="88">
        <v>40391</v>
      </c>
      <c r="BP251" s="89">
        <v>3.3685</v>
      </c>
      <c r="BQ251" s="89">
        <v>3.3220000000000001</v>
      </c>
      <c r="BR251" s="90">
        <f t="shared" si="5"/>
        <v>1.3997591812161314E-2</v>
      </c>
    </row>
    <row r="252" spans="1:70">
      <c r="A252" s="62">
        <v>40422</v>
      </c>
      <c r="B252" s="63">
        <v>40422</v>
      </c>
      <c r="C252" s="39">
        <v>79.97</v>
      </c>
      <c r="D252" s="64">
        <v>71.7</v>
      </c>
      <c r="E252" s="40">
        <f t="shared" si="29"/>
        <v>0.11534170153417</v>
      </c>
      <c r="F252" s="65"/>
      <c r="G252" s="63">
        <v>40422</v>
      </c>
      <c r="H252" s="39">
        <v>23.7</v>
      </c>
      <c r="I252" s="39">
        <v>25.13</v>
      </c>
      <c r="J252" s="40">
        <f t="shared" si="34"/>
        <v>-5.6904098686828442E-2</v>
      </c>
      <c r="K252" s="67"/>
      <c r="L252" s="68">
        <v>40422</v>
      </c>
      <c r="M252" s="98">
        <v>1141.2</v>
      </c>
      <c r="N252" s="98">
        <v>1049.7</v>
      </c>
      <c r="O252" s="70">
        <f t="shared" si="30"/>
        <v>8.7167762217776446E-2</v>
      </c>
      <c r="P252" s="67"/>
      <c r="Q252" s="38">
        <v>40422</v>
      </c>
      <c r="R252" s="39">
        <v>3.8719999999999999</v>
      </c>
      <c r="S252" s="39">
        <v>3.79</v>
      </c>
      <c r="T252" s="40">
        <f t="shared" si="36"/>
        <v>2.1635883905013253E-2</v>
      </c>
      <c r="U252" s="67"/>
      <c r="V252" s="38">
        <v>40422</v>
      </c>
      <c r="W252" s="39">
        <v>2.2677999999999998</v>
      </c>
      <c r="X252" s="39">
        <v>2.0154000000000001</v>
      </c>
      <c r="Y252" s="40">
        <f t="shared" si="31"/>
        <v>0.12523568522377682</v>
      </c>
      <c r="Z252" s="67"/>
      <c r="AA252" s="71">
        <v>40422</v>
      </c>
      <c r="AB252" s="99">
        <v>1309.5999999999999</v>
      </c>
      <c r="AC252" s="99">
        <v>1250.3</v>
      </c>
      <c r="AD252" s="73">
        <f t="shared" si="32"/>
        <v>4.7428617131888284E-2</v>
      </c>
      <c r="AE252" s="67"/>
      <c r="AF252" s="71">
        <v>40422</v>
      </c>
      <c r="AG252" s="72">
        <v>78.72</v>
      </c>
      <c r="AH252" s="72">
        <v>83.09</v>
      </c>
      <c r="AI252" s="73">
        <f t="shared" si="33"/>
        <v>-5.2593573233842839E-2</v>
      </c>
      <c r="AJ252" s="67"/>
      <c r="AK252" s="74">
        <v>40451</v>
      </c>
      <c r="AL252" s="41">
        <v>2.53E-2</v>
      </c>
      <c r="AM252" s="41">
        <f t="shared" si="35"/>
        <v>5.9999999999999637E-4</v>
      </c>
      <c r="AN252" s="67"/>
      <c r="AO252" s="75">
        <v>40422</v>
      </c>
      <c r="AP252" s="76">
        <v>726422.25</v>
      </c>
      <c r="AQ252" s="80">
        <f t="shared" si="7"/>
        <v>-2.2364906502647663E-4</v>
      </c>
      <c r="AR252" s="67"/>
      <c r="AS252" s="94">
        <v>40422</v>
      </c>
      <c r="AT252" s="78">
        <v>0.87349999999999994</v>
      </c>
      <c r="AU252" s="67"/>
      <c r="AV252" s="79">
        <v>40422</v>
      </c>
      <c r="AW252" s="76">
        <v>337836.5</v>
      </c>
      <c r="AX252" s="80">
        <f t="shared" si="8"/>
        <v>3.4148952995625148E-3</v>
      </c>
      <c r="AY252" s="67"/>
      <c r="AZ252" s="81">
        <v>40422</v>
      </c>
      <c r="BA252" s="82">
        <v>71.168548583984375</v>
      </c>
      <c r="BB252" s="82">
        <v>68.947540283203125</v>
      </c>
      <c r="BC252" s="67"/>
      <c r="BD252" s="83">
        <v>40436</v>
      </c>
      <c r="BE252" s="42">
        <v>5616</v>
      </c>
      <c r="BF252" s="41">
        <f t="shared" si="9"/>
        <v>3.1026252983293645E-2</v>
      </c>
      <c r="BG252" s="67"/>
      <c r="BH252" s="84">
        <v>40422</v>
      </c>
      <c r="BI252" s="85">
        <v>92.953699999999998</v>
      </c>
      <c r="BJ252" s="87">
        <f t="shared" si="10"/>
        <v>2.9477613953312609E-3</v>
      </c>
      <c r="BK252" s="67"/>
      <c r="BL252" s="84">
        <v>40422</v>
      </c>
      <c r="BM252" s="86">
        <v>54.464410000000001</v>
      </c>
      <c r="BN252" s="67"/>
      <c r="BO252" s="88">
        <v>40422</v>
      </c>
      <c r="BP252" s="89">
        <v>3.6515</v>
      </c>
      <c r="BQ252" s="89">
        <v>3.4325000000000001</v>
      </c>
      <c r="BR252" s="90">
        <f t="shared" si="5"/>
        <v>6.3801893663510523E-2</v>
      </c>
    </row>
    <row r="253" spans="1:70">
      <c r="A253" s="62">
        <v>40452</v>
      </c>
      <c r="B253" s="63">
        <v>40452</v>
      </c>
      <c r="C253" s="39">
        <v>81.430000000000007</v>
      </c>
      <c r="D253" s="64">
        <v>79.84</v>
      </c>
      <c r="E253" s="40">
        <f t="shared" si="29"/>
        <v>1.9914829659318789E-2</v>
      </c>
      <c r="F253" s="65"/>
      <c r="G253" s="63">
        <v>40452</v>
      </c>
      <c r="H253" s="39">
        <v>21.2</v>
      </c>
      <c r="I253" s="39">
        <v>22.9</v>
      </c>
      <c r="J253" s="40">
        <f t="shared" si="34"/>
        <v>-7.423580786026196E-2</v>
      </c>
      <c r="K253" s="67"/>
      <c r="L253" s="68">
        <v>40452</v>
      </c>
      <c r="M253" s="98">
        <v>1183.3</v>
      </c>
      <c r="N253" s="98">
        <v>1143.5</v>
      </c>
      <c r="O253" s="70">
        <f t="shared" si="30"/>
        <v>3.4805421950153015E-2</v>
      </c>
      <c r="P253" s="67"/>
      <c r="Q253" s="38">
        <v>40452</v>
      </c>
      <c r="R253" s="39">
        <v>4.0380000000000003</v>
      </c>
      <c r="S253" s="39">
        <v>3.8610000000000002</v>
      </c>
      <c r="T253" s="40">
        <f t="shared" si="36"/>
        <v>4.5843045843045882E-2</v>
      </c>
      <c r="U253" s="67"/>
      <c r="V253" s="38">
        <v>40452</v>
      </c>
      <c r="W253" s="39">
        <v>2.2376999999999998</v>
      </c>
      <c r="X253" s="39">
        <v>2.2763</v>
      </c>
      <c r="Y253" s="40">
        <f t="shared" si="31"/>
        <v>-1.6957343056714924E-2</v>
      </c>
      <c r="Z253" s="67"/>
      <c r="AA253" s="71">
        <v>40452</v>
      </c>
      <c r="AB253" s="99">
        <v>1357.6</v>
      </c>
      <c r="AC253" s="99">
        <v>1309.5999999999999</v>
      </c>
      <c r="AD253" s="73">
        <f t="shared" si="32"/>
        <v>3.6652412950519242E-2</v>
      </c>
      <c r="AE253" s="67"/>
      <c r="AF253" s="71">
        <v>40452</v>
      </c>
      <c r="AG253" s="72">
        <v>77.27</v>
      </c>
      <c r="AH253" s="72">
        <v>78.8</v>
      </c>
      <c r="AI253" s="73">
        <f t="shared" si="33"/>
        <v>-1.9416243654822307E-2</v>
      </c>
      <c r="AJ253" s="67"/>
      <c r="AK253" s="74">
        <v>40482</v>
      </c>
      <c r="AL253" s="41">
        <v>2.63E-2</v>
      </c>
      <c r="AM253" s="41">
        <f t="shared" si="35"/>
        <v>1.0000000000000009E-3</v>
      </c>
      <c r="AN253" s="67"/>
      <c r="AO253" s="75">
        <v>40452</v>
      </c>
      <c r="AP253" s="76">
        <v>726495.6</v>
      </c>
      <c r="AQ253" s="80">
        <f t="shared" si="7"/>
        <v>1.0097433001265976E-4</v>
      </c>
      <c r="AR253" s="67"/>
      <c r="AS253" s="94">
        <v>40452</v>
      </c>
      <c r="AT253" s="78">
        <v>0.82599999999999996</v>
      </c>
      <c r="AU253" s="67"/>
      <c r="AV253" s="79">
        <v>40452</v>
      </c>
      <c r="AW253" s="76">
        <v>342646.2</v>
      </c>
      <c r="AX253" s="80">
        <f t="shared" si="8"/>
        <v>1.4236768377602793E-2</v>
      </c>
      <c r="AY253" s="67"/>
      <c r="AZ253" s="81">
        <v>40452</v>
      </c>
      <c r="BA253" s="82">
        <v>65.991935729980469</v>
      </c>
      <c r="BB253" s="82">
        <v>62.096179962158203</v>
      </c>
      <c r="BC253" s="67"/>
      <c r="BD253" s="83">
        <v>40466</v>
      </c>
      <c r="BE253" s="42">
        <v>5631</v>
      </c>
      <c r="BF253" s="41">
        <f t="shared" si="9"/>
        <v>2.6709401709401615E-3</v>
      </c>
      <c r="BG253" s="67"/>
      <c r="BH253" s="84">
        <v>40452</v>
      </c>
      <c r="BI253" s="85">
        <v>92.690299999999993</v>
      </c>
      <c r="BJ253" s="87">
        <f t="shared" si="10"/>
        <v>-2.8336688050072389E-3</v>
      </c>
      <c r="BK253" s="67"/>
      <c r="BL253" s="84">
        <v>40452</v>
      </c>
      <c r="BM253" s="86">
        <v>53.323363000000001</v>
      </c>
      <c r="BN253" s="67"/>
      <c r="BO253" s="88">
        <v>40452</v>
      </c>
      <c r="BP253" s="89">
        <v>3.7389999999999999</v>
      </c>
      <c r="BQ253" s="89">
        <v>3.6549999999999998</v>
      </c>
      <c r="BR253" s="90">
        <f t="shared" si="5"/>
        <v>2.2982216142270806E-2</v>
      </c>
    </row>
    <row r="254" spans="1:70">
      <c r="A254" s="62">
        <v>40483</v>
      </c>
      <c r="B254" s="63">
        <v>40483</v>
      </c>
      <c r="C254" s="39">
        <v>84.11</v>
      </c>
      <c r="D254" s="64">
        <v>81.45</v>
      </c>
      <c r="E254" s="40">
        <f t="shared" si="29"/>
        <v>3.2658072437077967E-2</v>
      </c>
      <c r="F254" s="65"/>
      <c r="G254" s="63">
        <v>40483</v>
      </c>
      <c r="H254" s="39">
        <v>23.54</v>
      </c>
      <c r="I254" s="39">
        <v>21.65</v>
      </c>
      <c r="J254" s="40">
        <f t="shared" si="34"/>
        <v>8.7297921478060037E-2</v>
      </c>
      <c r="K254" s="67"/>
      <c r="L254" s="68">
        <v>40483</v>
      </c>
      <c r="M254" s="98">
        <v>1180.5</v>
      </c>
      <c r="N254" s="98">
        <v>1185.7</v>
      </c>
      <c r="O254" s="70">
        <f t="shared" si="30"/>
        <v>-4.385595007168841E-3</v>
      </c>
      <c r="P254" s="67"/>
      <c r="Q254" s="38">
        <v>40483</v>
      </c>
      <c r="R254" s="39">
        <v>4.18</v>
      </c>
      <c r="S254" s="39">
        <v>4.0309999999999997</v>
      </c>
      <c r="T254" s="40">
        <f t="shared" si="36"/>
        <v>3.6963532622178219E-2</v>
      </c>
      <c r="U254" s="67"/>
      <c r="V254" s="38">
        <v>40483</v>
      </c>
      <c r="W254" s="39">
        <v>2.3243999999999998</v>
      </c>
      <c r="X254" s="39">
        <v>2.2679</v>
      </c>
      <c r="Y254" s="40">
        <f t="shared" si="31"/>
        <v>2.4912915031526817E-2</v>
      </c>
      <c r="Z254" s="67"/>
      <c r="AA254" s="71">
        <v>40483</v>
      </c>
      <c r="AB254" s="99">
        <v>1386.1</v>
      </c>
      <c r="AC254" s="99">
        <v>1359.7</v>
      </c>
      <c r="AD254" s="73">
        <f t="shared" si="32"/>
        <v>1.9416047657571323E-2</v>
      </c>
      <c r="AE254" s="67"/>
      <c r="AF254" s="71">
        <v>40483</v>
      </c>
      <c r="AG254" s="72">
        <v>81.19</v>
      </c>
      <c r="AH254" s="72">
        <v>76.97</v>
      </c>
      <c r="AI254" s="73">
        <f t="shared" si="33"/>
        <v>5.4826555800961296E-2</v>
      </c>
      <c r="AJ254" s="67"/>
      <c r="AK254" s="74">
        <v>40512</v>
      </c>
      <c r="AL254" s="41">
        <v>2.81E-2</v>
      </c>
      <c r="AM254" s="41">
        <f t="shared" si="35"/>
        <v>1.7999999999999995E-3</v>
      </c>
      <c r="AN254" s="67"/>
      <c r="AO254" s="75">
        <v>40483</v>
      </c>
      <c r="AP254" s="76">
        <v>726549.25</v>
      </c>
      <c r="AQ254" s="80">
        <f t="shared" si="7"/>
        <v>7.384765991713671E-5</v>
      </c>
      <c r="AR254" s="67"/>
      <c r="AS254" s="94">
        <v>40483</v>
      </c>
      <c r="AT254" s="78">
        <v>0.83625000000000005</v>
      </c>
      <c r="AU254" s="67"/>
      <c r="AV254" s="79">
        <v>40483</v>
      </c>
      <c r="AW254" s="76">
        <v>339165.5</v>
      </c>
      <c r="AX254" s="80">
        <f t="shared" si="8"/>
        <v>-1.0158291555546262E-2</v>
      </c>
      <c r="AY254" s="67"/>
      <c r="AZ254" s="81">
        <v>40483</v>
      </c>
      <c r="BA254" s="82">
        <v>94.705169677734375</v>
      </c>
      <c r="BB254" s="82">
        <v>98.68914794921875</v>
      </c>
      <c r="BC254" s="67"/>
      <c r="BD254" s="83">
        <v>40497</v>
      </c>
      <c r="BE254" s="42">
        <v>5576</v>
      </c>
      <c r="BF254" s="41">
        <f t="shared" si="9"/>
        <v>-9.7673592612325111E-3</v>
      </c>
      <c r="BG254" s="67"/>
      <c r="BH254" s="84">
        <v>40483</v>
      </c>
      <c r="BI254" s="85">
        <v>92.770899999999997</v>
      </c>
      <c r="BJ254" s="87">
        <f t="shared" si="10"/>
        <v>8.6956240296998111E-4</v>
      </c>
      <c r="BK254" s="67"/>
      <c r="BL254" s="84">
        <v>40483</v>
      </c>
      <c r="BM254" s="86">
        <v>38.371899999999997</v>
      </c>
      <c r="BN254" s="67"/>
      <c r="BO254" s="88">
        <v>40483</v>
      </c>
      <c r="BP254" s="89">
        <v>3.8254999999999999</v>
      </c>
      <c r="BQ254" s="89">
        <v>3.7745000000000002</v>
      </c>
      <c r="BR254" s="90">
        <f t="shared" si="5"/>
        <v>1.3511723407073628E-2</v>
      </c>
    </row>
    <row r="255" spans="1:70">
      <c r="A255" s="62">
        <v>40513</v>
      </c>
      <c r="B255" s="63">
        <v>40513</v>
      </c>
      <c r="C255" s="39">
        <v>91.38</v>
      </c>
      <c r="D255" s="64">
        <v>83.66</v>
      </c>
      <c r="E255" s="40">
        <f t="shared" si="29"/>
        <v>9.2278269184795647E-2</v>
      </c>
      <c r="F255" s="65"/>
      <c r="G255" s="63">
        <v>40513</v>
      </c>
      <c r="H255" s="39">
        <v>17.75</v>
      </c>
      <c r="I255" s="39">
        <v>21.19</v>
      </c>
      <c r="J255" s="40">
        <f t="shared" si="34"/>
        <v>-0.16234072675790467</v>
      </c>
      <c r="K255" s="67"/>
      <c r="L255" s="68">
        <v>40513</v>
      </c>
      <c r="M255" s="98">
        <v>1257.5999999999999</v>
      </c>
      <c r="N255" s="98">
        <v>1186.5999999999999</v>
      </c>
      <c r="O255" s="70">
        <f t="shared" si="30"/>
        <v>5.983482218102143E-2</v>
      </c>
      <c r="P255" s="67"/>
      <c r="Q255" s="38">
        <v>40513</v>
      </c>
      <c r="R255" s="39">
        <v>4.4050000000000002</v>
      </c>
      <c r="S255" s="39">
        <v>4.1959999999999997</v>
      </c>
      <c r="T255" s="40">
        <f t="shared" si="36"/>
        <v>4.9809342230695997E-2</v>
      </c>
      <c r="U255" s="67"/>
      <c r="V255" s="38">
        <v>40513</v>
      </c>
      <c r="W255" s="39">
        <v>2.5424000000000002</v>
      </c>
      <c r="X255" s="39">
        <v>2.3376000000000001</v>
      </c>
      <c r="Y255" s="40">
        <f t="shared" si="31"/>
        <v>8.7611225188227282E-2</v>
      </c>
      <c r="Z255" s="67"/>
      <c r="AA255" s="71">
        <v>40513</v>
      </c>
      <c r="AB255" s="99">
        <v>1421.4</v>
      </c>
      <c r="AC255" s="99">
        <v>1387.7</v>
      </c>
      <c r="AD255" s="73">
        <f t="shared" si="32"/>
        <v>2.4284787778338313E-2</v>
      </c>
      <c r="AE255" s="67"/>
      <c r="AF255" s="71">
        <v>40513</v>
      </c>
      <c r="AG255" s="72">
        <v>79.03</v>
      </c>
      <c r="AH255" s="72">
        <v>81.260000000000005</v>
      </c>
      <c r="AI255" s="73">
        <f t="shared" si="33"/>
        <v>-2.7442776273689407E-2</v>
      </c>
      <c r="AJ255" s="67"/>
      <c r="AK255" s="74">
        <v>40543</v>
      </c>
      <c r="AL255" s="41">
        <v>3.3000000000000002E-2</v>
      </c>
      <c r="AM255" s="41">
        <f t="shared" si="35"/>
        <v>4.9000000000000016E-3</v>
      </c>
      <c r="AN255" s="67"/>
      <c r="AO255" s="75">
        <v>40513</v>
      </c>
      <c r="AP255" s="76">
        <v>726546.8</v>
      </c>
      <c r="AQ255" s="80">
        <f t="shared" si="7"/>
        <v>-3.3721045062939936E-6</v>
      </c>
      <c r="AR255" s="67"/>
      <c r="AS255" s="94">
        <v>40513</v>
      </c>
      <c r="AT255" s="78">
        <v>0.878</v>
      </c>
      <c r="AU255" s="67"/>
      <c r="AV255" s="79">
        <v>40513</v>
      </c>
      <c r="AW255" s="76">
        <v>322105.59999999998</v>
      </c>
      <c r="AX255" s="80">
        <f t="shared" si="8"/>
        <v>-5.0299632480308332E-2</v>
      </c>
      <c r="AY255" s="67"/>
      <c r="AZ255" s="81">
        <v>40513</v>
      </c>
      <c r="BA255" s="82">
        <v>97.203895568847656</v>
      </c>
      <c r="BB255" s="82">
        <v>100.39768218994141</v>
      </c>
      <c r="BC255" s="67"/>
      <c r="BD255" s="83">
        <v>40527</v>
      </c>
      <c r="BE255" s="42">
        <v>5607</v>
      </c>
      <c r="BF255" s="41">
        <f t="shared" si="9"/>
        <v>5.559540889526593E-3</v>
      </c>
      <c r="BG255" s="67"/>
      <c r="BH255" s="84">
        <v>40513</v>
      </c>
      <c r="BI255" s="85">
        <v>93.678700000000006</v>
      </c>
      <c r="BJ255" s="87">
        <f t="shared" si="10"/>
        <v>9.7853960670857276E-3</v>
      </c>
      <c r="BK255" s="67"/>
      <c r="BL255" s="84">
        <v>40513</v>
      </c>
      <c r="BM255" s="86">
        <v>24.791430999999999</v>
      </c>
      <c r="BN255" s="67"/>
      <c r="BO255" s="88">
        <v>40513</v>
      </c>
      <c r="BP255" s="89">
        <v>4.4470000000000001</v>
      </c>
      <c r="BQ255" s="89">
        <v>3.8690000000000002</v>
      </c>
      <c r="BR255" s="90">
        <f t="shared" si="5"/>
        <v>0.14939260790902043</v>
      </c>
    </row>
    <row r="256" spans="1:70">
      <c r="A256" s="62">
        <v>40544</v>
      </c>
      <c r="B256" s="63">
        <v>40544</v>
      </c>
      <c r="C256" s="39">
        <v>92.19</v>
      </c>
      <c r="D256" s="64">
        <v>91.31</v>
      </c>
      <c r="E256" s="40">
        <f t="shared" si="29"/>
        <v>9.6374986310370225E-3</v>
      </c>
      <c r="F256" s="65"/>
      <c r="G256" s="63">
        <v>40544</v>
      </c>
      <c r="H256" s="39">
        <v>19.53</v>
      </c>
      <c r="I256" s="39">
        <v>17.940000000000001</v>
      </c>
      <c r="J256" s="40">
        <f t="shared" si="34"/>
        <v>8.8628762541806072E-2</v>
      </c>
      <c r="K256" s="67"/>
      <c r="L256" s="68">
        <v>40544</v>
      </c>
      <c r="M256" s="98">
        <v>1286.0999999999999</v>
      </c>
      <c r="N256" s="98">
        <v>1257.5999999999999</v>
      </c>
      <c r="O256" s="70">
        <f t="shared" si="30"/>
        <v>2.2662213740457959E-2</v>
      </c>
      <c r="P256" s="67"/>
      <c r="Q256" s="38">
        <v>40544</v>
      </c>
      <c r="R256" s="39">
        <v>4.42</v>
      </c>
      <c r="S256" s="39">
        <v>4.492</v>
      </c>
      <c r="T256" s="40">
        <f t="shared" si="36"/>
        <v>-1.6028495102404339E-2</v>
      </c>
      <c r="U256" s="67"/>
      <c r="V256" s="38">
        <v>40544</v>
      </c>
      <c r="W256" s="39">
        <v>2.7403</v>
      </c>
      <c r="X256" s="39">
        <v>2.548</v>
      </c>
      <c r="Y256" s="40">
        <f t="shared" si="31"/>
        <v>7.5470957613814615E-2</v>
      </c>
      <c r="Z256" s="67"/>
      <c r="AA256" s="71">
        <v>40544</v>
      </c>
      <c r="AB256" s="99">
        <v>1334.5</v>
      </c>
      <c r="AC256" s="99">
        <v>1420.4</v>
      </c>
      <c r="AD256" s="73">
        <f t="shared" si="32"/>
        <v>-6.0475922275415428E-2</v>
      </c>
      <c r="AE256" s="67"/>
      <c r="AF256" s="71">
        <v>40544</v>
      </c>
      <c r="AG256" s="72">
        <v>77.73</v>
      </c>
      <c r="AH256" s="72">
        <v>79.14</v>
      </c>
      <c r="AI256" s="73">
        <f t="shared" si="33"/>
        <v>-1.7816527672479099E-2</v>
      </c>
      <c r="AJ256" s="67"/>
      <c r="AK256" s="74">
        <v>40574</v>
      </c>
      <c r="AL256" s="41">
        <v>3.4200000000000001E-2</v>
      </c>
      <c r="AM256" s="41">
        <f t="shared" si="35"/>
        <v>1.1999999999999997E-3</v>
      </c>
      <c r="AN256" s="67"/>
      <c r="AO256" s="75">
        <v>40544</v>
      </c>
      <c r="AP256" s="76">
        <v>726544.25</v>
      </c>
      <c r="AQ256" s="80">
        <f t="shared" si="7"/>
        <v>-3.509753260244608E-6</v>
      </c>
      <c r="AR256" s="67"/>
      <c r="AS256" s="94">
        <v>40544</v>
      </c>
      <c r="AT256" s="78">
        <v>0.83924999999999994</v>
      </c>
      <c r="AU256" s="67"/>
      <c r="AV256" s="79">
        <v>40544</v>
      </c>
      <c r="AW256" s="76">
        <v>316555.25</v>
      </c>
      <c r="AX256" s="80">
        <f t="shared" si="8"/>
        <v>-1.7231460738341586E-2</v>
      </c>
      <c r="AY256" s="67"/>
      <c r="AZ256" s="81">
        <v>40544</v>
      </c>
      <c r="BA256" s="82">
        <v>79.421615600585938</v>
      </c>
      <c r="BB256" s="82">
        <v>76.59356689453125</v>
      </c>
      <c r="BC256" s="67"/>
      <c r="BD256" s="83">
        <v>40558</v>
      </c>
      <c r="BE256" s="42">
        <v>5497</v>
      </c>
      <c r="BF256" s="41">
        <f t="shared" si="9"/>
        <v>-1.9618334225075751E-2</v>
      </c>
      <c r="BG256" s="67"/>
      <c r="BH256" s="84">
        <v>40544</v>
      </c>
      <c r="BI256" s="85">
        <v>93.481399999999994</v>
      </c>
      <c r="BJ256" s="87">
        <f t="shared" si="10"/>
        <v>-2.1061351192962485E-3</v>
      </c>
      <c r="BK256" s="67"/>
      <c r="BL256" s="84">
        <v>40544</v>
      </c>
      <c r="BM256" s="86">
        <v>-12.499181999999999</v>
      </c>
      <c r="BN256" s="67"/>
      <c r="BO256" s="88">
        <v>40544</v>
      </c>
      <c r="BP256" s="89">
        <v>4.4634999999999998</v>
      </c>
      <c r="BQ256" s="89">
        <v>4.4550000000000001</v>
      </c>
      <c r="BR256" s="90">
        <f t="shared" si="5"/>
        <v>1.9079685746352659E-3</v>
      </c>
    </row>
    <row r="257" spans="1:70">
      <c r="A257" s="62">
        <v>40575</v>
      </c>
      <c r="B257" s="63">
        <v>40575</v>
      </c>
      <c r="C257" s="39">
        <v>96.97</v>
      </c>
      <c r="D257" s="64">
        <v>92.2</v>
      </c>
      <c r="E257" s="40">
        <f t="shared" si="29"/>
        <v>5.1735357917570557E-2</v>
      </c>
      <c r="F257" s="65"/>
      <c r="G257" s="63">
        <v>40575</v>
      </c>
      <c r="H257" s="39">
        <v>18.350000000000001</v>
      </c>
      <c r="I257" s="39">
        <v>18.59</v>
      </c>
      <c r="J257" s="40">
        <f t="shared" si="34"/>
        <v>-1.2910166756320507E-2</v>
      </c>
      <c r="K257" s="67"/>
      <c r="L257" s="68">
        <v>40575</v>
      </c>
      <c r="M257" s="98">
        <v>1327.2</v>
      </c>
      <c r="N257" s="98">
        <v>1289.0999999999999</v>
      </c>
      <c r="O257" s="70">
        <f t="shared" si="30"/>
        <v>2.9555503839888475E-2</v>
      </c>
      <c r="P257" s="67"/>
      <c r="Q257" s="38">
        <v>40575</v>
      </c>
      <c r="R257" s="39">
        <v>4.0369999999999999</v>
      </c>
      <c r="S257" s="39">
        <v>4.4169999999999998</v>
      </c>
      <c r="T257" s="40">
        <f t="shared" si="36"/>
        <v>-8.6031242925062257E-2</v>
      </c>
      <c r="U257" s="67"/>
      <c r="V257" s="38">
        <v>40575</v>
      </c>
      <c r="W257" s="39">
        <v>2.9388999999999998</v>
      </c>
      <c r="X257" s="39">
        <v>2.7269999999999999</v>
      </c>
      <c r="Y257" s="40">
        <f t="shared" si="31"/>
        <v>7.7704437110377667E-2</v>
      </c>
      <c r="Z257" s="67"/>
      <c r="AA257" s="71">
        <v>40575</v>
      </c>
      <c r="AB257" s="99">
        <v>1409.9</v>
      </c>
      <c r="AC257" s="99">
        <v>1334</v>
      </c>
      <c r="AD257" s="73">
        <f t="shared" si="32"/>
        <v>5.6896551724137989E-2</v>
      </c>
      <c r="AE257" s="67"/>
      <c r="AF257" s="71">
        <v>40575</v>
      </c>
      <c r="AG257" s="72">
        <v>76.89</v>
      </c>
      <c r="AH257" s="72">
        <v>77.61</v>
      </c>
      <c r="AI257" s="73">
        <f t="shared" si="33"/>
        <v>-9.2771550057981766E-3</v>
      </c>
      <c r="AJ257" s="67"/>
      <c r="AK257" s="74">
        <v>40602</v>
      </c>
      <c r="AL257" s="41">
        <v>3.4200000000000001E-2</v>
      </c>
      <c r="AM257" s="41">
        <f t="shared" si="35"/>
        <v>0</v>
      </c>
      <c r="AN257" s="67"/>
      <c r="AO257" s="75">
        <v>40575</v>
      </c>
      <c r="AP257" s="76">
        <v>726543.25</v>
      </c>
      <c r="AQ257" s="80">
        <f t="shared" si="7"/>
        <v>-1.3763786582687842E-6</v>
      </c>
      <c r="AR257" s="67"/>
      <c r="AS257" s="94">
        <v>40575</v>
      </c>
      <c r="AT257" s="78">
        <v>0.8155</v>
      </c>
      <c r="AU257" s="67"/>
      <c r="AV257" s="79">
        <v>40575</v>
      </c>
      <c r="AW257" s="76">
        <v>324369</v>
      </c>
      <c r="AX257" s="80">
        <f t="shared" si="8"/>
        <v>2.4683684759611468E-2</v>
      </c>
      <c r="AY257" s="67"/>
      <c r="AZ257" s="81">
        <v>40575</v>
      </c>
      <c r="BA257" s="82">
        <v>90.014488220214844</v>
      </c>
      <c r="BB257" s="82">
        <v>90.189338684082031</v>
      </c>
      <c r="BC257" s="67"/>
      <c r="BD257" s="83">
        <v>40589</v>
      </c>
      <c r="BE257" s="42">
        <v>5406</v>
      </c>
      <c r="BF257" s="41">
        <f t="shared" si="9"/>
        <v>-1.6554484264144076E-2</v>
      </c>
      <c r="BG257" s="67"/>
      <c r="BH257" s="84">
        <v>40575</v>
      </c>
      <c r="BI257" s="85">
        <v>93.110200000000006</v>
      </c>
      <c r="BJ257" s="87">
        <f t="shared" si="10"/>
        <v>-3.970843397723911E-3</v>
      </c>
      <c r="BK257" s="67"/>
      <c r="BL257" s="84">
        <v>40575</v>
      </c>
      <c r="BM257" s="86">
        <v>-29.735218</v>
      </c>
      <c r="BN257" s="67"/>
      <c r="BO257" s="88">
        <v>40575</v>
      </c>
      <c r="BP257" s="89">
        <v>4.4965000000000002</v>
      </c>
      <c r="BQ257" s="89">
        <v>4.4705000000000004</v>
      </c>
      <c r="BR257" s="90">
        <f t="shared" si="5"/>
        <v>5.8159042612682121E-3</v>
      </c>
    </row>
    <row r="258" spans="1:70">
      <c r="A258" s="62">
        <v>40603</v>
      </c>
      <c r="B258" s="63">
        <v>40603</v>
      </c>
      <c r="C258" s="39">
        <v>106.72</v>
      </c>
      <c r="D258" s="64">
        <v>96.97</v>
      </c>
      <c r="E258" s="40">
        <f t="shared" si="29"/>
        <v>0.10054656079199753</v>
      </c>
      <c r="F258" s="65"/>
      <c r="G258" s="63">
        <v>40603</v>
      </c>
      <c r="H258" s="39">
        <v>17.739999999999998</v>
      </c>
      <c r="I258" s="39">
        <v>17.63</v>
      </c>
      <c r="J258" s="40">
        <f t="shared" si="34"/>
        <v>6.2393647192284796E-3</v>
      </c>
      <c r="K258" s="67"/>
      <c r="L258" s="68">
        <v>40603</v>
      </c>
      <c r="M258" s="98">
        <v>1325.8</v>
      </c>
      <c r="N258" s="98">
        <v>1328.6</v>
      </c>
      <c r="O258" s="70">
        <f t="shared" si="30"/>
        <v>-2.1074815595363283E-3</v>
      </c>
      <c r="P258" s="67"/>
      <c r="Q258" s="38">
        <v>40603</v>
      </c>
      <c r="R258" s="39">
        <v>4.3890000000000002</v>
      </c>
      <c r="S258" s="39">
        <v>4.05</v>
      </c>
      <c r="T258" s="40">
        <f t="shared" si="36"/>
        <v>8.3703703703703836E-2</v>
      </c>
      <c r="U258" s="67"/>
      <c r="V258" s="38">
        <v>40603</v>
      </c>
      <c r="W258" s="39">
        <v>3.1124999999999998</v>
      </c>
      <c r="X258" s="39">
        <v>2.9540000000000002</v>
      </c>
      <c r="Y258" s="40">
        <f t="shared" si="31"/>
        <v>5.3656059580230009E-2</v>
      </c>
      <c r="Z258" s="67"/>
      <c r="AA258" s="71">
        <v>40603</v>
      </c>
      <c r="AB258" s="99">
        <v>1439.9</v>
      </c>
      <c r="AC258" s="99">
        <v>1411.6</v>
      </c>
      <c r="AD258" s="73">
        <f t="shared" si="32"/>
        <v>2.0048172286766919E-2</v>
      </c>
      <c r="AE258" s="67"/>
      <c r="AF258" s="71">
        <v>40603</v>
      </c>
      <c r="AG258" s="72">
        <v>75.86</v>
      </c>
      <c r="AH258" s="72">
        <v>76.86</v>
      </c>
      <c r="AI258" s="73">
        <f t="shared" si="33"/>
        <v>-1.3010668748373644E-2</v>
      </c>
      <c r="AJ258" s="67"/>
      <c r="AK258" s="74">
        <v>40633</v>
      </c>
      <c r="AL258" s="41">
        <v>3.4700000000000002E-2</v>
      </c>
      <c r="AM258" s="41">
        <f t="shared" si="35"/>
        <v>5.0000000000000044E-4</v>
      </c>
      <c r="AN258" s="67"/>
      <c r="AO258" s="75">
        <v>40603</v>
      </c>
      <c r="AP258" s="76">
        <v>726542</v>
      </c>
      <c r="AQ258" s="80">
        <f t="shared" si="7"/>
        <v>-1.7204756909139363E-6</v>
      </c>
      <c r="AR258" s="67"/>
      <c r="AS258" s="94">
        <v>40603</v>
      </c>
      <c r="AT258" s="78">
        <v>0.83400000000000007</v>
      </c>
      <c r="AU258" s="67"/>
      <c r="AV258" s="79">
        <v>40603</v>
      </c>
      <c r="AW258" s="76">
        <v>330209.5</v>
      </c>
      <c r="AX258" s="80">
        <f t="shared" si="8"/>
        <v>1.8005728044295122E-2</v>
      </c>
      <c r="AY258" s="67"/>
      <c r="AZ258" s="81">
        <v>40603</v>
      </c>
      <c r="BA258" s="82">
        <v>136.8883056640625</v>
      </c>
      <c r="BB258" s="82">
        <v>126.96572875976563</v>
      </c>
      <c r="BC258" s="67"/>
      <c r="BD258" s="83">
        <v>40617</v>
      </c>
      <c r="BE258" s="42">
        <v>5618</v>
      </c>
      <c r="BF258" s="41">
        <f t="shared" si="9"/>
        <v>3.9215686274509887E-2</v>
      </c>
      <c r="BG258" s="67"/>
      <c r="BH258" s="84">
        <v>40603</v>
      </c>
      <c r="BI258" s="85">
        <v>94.078800000000001</v>
      </c>
      <c r="BJ258" s="87">
        <f t="shared" si="10"/>
        <v>1.040272709112422E-2</v>
      </c>
      <c r="BK258" s="67"/>
      <c r="BL258" s="84">
        <v>40603</v>
      </c>
      <c r="BM258" s="86">
        <v>-6.6412727</v>
      </c>
      <c r="BN258" s="67"/>
      <c r="BO258" s="88">
        <v>40603</v>
      </c>
      <c r="BP258" s="89">
        <v>4.3170000000000002</v>
      </c>
      <c r="BQ258" s="89">
        <v>4.4995000000000003</v>
      </c>
      <c r="BR258" s="90">
        <f t="shared" si="5"/>
        <v>-4.0560062229136551E-2</v>
      </c>
    </row>
    <row r="259" spans="1:70">
      <c r="A259" s="62">
        <v>40634</v>
      </c>
      <c r="B259" s="63">
        <v>40634</v>
      </c>
      <c r="C259" s="39">
        <v>113.93</v>
      </c>
      <c r="D259" s="64">
        <v>106.62</v>
      </c>
      <c r="E259" s="40">
        <f t="shared" si="29"/>
        <v>6.856124554492582E-2</v>
      </c>
      <c r="F259" s="65"/>
      <c r="G259" s="63">
        <v>40634</v>
      </c>
      <c r="H259" s="39">
        <v>14.75</v>
      </c>
      <c r="I259" s="39">
        <v>16.68</v>
      </c>
      <c r="J259" s="40">
        <f t="shared" si="34"/>
        <v>-0.11570743405275774</v>
      </c>
      <c r="K259" s="67"/>
      <c r="L259" s="68">
        <v>40634</v>
      </c>
      <c r="M259" s="98">
        <v>1363.6</v>
      </c>
      <c r="N259" s="98">
        <v>1329.5</v>
      </c>
      <c r="O259" s="70">
        <f t="shared" si="30"/>
        <v>2.5648740127867553E-2</v>
      </c>
      <c r="P259" s="67"/>
      <c r="Q259" s="38">
        <v>40634</v>
      </c>
      <c r="R259" s="39">
        <v>4.6980000000000004</v>
      </c>
      <c r="S259" s="39">
        <v>4.4050000000000002</v>
      </c>
      <c r="T259" s="40">
        <f t="shared" si="36"/>
        <v>6.6515323496027179E-2</v>
      </c>
      <c r="U259" s="67"/>
      <c r="V259" s="38">
        <v>40634</v>
      </c>
      <c r="W259" s="39">
        <v>3.2757999999999998</v>
      </c>
      <c r="X259" s="39">
        <v>3.1175000000000002</v>
      </c>
      <c r="Y259" s="40">
        <f t="shared" si="31"/>
        <v>5.0777866880513223E-2</v>
      </c>
      <c r="Z259" s="67"/>
      <c r="AA259" s="71">
        <v>40634</v>
      </c>
      <c r="AB259" s="99">
        <v>1556.4</v>
      </c>
      <c r="AC259" s="99">
        <v>1433.8</v>
      </c>
      <c r="AD259" s="73">
        <f t="shared" si="32"/>
        <v>8.5507044218161576E-2</v>
      </c>
      <c r="AE259" s="67"/>
      <c r="AF259" s="71">
        <v>40634</v>
      </c>
      <c r="AG259" s="72">
        <v>72.930000000000007</v>
      </c>
      <c r="AH259" s="72">
        <v>76.05</v>
      </c>
      <c r="AI259" s="73">
        <f t="shared" si="33"/>
        <v>-4.102564102564088E-2</v>
      </c>
      <c r="AJ259" s="67"/>
      <c r="AK259" s="74">
        <v>40663</v>
      </c>
      <c r="AL259" s="41">
        <v>3.32E-2</v>
      </c>
      <c r="AM259" s="41">
        <f t="shared" si="35"/>
        <v>-1.5000000000000013E-3</v>
      </c>
      <c r="AN259" s="67"/>
      <c r="AO259" s="75">
        <v>40634</v>
      </c>
      <c r="AP259" s="76">
        <v>726542</v>
      </c>
      <c r="AQ259" s="80">
        <f t="shared" si="7"/>
        <v>0</v>
      </c>
      <c r="AR259" s="67"/>
      <c r="AS259" s="94">
        <v>40634</v>
      </c>
      <c r="AT259" s="78">
        <v>0.8276</v>
      </c>
      <c r="AU259" s="67"/>
      <c r="AV259" s="79">
        <v>40634</v>
      </c>
      <c r="AW259" s="76">
        <v>338591</v>
      </c>
      <c r="AX259" s="80">
        <f t="shared" si="8"/>
        <v>2.5382370888784145E-2</v>
      </c>
      <c r="AY259" s="67"/>
      <c r="AZ259" s="81">
        <v>40634</v>
      </c>
      <c r="BA259" s="82">
        <v>91.017768859863281</v>
      </c>
      <c r="BB259" s="82">
        <v>72.923179626464844</v>
      </c>
      <c r="BC259" s="67"/>
      <c r="BD259" s="83">
        <v>40648</v>
      </c>
      <c r="BE259" s="42">
        <v>5562</v>
      </c>
      <c r="BF259" s="41">
        <f t="shared" si="9"/>
        <v>-9.967960128159481E-3</v>
      </c>
      <c r="BG259" s="67"/>
      <c r="BH259" s="84">
        <v>40634</v>
      </c>
      <c r="BI259" s="85">
        <v>93.774900000000002</v>
      </c>
      <c r="BJ259" s="87">
        <f t="shared" si="10"/>
        <v>-3.2302707942702957E-3</v>
      </c>
      <c r="BK259" s="67"/>
      <c r="BL259" s="84">
        <v>40634</v>
      </c>
      <c r="BM259" s="86">
        <v>-17.530376</v>
      </c>
      <c r="BN259" s="67"/>
      <c r="BO259" s="88">
        <v>40634</v>
      </c>
      <c r="BP259" s="89">
        <v>4.1790000000000003</v>
      </c>
      <c r="BQ259" s="89">
        <v>4.2770000000000001</v>
      </c>
      <c r="BR259" s="90">
        <f t="shared" ref="BR259:BR436" si="37">BP259/BQ259-1</f>
        <v>-2.2913256955810146E-2</v>
      </c>
    </row>
    <row r="260" spans="1:70">
      <c r="A260" s="62">
        <v>40664</v>
      </c>
      <c r="B260" s="63">
        <v>40664</v>
      </c>
      <c r="C260" s="39">
        <v>102.7</v>
      </c>
      <c r="D260" s="64">
        <v>113.89</v>
      </c>
      <c r="E260" s="40">
        <f t="shared" ref="E260:E323" si="38">C260/D260-1</f>
        <v>-9.8252699973658819E-2</v>
      </c>
      <c r="F260" s="65"/>
      <c r="G260" s="63">
        <v>40664</v>
      </c>
      <c r="H260" s="39">
        <v>15.45</v>
      </c>
      <c r="I260" s="39">
        <v>15.07</v>
      </c>
      <c r="J260" s="40">
        <f t="shared" si="34"/>
        <v>2.5215660252156491E-2</v>
      </c>
      <c r="K260" s="67"/>
      <c r="L260" s="68">
        <v>40664</v>
      </c>
      <c r="M260" s="98">
        <v>1345.2</v>
      </c>
      <c r="N260" s="98">
        <v>1365.2</v>
      </c>
      <c r="O260" s="70">
        <f t="shared" ref="O260:O323" si="39">M260/N260-1</f>
        <v>-1.4649868151186629E-2</v>
      </c>
      <c r="P260" s="67"/>
      <c r="Q260" s="38">
        <v>40664</v>
      </c>
      <c r="R260" s="39">
        <v>4.6660000000000004</v>
      </c>
      <c r="S260" s="39">
        <v>4.6849999999999996</v>
      </c>
      <c r="T260" s="40">
        <f t="shared" si="36"/>
        <v>-4.0554962646743853E-3</v>
      </c>
      <c r="U260" s="67"/>
      <c r="V260" s="38">
        <v>40664</v>
      </c>
      <c r="W260" s="39">
        <v>3.0529999999999999</v>
      </c>
      <c r="X260" s="39">
        <v>3.2907000000000002</v>
      </c>
      <c r="Y260" s="40">
        <f t="shared" ref="Y260:Y323" si="40">W260/X260-1</f>
        <v>-7.2233871212811884E-2</v>
      </c>
      <c r="Z260" s="67"/>
      <c r="AA260" s="71">
        <v>40664</v>
      </c>
      <c r="AB260" s="99">
        <v>1536.8</v>
      </c>
      <c r="AC260" s="99">
        <v>1566.8</v>
      </c>
      <c r="AD260" s="73">
        <f t="shared" ref="AD260:AD323" si="41">AB260/AC260-1</f>
        <v>-1.9147306612203208E-2</v>
      </c>
      <c r="AE260" s="67"/>
      <c r="AF260" s="71">
        <v>40664</v>
      </c>
      <c r="AG260" s="72">
        <v>74.64</v>
      </c>
      <c r="AH260" s="72">
        <v>72.989999999999995</v>
      </c>
      <c r="AI260" s="73">
        <f t="shared" ref="AI260:AI323" si="42">AG260/AH260-1</f>
        <v>2.2605836415947378E-2</v>
      </c>
      <c r="AJ260" s="67"/>
      <c r="AK260" s="74">
        <v>40694</v>
      </c>
      <c r="AL260" s="41">
        <v>3.0499999999999999E-2</v>
      </c>
      <c r="AM260" s="41">
        <f t="shared" si="35"/>
        <v>-2.700000000000001E-3</v>
      </c>
      <c r="AN260" s="67"/>
      <c r="AO260" s="92">
        <v>40664</v>
      </c>
      <c r="AP260" s="76">
        <v>726542</v>
      </c>
      <c r="AQ260" s="80">
        <f t="shared" ref="AQ260:AQ436" si="43">AP260/AP259-1</f>
        <v>0</v>
      </c>
      <c r="AR260" s="67"/>
      <c r="AS260" s="97">
        <v>40664</v>
      </c>
      <c r="AT260" s="78">
        <v>0.84299999999999997</v>
      </c>
      <c r="AU260" s="67"/>
      <c r="AV260" s="93">
        <v>40664</v>
      </c>
      <c r="AW260" s="76">
        <v>349066.25</v>
      </c>
      <c r="AX260" s="80">
        <f t="shared" ref="AX260:AX436" si="44">AW260/AW259-1</f>
        <v>3.093776857624686E-2</v>
      </c>
      <c r="AY260" s="67"/>
      <c r="AZ260" s="81">
        <v>40664</v>
      </c>
      <c r="BA260" s="82">
        <v>105.34491729736328</v>
      </c>
      <c r="BB260" s="82">
        <v>95.506637573242188</v>
      </c>
      <c r="BC260" s="67"/>
      <c r="BD260" s="83">
        <v>40678</v>
      </c>
      <c r="BE260" s="42">
        <v>5625</v>
      </c>
      <c r="BF260" s="41">
        <f t="shared" ref="BF260:BF436" si="45">BE260/BE259-1</f>
        <v>1.1326860841423869E-2</v>
      </c>
      <c r="BG260" s="67"/>
      <c r="BH260" s="84">
        <v>40664</v>
      </c>
      <c r="BI260" s="85">
        <v>93.888000000000005</v>
      </c>
      <c r="BJ260" s="87">
        <f t="shared" ref="BJ260:BJ436" si="46">BI260/BI259-1</f>
        <v>1.2060796652408889E-3</v>
      </c>
      <c r="BK260" s="67"/>
      <c r="BL260" s="84">
        <v>40664</v>
      </c>
      <c r="BM260" s="86">
        <v>-16.983186</v>
      </c>
      <c r="BN260" s="67"/>
      <c r="BO260" s="88">
        <v>40664</v>
      </c>
      <c r="BP260" s="89">
        <v>4.1875</v>
      </c>
      <c r="BQ260" s="89">
        <v>4.1870000000000003</v>
      </c>
      <c r="BR260" s="90">
        <f t="shared" si="37"/>
        <v>1.1941724384989527E-4</v>
      </c>
    </row>
    <row r="261" spans="1:70">
      <c r="A261" s="62">
        <v>40695</v>
      </c>
      <c r="B261" s="63">
        <v>40695</v>
      </c>
      <c r="C261" s="39">
        <v>95.42</v>
      </c>
      <c r="D261" s="64">
        <v>102.68</v>
      </c>
      <c r="E261" s="40">
        <f t="shared" si="38"/>
        <v>-7.0705103233346334E-2</v>
      </c>
      <c r="F261" s="65"/>
      <c r="G261" s="63">
        <v>40695</v>
      </c>
      <c r="H261" s="39">
        <v>16.52</v>
      </c>
      <c r="I261" s="39">
        <v>15.95</v>
      </c>
      <c r="J261" s="40">
        <f t="shared" ref="J261:J324" si="47">H261/I261-1</f>
        <v>3.5736677115987492E-2</v>
      </c>
      <c r="K261" s="67"/>
      <c r="L261" s="68">
        <v>40695</v>
      </c>
      <c r="M261" s="98">
        <v>1320.6</v>
      </c>
      <c r="N261" s="98">
        <v>1345.2</v>
      </c>
      <c r="O261" s="70">
        <f t="shared" si="39"/>
        <v>-1.8287243532560282E-2</v>
      </c>
      <c r="P261" s="67"/>
      <c r="Q261" s="38">
        <v>40695</v>
      </c>
      <c r="R261" s="39">
        <v>4.3739999999999997</v>
      </c>
      <c r="S261" s="39">
        <v>4.6550000000000002</v>
      </c>
      <c r="T261" s="40">
        <f t="shared" si="36"/>
        <v>-6.0365198711063495E-2</v>
      </c>
      <c r="U261" s="67"/>
      <c r="V261" s="38">
        <v>40695</v>
      </c>
      <c r="W261" s="39">
        <v>2.9462999999999999</v>
      </c>
      <c r="X261" s="39">
        <v>3.0676000000000001</v>
      </c>
      <c r="Y261" s="40">
        <f t="shared" si="40"/>
        <v>-3.954231320902335E-2</v>
      </c>
      <c r="Z261" s="67"/>
      <c r="AA261" s="71">
        <v>40695</v>
      </c>
      <c r="AB261" s="99">
        <v>1502.8</v>
      </c>
      <c r="AC261" s="99">
        <v>1536.6</v>
      </c>
      <c r="AD261" s="73">
        <f t="shared" si="41"/>
        <v>-2.1996615905245265E-2</v>
      </c>
      <c r="AE261" s="67"/>
      <c r="AF261" s="71">
        <v>40695</v>
      </c>
      <c r="AG261" s="72">
        <v>74.3</v>
      </c>
      <c r="AH261" s="72">
        <v>74.430000000000007</v>
      </c>
      <c r="AI261" s="73">
        <f t="shared" si="42"/>
        <v>-1.7466075507188705E-3</v>
      </c>
      <c r="AJ261" s="67"/>
      <c r="AK261" s="74">
        <v>40724</v>
      </c>
      <c r="AL261" s="41">
        <v>3.1800000000000002E-2</v>
      </c>
      <c r="AM261" s="41">
        <f t="shared" si="35"/>
        <v>1.3000000000000025E-3</v>
      </c>
      <c r="AN261" s="67"/>
      <c r="AO261" s="75">
        <v>40695</v>
      </c>
      <c r="AP261" s="76">
        <v>726536.5</v>
      </c>
      <c r="AQ261" s="80">
        <f t="shared" si="43"/>
        <v>-7.5701060641142348E-6</v>
      </c>
      <c r="AR261" s="67"/>
      <c r="AS261" s="94">
        <v>40695</v>
      </c>
      <c r="AT261" s="78">
        <v>0.87650000000000006</v>
      </c>
      <c r="AU261" s="67"/>
      <c r="AV261" s="79">
        <v>40695</v>
      </c>
      <c r="AW261" s="76">
        <v>342393.25</v>
      </c>
      <c r="AX261" s="80">
        <f t="shared" si="44"/>
        <v>-1.9116714950242253E-2</v>
      </c>
      <c r="AY261" s="67"/>
      <c r="AZ261" s="81">
        <v>40695</v>
      </c>
      <c r="BA261" s="82">
        <v>84.391845703125</v>
      </c>
      <c r="BB261" s="82">
        <v>71.391128540039063</v>
      </c>
      <c r="BC261" s="67"/>
      <c r="BD261" s="83">
        <v>40709</v>
      </c>
      <c r="BE261" s="42">
        <v>5589</v>
      </c>
      <c r="BF261" s="41">
        <f t="shared" si="45"/>
        <v>-6.3999999999999613E-3</v>
      </c>
      <c r="BG261" s="67"/>
      <c r="BH261" s="84">
        <v>40695</v>
      </c>
      <c r="BI261" s="85">
        <v>94.171999999999997</v>
      </c>
      <c r="BJ261" s="87">
        <f t="shared" si="46"/>
        <v>3.0248807089297003E-3</v>
      </c>
      <c r="BK261" s="67"/>
      <c r="BL261" s="84">
        <v>40695</v>
      </c>
      <c r="BM261" s="86">
        <v>-11.010833</v>
      </c>
      <c r="BN261" s="67"/>
      <c r="BO261" s="88">
        <v>40695</v>
      </c>
      <c r="BP261" s="89">
        <v>4.2824999999999998</v>
      </c>
      <c r="BQ261" s="89">
        <v>4.1769999999999996</v>
      </c>
      <c r="BR261" s="90">
        <f t="shared" si="37"/>
        <v>2.5257361742877737E-2</v>
      </c>
    </row>
    <row r="262" spans="1:70">
      <c r="A262" s="62">
        <v>40725</v>
      </c>
      <c r="B262" s="63">
        <v>40725</v>
      </c>
      <c r="C262" s="39">
        <v>95.7</v>
      </c>
      <c r="D262" s="64">
        <v>95.12</v>
      </c>
      <c r="E262" s="40">
        <f t="shared" si="38"/>
        <v>6.0975609756097615E-3</v>
      </c>
      <c r="F262" s="65"/>
      <c r="G262" s="63">
        <v>40725</v>
      </c>
      <c r="H262" s="39">
        <v>25.25</v>
      </c>
      <c r="I262" s="39">
        <v>16.059999999999999</v>
      </c>
      <c r="J262" s="40">
        <f t="shared" si="47"/>
        <v>0.57222914072229147</v>
      </c>
      <c r="K262" s="67"/>
      <c r="L262" s="68">
        <v>40725</v>
      </c>
      <c r="M262" s="98">
        <v>1292.3</v>
      </c>
      <c r="N262" s="98">
        <v>1320.6</v>
      </c>
      <c r="O262" s="70">
        <f t="shared" si="39"/>
        <v>-2.1429653187944875E-2</v>
      </c>
      <c r="P262" s="67"/>
      <c r="Q262" s="38">
        <v>40725</v>
      </c>
      <c r="R262" s="39">
        <v>4.1449999999999996</v>
      </c>
      <c r="S262" s="39">
        <v>4.3719999999999999</v>
      </c>
      <c r="T262" s="40">
        <f t="shared" si="36"/>
        <v>-5.1921317474839968E-2</v>
      </c>
      <c r="U262" s="67"/>
      <c r="V262" s="38">
        <v>40725</v>
      </c>
      <c r="W262" s="39">
        <v>3.0994000000000002</v>
      </c>
      <c r="X262" s="39">
        <v>2.956</v>
      </c>
      <c r="Y262" s="40">
        <f t="shared" si="40"/>
        <v>4.8511502029769948E-2</v>
      </c>
      <c r="Z262" s="67"/>
      <c r="AA262" s="71">
        <v>40725</v>
      </c>
      <c r="AB262" s="99">
        <v>1631.2</v>
      </c>
      <c r="AC262" s="99">
        <v>1501.5</v>
      </c>
      <c r="AD262" s="73">
        <f t="shared" si="41"/>
        <v>8.6380286380286497E-2</v>
      </c>
      <c r="AE262" s="67"/>
      <c r="AF262" s="71">
        <v>40725</v>
      </c>
      <c r="AG262" s="72">
        <v>73.900000000000006</v>
      </c>
      <c r="AH262" s="72">
        <v>74.45</v>
      </c>
      <c r="AI262" s="73">
        <f t="shared" si="42"/>
        <v>-7.3875083948958808E-3</v>
      </c>
      <c r="AJ262" s="67"/>
      <c r="AK262" s="74">
        <v>40755</v>
      </c>
      <c r="AL262" s="41">
        <v>2.8199999999999999E-2</v>
      </c>
      <c r="AM262" s="41">
        <f t="shared" ref="AM262:AM325" si="48">AL262-AL261</f>
        <v>-3.6000000000000025E-3</v>
      </c>
      <c r="AN262" s="67"/>
      <c r="AO262" s="75">
        <v>40725</v>
      </c>
      <c r="AP262" s="76">
        <v>724723.4</v>
      </c>
      <c r="AQ262" s="80">
        <f t="shared" si="43"/>
        <v>-2.4955387650861249E-3</v>
      </c>
      <c r="AR262" s="67"/>
      <c r="AS262" s="94">
        <v>40725</v>
      </c>
      <c r="AT262" s="78">
        <v>0.88859999999999995</v>
      </c>
      <c r="AU262" s="67"/>
      <c r="AV262" s="79">
        <v>40725</v>
      </c>
      <c r="AW262" s="76">
        <v>332905</v>
      </c>
      <c r="AX262" s="80">
        <f t="shared" si="44"/>
        <v>-2.7711556813692972E-2</v>
      </c>
      <c r="AY262" s="67"/>
      <c r="AZ262" s="81">
        <v>40725</v>
      </c>
      <c r="BA262" s="82">
        <v>78.924758911132813</v>
      </c>
      <c r="BB262" s="82">
        <v>59.019046783447266</v>
      </c>
      <c r="BC262" s="67"/>
      <c r="BD262" s="83">
        <v>40739</v>
      </c>
      <c r="BE262" s="42">
        <v>5440</v>
      </c>
      <c r="BF262" s="41">
        <f t="shared" si="45"/>
        <v>-2.6659509751297161E-2</v>
      </c>
      <c r="BG262" s="67"/>
      <c r="BH262" s="84">
        <v>40725</v>
      </c>
      <c r="BI262" s="85">
        <v>94.635999999999996</v>
      </c>
      <c r="BJ262" s="87">
        <f t="shared" si="46"/>
        <v>4.9271545682367801E-3</v>
      </c>
      <c r="BK262" s="67"/>
      <c r="BL262" s="84">
        <v>40725</v>
      </c>
      <c r="BM262" s="86">
        <v>-15.944659</v>
      </c>
      <c r="BN262" s="67"/>
      <c r="BO262" s="88">
        <v>40725</v>
      </c>
      <c r="BP262" s="89">
        <v>4.4894999999999996</v>
      </c>
      <c r="BQ262" s="89">
        <v>4.2720000000000002</v>
      </c>
      <c r="BR262" s="90">
        <f t="shared" si="37"/>
        <v>5.0912921348314377E-2</v>
      </c>
    </row>
    <row r="263" spans="1:70">
      <c r="A263" s="62">
        <v>40756</v>
      </c>
      <c r="B263" s="63">
        <v>40756</v>
      </c>
      <c r="C263" s="39">
        <v>88.81</v>
      </c>
      <c r="D263" s="64">
        <v>96.2</v>
      </c>
      <c r="E263" s="40">
        <f t="shared" si="38"/>
        <v>-7.6819126819126837E-2</v>
      </c>
      <c r="F263" s="65"/>
      <c r="G263" s="63">
        <v>40756</v>
      </c>
      <c r="H263" s="39">
        <v>31.62</v>
      </c>
      <c r="I263" s="39">
        <v>22.63</v>
      </c>
      <c r="J263" s="40">
        <f t="shared" si="47"/>
        <v>0.39726027397260277</v>
      </c>
      <c r="K263" s="67"/>
      <c r="L263" s="68">
        <v>40756</v>
      </c>
      <c r="M263" s="98">
        <v>1218.9000000000001</v>
      </c>
      <c r="N263" s="98">
        <v>1292.5999999999999</v>
      </c>
      <c r="O263" s="70">
        <f t="shared" si="39"/>
        <v>-5.7016865232863867E-2</v>
      </c>
      <c r="P263" s="67"/>
      <c r="Q263" s="38">
        <v>40756</v>
      </c>
      <c r="R263" s="39">
        <v>4.0540000000000003</v>
      </c>
      <c r="S263" s="39">
        <v>4.1349999999999998</v>
      </c>
      <c r="T263" s="40">
        <f t="shared" ref="T263:T436" si="49">R263/S263-1</f>
        <v>-1.958887545344612E-2</v>
      </c>
      <c r="U263" s="67"/>
      <c r="V263" s="38">
        <v>40756</v>
      </c>
      <c r="W263" s="39">
        <v>3.0840000000000001</v>
      </c>
      <c r="X263" s="39">
        <v>3.1360000000000001</v>
      </c>
      <c r="Y263" s="40">
        <f t="shared" si="40"/>
        <v>-1.6581632653061229E-2</v>
      </c>
      <c r="Z263" s="67"/>
      <c r="AA263" s="71">
        <v>40756</v>
      </c>
      <c r="AB263" s="99">
        <v>1831.7</v>
      </c>
      <c r="AC263" s="99">
        <v>1622.2</v>
      </c>
      <c r="AD263" s="73">
        <f t="shared" si="41"/>
        <v>0.12914560473431136</v>
      </c>
      <c r="AE263" s="67"/>
      <c r="AF263" s="71">
        <v>40756</v>
      </c>
      <c r="AG263" s="72">
        <v>74.12</v>
      </c>
      <c r="AH263" s="72">
        <v>73.81</v>
      </c>
      <c r="AI263" s="73">
        <f t="shared" si="42"/>
        <v>4.1999729034005728E-3</v>
      </c>
      <c r="AJ263" s="67"/>
      <c r="AK263" s="74">
        <v>40786</v>
      </c>
      <c r="AL263" s="41">
        <v>2.23E-2</v>
      </c>
      <c r="AM263" s="41">
        <f t="shared" si="48"/>
        <v>-5.899999999999999E-3</v>
      </c>
      <c r="AN263" s="67"/>
      <c r="AO263" s="75">
        <v>40756</v>
      </c>
      <c r="AP263" s="76">
        <v>709249</v>
      </c>
      <c r="AQ263" s="80">
        <f t="shared" si="43"/>
        <v>-2.1352146211920386E-2</v>
      </c>
      <c r="AR263" s="67"/>
      <c r="AS263" s="94">
        <v>40756</v>
      </c>
      <c r="AT263" s="78">
        <v>0.89650000000000007</v>
      </c>
      <c r="AU263" s="67"/>
      <c r="AV263" s="79">
        <v>40756</v>
      </c>
      <c r="AW263" s="76">
        <v>331194.5</v>
      </c>
      <c r="AX263" s="80">
        <f t="shared" si="44"/>
        <v>-5.1381024616632409E-3</v>
      </c>
      <c r="AY263" s="67"/>
      <c r="AZ263" s="81">
        <v>40756</v>
      </c>
      <c r="BA263" s="82">
        <v>86.951568603515625</v>
      </c>
      <c r="BB263" s="82">
        <v>63.504676818847656</v>
      </c>
      <c r="BC263" s="67"/>
      <c r="BD263" s="83">
        <v>40770</v>
      </c>
      <c r="BE263" s="42">
        <v>5665</v>
      </c>
      <c r="BF263" s="41">
        <f t="shared" si="45"/>
        <v>4.1360294117646967E-2</v>
      </c>
      <c r="BG263" s="67"/>
      <c r="BH263" s="84">
        <v>40756</v>
      </c>
      <c r="BI263" s="85">
        <v>95.274900000000002</v>
      </c>
      <c r="BJ263" s="87">
        <f t="shared" si="46"/>
        <v>6.7511306479564048E-3</v>
      </c>
      <c r="BK263" s="67"/>
      <c r="BL263" s="84">
        <v>40756</v>
      </c>
      <c r="BM263" s="86">
        <v>-14.535061000000001</v>
      </c>
      <c r="BN263" s="67"/>
      <c r="BO263" s="88">
        <v>40756</v>
      </c>
      <c r="BP263" s="89">
        <v>4.1994999999999996</v>
      </c>
      <c r="BQ263" s="89">
        <v>4.5164999999999997</v>
      </c>
      <c r="BR263" s="90">
        <f t="shared" si="37"/>
        <v>-7.0187091774604249E-2</v>
      </c>
    </row>
    <row r="264" spans="1:70">
      <c r="A264" s="62">
        <v>40787</v>
      </c>
      <c r="B264" s="63">
        <v>40787</v>
      </c>
      <c r="C264" s="39">
        <v>79.2</v>
      </c>
      <c r="D264" s="64">
        <v>88.73</v>
      </c>
      <c r="E264" s="40">
        <f t="shared" si="38"/>
        <v>-0.10740448551786319</v>
      </c>
      <c r="F264" s="65"/>
      <c r="G264" s="63">
        <v>40787</v>
      </c>
      <c r="H264" s="39">
        <v>42.96</v>
      </c>
      <c r="I264" s="39">
        <v>31.91</v>
      </c>
      <c r="J264" s="40">
        <f t="shared" si="47"/>
        <v>0.34628643058602315</v>
      </c>
      <c r="K264" s="67"/>
      <c r="L264" s="68">
        <v>40787</v>
      </c>
      <c r="M264" s="98">
        <v>1131.4000000000001</v>
      </c>
      <c r="N264" s="98">
        <v>1219.0999999999999</v>
      </c>
      <c r="O264" s="70">
        <f t="shared" si="39"/>
        <v>-7.1938315150520737E-2</v>
      </c>
      <c r="P264" s="67"/>
      <c r="Q264" s="38">
        <v>40787</v>
      </c>
      <c r="R264" s="39">
        <v>3.6659999999999999</v>
      </c>
      <c r="S264" s="39">
        <v>4.0599999999999996</v>
      </c>
      <c r="T264" s="40">
        <f t="shared" si="49"/>
        <v>-9.7044334975369351E-2</v>
      </c>
      <c r="U264" s="67"/>
      <c r="V264" s="38">
        <v>40787</v>
      </c>
      <c r="W264" s="39">
        <v>2.7793000000000001</v>
      </c>
      <c r="X264" s="39">
        <v>3.0949</v>
      </c>
      <c r="Y264" s="40">
        <f t="shared" si="40"/>
        <v>-0.10197421564509346</v>
      </c>
      <c r="Z264" s="67"/>
      <c r="AA264" s="71">
        <v>40787</v>
      </c>
      <c r="AB264" s="99">
        <v>1622.3</v>
      </c>
      <c r="AC264" s="99">
        <v>1826.2</v>
      </c>
      <c r="AD264" s="73">
        <f t="shared" si="41"/>
        <v>-0.11165261198116316</v>
      </c>
      <c r="AE264" s="67"/>
      <c r="AF264" s="71">
        <v>40787</v>
      </c>
      <c r="AG264" s="72">
        <v>78.55</v>
      </c>
      <c r="AH264" s="72">
        <v>74.17</v>
      </c>
      <c r="AI264" s="73">
        <f t="shared" si="42"/>
        <v>5.9053525684238828E-2</v>
      </c>
      <c r="AJ264" s="67"/>
      <c r="AK264" s="74">
        <v>40816</v>
      </c>
      <c r="AL264" s="41">
        <v>1.9199999999999998E-2</v>
      </c>
      <c r="AM264" s="41">
        <f t="shared" si="48"/>
        <v>-3.1000000000000021E-3</v>
      </c>
      <c r="AN264" s="67"/>
      <c r="AO264" s="75">
        <v>40787</v>
      </c>
      <c r="AP264" s="76">
        <v>696144.6</v>
      </c>
      <c r="AQ264" s="80">
        <f t="shared" si="43"/>
        <v>-1.847644480288313E-2</v>
      </c>
      <c r="AR264" s="67"/>
      <c r="AS264" s="94">
        <v>40787</v>
      </c>
      <c r="AT264" s="78">
        <v>0.87959999999999994</v>
      </c>
      <c r="AU264" s="67"/>
      <c r="AV264" s="79">
        <v>40787</v>
      </c>
      <c r="AW264" s="76">
        <v>321211.40000000002</v>
      </c>
      <c r="AX264" s="80">
        <f t="shared" si="44"/>
        <v>-3.014271070322716E-2</v>
      </c>
      <c r="AY264" s="67"/>
      <c r="AZ264" s="81">
        <v>40787</v>
      </c>
      <c r="BA264" s="82">
        <v>83.350448608398438</v>
      </c>
      <c r="BB264" s="82">
        <v>70.606689453125</v>
      </c>
      <c r="BC264" s="67"/>
      <c r="BD264" s="83">
        <v>40801</v>
      </c>
      <c r="BE264" s="42">
        <v>5614</v>
      </c>
      <c r="BF264" s="41">
        <f t="shared" si="45"/>
        <v>-9.002647837599298E-3</v>
      </c>
      <c r="BG264" s="67"/>
      <c r="BH264" s="84">
        <v>40787</v>
      </c>
      <c r="BI264" s="85">
        <v>95.196100000000001</v>
      </c>
      <c r="BJ264" s="87">
        <f t="shared" si="46"/>
        <v>-8.2708037478917973E-4</v>
      </c>
      <c r="BK264" s="67"/>
      <c r="BL264" s="84">
        <v>40787</v>
      </c>
      <c r="BM264" s="86">
        <v>13.703516</v>
      </c>
      <c r="BN264" s="67"/>
      <c r="BO264" s="88">
        <v>40787</v>
      </c>
      <c r="BP264" s="89">
        <v>3.1520000000000001</v>
      </c>
      <c r="BQ264" s="89">
        <v>4.1529999999999996</v>
      </c>
      <c r="BR264" s="90">
        <f t="shared" si="37"/>
        <v>-0.24103058030339508</v>
      </c>
    </row>
    <row r="265" spans="1:70">
      <c r="A265" s="62">
        <v>40817</v>
      </c>
      <c r="B265" s="63">
        <v>40817</v>
      </c>
      <c r="C265" s="39">
        <v>93.19</v>
      </c>
      <c r="D265" s="64">
        <v>78.92</v>
      </c>
      <c r="E265" s="40">
        <f t="shared" si="38"/>
        <v>0.18081601621895582</v>
      </c>
      <c r="F265" s="65"/>
      <c r="G265" s="63">
        <v>40817</v>
      </c>
      <c r="H265" s="39">
        <v>29.96</v>
      </c>
      <c r="I265" s="39">
        <v>44.25</v>
      </c>
      <c r="J265" s="40">
        <f t="shared" si="47"/>
        <v>-0.32293785310734457</v>
      </c>
      <c r="K265" s="67"/>
      <c r="L265" s="68">
        <v>40817</v>
      </c>
      <c r="M265" s="98">
        <v>1253.3</v>
      </c>
      <c r="N265" s="98">
        <v>1131.2</v>
      </c>
      <c r="O265" s="70">
        <f t="shared" si="39"/>
        <v>0.10793847241867027</v>
      </c>
      <c r="P265" s="67"/>
      <c r="Q265" s="38">
        <v>40817</v>
      </c>
      <c r="R265" s="39">
        <v>3.9340000000000002</v>
      </c>
      <c r="S265" s="39">
        <v>3.6429999999999998</v>
      </c>
      <c r="T265" s="40">
        <f t="shared" si="49"/>
        <v>7.9879220422728547E-2</v>
      </c>
      <c r="U265" s="67"/>
      <c r="V265" s="38">
        <v>40817</v>
      </c>
      <c r="W265" s="39">
        <v>3.0583</v>
      </c>
      <c r="X265" s="39">
        <v>2.7776000000000001</v>
      </c>
      <c r="Y265" s="40">
        <f t="shared" si="40"/>
        <v>0.1010584677419355</v>
      </c>
      <c r="Z265" s="67"/>
      <c r="AA265" s="71">
        <v>40817</v>
      </c>
      <c r="AB265" s="99">
        <v>1725.2</v>
      </c>
      <c r="AC265" s="99">
        <v>1625.1</v>
      </c>
      <c r="AD265" s="73">
        <f t="shared" si="41"/>
        <v>6.1596209464032992E-2</v>
      </c>
      <c r="AE265" s="67"/>
      <c r="AF265" s="71">
        <v>40817</v>
      </c>
      <c r="AG265" s="72">
        <v>76.17</v>
      </c>
      <c r="AH265" s="72">
        <v>79.02</v>
      </c>
      <c r="AI265" s="73">
        <f t="shared" si="42"/>
        <v>-3.6066818526955147E-2</v>
      </c>
      <c r="AJ265" s="67"/>
      <c r="AK265" s="74">
        <v>40847</v>
      </c>
      <c r="AL265" s="41">
        <v>2.1700000000000001E-2</v>
      </c>
      <c r="AM265" s="41">
        <f t="shared" si="48"/>
        <v>2.5000000000000022E-3</v>
      </c>
      <c r="AN265" s="67"/>
      <c r="AO265" s="75">
        <v>40817</v>
      </c>
      <c r="AP265" s="76">
        <v>695952.25</v>
      </c>
      <c r="AQ265" s="80">
        <f t="shared" si="43"/>
        <v>-2.7630753725582657E-4</v>
      </c>
      <c r="AR265" s="67"/>
      <c r="AS265" s="94">
        <v>40817</v>
      </c>
      <c r="AT265" s="78">
        <v>0.84349999999999992</v>
      </c>
      <c r="AU265" s="67"/>
      <c r="AV265" s="79">
        <v>40817</v>
      </c>
      <c r="AW265" s="76">
        <v>314852.25</v>
      </c>
      <c r="AX265" s="80">
        <f t="shared" si="44"/>
        <v>-1.9797398224347007E-2</v>
      </c>
      <c r="AY265" s="67"/>
      <c r="AZ265" s="81">
        <v>40817</v>
      </c>
      <c r="BA265" s="82">
        <v>76.339935302734375</v>
      </c>
      <c r="BB265" s="82">
        <v>64.185104370117188</v>
      </c>
      <c r="BC265" s="67"/>
      <c r="BD265" s="83">
        <v>40831</v>
      </c>
      <c r="BE265" s="42">
        <v>5902</v>
      </c>
      <c r="BF265" s="41">
        <f t="shared" si="45"/>
        <v>5.1300320627003959E-2</v>
      </c>
      <c r="BG265" s="67"/>
      <c r="BH265" s="84">
        <v>40817</v>
      </c>
      <c r="BI265" s="85">
        <v>95.856800000000007</v>
      </c>
      <c r="BJ265" s="87">
        <f t="shared" si="46"/>
        <v>6.940410373954542E-3</v>
      </c>
      <c r="BK265" s="67"/>
      <c r="BL265" s="84">
        <v>40817</v>
      </c>
      <c r="BM265" s="86">
        <v>25.679144999999998</v>
      </c>
      <c r="BN265" s="67"/>
      <c r="BO265" s="88">
        <v>40817</v>
      </c>
      <c r="BP265" s="89">
        <v>3.6419999999999999</v>
      </c>
      <c r="BQ265" s="89">
        <v>3.14</v>
      </c>
      <c r="BR265" s="90">
        <f t="shared" si="37"/>
        <v>0.15987261146496801</v>
      </c>
    </row>
    <row r="266" spans="1:70">
      <c r="A266" s="62">
        <v>40848</v>
      </c>
      <c r="B266" s="63">
        <v>40848</v>
      </c>
      <c r="C266" s="39">
        <v>100.36</v>
      </c>
      <c r="D266" s="64">
        <v>92.58</v>
      </c>
      <c r="E266" s="40">
        <f t="shared" si="38"/>
        <v>8.403542881831938E-2</v>
      </c>
      <c r="F266" s="65"/>
      <c r="G266" s="63">
        <v>40848</v>
      </c>
      <c r="H266" s="39">
        <v>27.8</v>
      </c>
      <c r="I266" s="39">
        <v>36.03</v>
      </c>
      <c r="J266" s="40">
        <f t="shared" si="47"/>
        <v>-0.22842076047737991</v>
      </c>
      <c r="K266" s="67"/>
      <c r="L266" s="68">
        <v>40848</v>
      </c>
      <c r="M266" s="98">
        <v>1247</v>
      </c>
      <c r="N266" s="98">
        <v>1251</v>
      </c>
      <c r="O266" s="70">
        <f t="shared" si="39"/>
        <v>-3.1974420463629638E-3</v>
      </c>
      <c r="P266" s="67"/>
      <c r="Q266" s="38">
        <v>40848</v>
      </c>
      <c r="R266" s="39">
        <v>3.55</v>
      </c>
      <c r="S266" s="39">
        <v>3.9319999999999999</v>
      </c>
      <c r="T266" s="40">
        <f t="shared" si="49"/>
        <v>-9.715157680569686E-2</v>
      </c>
      <c r="U266" s="67"/>
      <c r="V266" s="38">
        <v>40848</v>
      </c>
      <c r="W266" s="39">
        <v>3.0251000000000001</v>
      </c>
      <c r="X266" s="39">
        <v>3.0409000000000002</v>
      </c>
      <c r="Y266" s="40">
        <f t="shared" si="40"/>
        <v>-5.1958301818540997E-3</v>
      </c>
      <c r="Z266" s="67"/>
      <c r="AA266" s="71">
        <v>40848</v>
      </c>
      <c r="AB266" s="99">
        <v>1750.3</v>
      </c>
      <c r="AC266" s="99">
        <v>1715.7</v>
      </c>
      <c r="AD266" s="73">
        <f t="shared" si="41"/>
        <v>2.0166695809290536E-2</v>
      </c>
      <c r="AE266" s="67"/>
      <c r="AF266" s="71">
        <v>40848</v>
      </c>
      <c r="AG266" s="72">
        <v>78.38</v>
      </c>
      <c r="AH266" s="72">
        <v>76.56</v>
      </c>
      <c r="AI266" s="73">
        <f t="shared" si="42"/>
        <v>2.3772204806687514E-2</v>
      </c>
      <c r="AJ266" s="67"/>
      <c r="AK266" s="74">
        <v>40877</v>
      </c>
      <c r="AL266" s="41">
        <v>2.0799999999999999E-2</v>
      </c>
      <c r="AM266" s="41">
        <f t="shared" si="48"/>
        <v>-9.0000000000000149E-4</v>
      </c>
      <c r="AN266" s="67"/>
      <c r="AO266" s="75">
        <v>40848</v>
      </c>
      <c r="AP266" s="76">
        <v>695950.75</v>
      </c>
      <c r="AQ266" s="80">
        <f t="shared" si="43"/>
        <v>-2.1553202823598738E-6</v>
      </c>
      <c r="AR266" s="67"/>
      <c r="AS266" s="94">
        <v>40848</v>
      </c>
      <c r="AT266" s="78">
        <v>0.84375</v>
      </c>
      <c r="AU266" s="67"/>
      <c r="AV266" s="79">
        <v>40848</v>
      </c>
      <c r="AW266" s="76">
        <v>312900.5</v>
      </c>
      <c r="AX266" s="80">
        <f t="shared" si="44"/>
        <v>-6.1989393437715812E-3</v>
      </c>
      <c r="AY266" s="67"/>
      <c r="AZ266" s="81">
        <v>40848</v>
      </c>
      <c r="BA266" s="82">
        <v>83.157676696777344</v>
      </c>
      <c r="BB266" s="82">
        <v>95.574531555175781</v>
      </c>
      <c r="BC266" s="67"/>
      <c r="BD266" s="83">
        <v>40862</v>
      </c>
      <c r="BE266" s="42">
        <v>6039</v>
      </c>
      <c r="BF266" s="41">
        <f t="shared" si="45"/>
        <v>2.3212470349034175E-2</v>
      </c>
      <c r="BG266" s="67"/>
      <c r="BH266" s="84">
        <v>40848</v>
      </c>
      <c r="BI266" s="85">
        <v>95.848500000000001</v>
      </c>
      <c r="BJ266" s="87">
        <f t="shared" si="46"/>
        <v>-8.6587493010492622E-5</v>
      </c>
      <c r="BK266" s="67"/>
      <c r="BL266" s="84">
        <v>40848</v>
      </c>
      <c r="BM266" s="86">
        <v>13.509188999999999</v>
      </c>
      <c r="BN266" s="67"/>
      <c r="BO266" s="88">
        <v>40848</v>
      </c>
      <c r="BP266" s="89">
        <v>3.5735000000000001</v>
      </c>
      <c r="BQ266" s="89">
        <v>3.6404999999999998</v>
      </c>
      <c r="BR266" s="90">
        <f t="shared" si="37"/>
        <v>-1.8404065375635104E-2</v>
      </c>
    </row>
    <row r="267" spans="1:70">
      <c r="A267" s="62">
        <v>40878</v>
      </c>
      <c r="B267" s="63">
        <v>40878</v>
      </c>
      <c r="C267" s="39">
        <v>98.83</v>
      </c>
      <c r="D267" s="64">
        <v>100.51</v>
      </c>
      <c r="E267" s="40">
        <f t="shared" si="38"/>
        <v>-1.671475475077111E-2</v>
      </c>
      <c r="F267" s="65"/>
      <c r="G267" s="63">
        <v>40878</v>
      </c>
      <c r="H267" s="39">
        <v>23.4</v>
      </c>
      <c r="I267" s="39">
        <v>27.63</v>
      </c>
      <c r="J267" s="40">
        <f t="shared" si="47"/>
        <v>-0.15309446254071668</v>
      </c>
      <c r="K267" s="67"/>
      <c r="L267" s="68">
        <v>40878</v>
      </c>
      <c r="M267" s="98">
        <v>1257.5999999999999</v>
      </c>
      <c r="N267" s="98">
        <v>1246.9000000000001</v>
      </c>
      <c r="O267" s="70">
        <f t="shared" si="39"/>
        <v>8.5812815783141705E-3</v>
      </c>
      <c r="P267" s="67"/>
      <c r="Q267" s="38">
        <v>40878</v>
      </c>
      <c r="R267" s="39">
        <v>2.9889999999999999</v>
      </c>
      <c r="S267" s="39">
        <v>3.5750000000000002</v>
      </c>
      <c r="T267" s="40">
        <f t="shared" si="49"/>
        <v>-0.16391608391608403</v>
      </c>
      <c r="U267" s="67"/>
      <c r="V267" s="38">
        <v>40878</v>
      </c>
      <c r="W267" s="39">
        <v>2.9142000000000001</v>
      </c>
      <c r="X267" s="39">
        <v>3.0390000000000001</v>
      </c>
      <c r="Y267" s="40">
        <f t="shared" si="40"/>
        <v>-4.1066140177690058E-2</v>
      </c>
      <c r="Z267" s="67"/>
      <c r="AA267" s="71">
        <v>40878</v>
      </c>
      <c r="AB267" s="99">
        <v>1566.8</v>
      </c>
      <c r="AC267" s="99">
        <v>1752.5</v>
      </c>
      <c r="AD267" s="73">
        <f t="shared" si="41"/>
        <v>-0.10596291012838799</v>
      </c>
      <c r="AE267" s="67"/>
      <c r="AF267" s="71">
        <v>40878</v>
      </c>
      <c r="AG267" s="72">
        <v>80.180000000000007</v>
      </c>
      <c r="AH267" s="72">
        <v>78.33</v>
      </c>
      <c r="AI267" s="73">
        <f t="shared" si="42"/>
        <v>2.3618026298991568E-2</v>
      </c>
      <c r="AJ267" s="67"/>
      <c r="AK267" s="74">
        <v>40908</v>
      </c>
      <c r="AL267" s="41">
        <v>1.89E-2</v>
      </c>
      <c r="AM267" s="41">
        <f t="shared" si="48"/>
        <v>-1.8999999999999989E-3</v>
      </c>
      <c r="AN267" s="67"/>
      <c r="AO267" s="75">
        <v>40878</v>
      </c>
      <c r="AP267" s="76">
        <v>695951</v>
      </c>
      <c r="AQ267" s="80">
        <f t="shared" si="43"/>
        <v>3.5922082131101263E-7</v>
      </c>
      <c r="AR267" s="67"/>
      <c r="AS267" s="94">
        <v>40878</v>
      </c>
      <c r="AT267" s="78">
        <v>0.8538</v>
      </c>
      <c r="AU267" s="67"/>
      <c r="AV267" s="79">
        <v>40878</v>
      </c>
      <c r="AW267" s="76">
        <v>307738.8</v>
      </c>
      <c r="AX267" s="80">
        <f t="shared" si="44"/>
        <v>-1.6496298344042315E-2</v>
      </c>
      <c r="AY267" s="67"/>
      <c r="AZ267" s="81">
        <v>40878</v>
      </c>
      <c r="BA267" s="82">
        <v>85.341323852539063</v>
      </c>
      <c r="BB267" s="82">
        <v>88.894081115722656</v>
      </c>
      <c r="BC267" s="67"/>
      <c r="BD267" s="83">
        <v>40892</v>
      </c>
      <c r="BE267" s="42">
        <v>6112</v>
      </c>
      <c r="BF267" s="41">
        <f t="shared" si="45"/>
        <v>1.2088094055307197E-2</v>
      </c>
      <c r="BG267" s="67"/>
      <c r="BH267" s="84">
        <v>40878</v>
      </c>
      <c r="BI267" s="85">
        <v>96.357100000000003</v>
      </c>
      <c r="BJ267" s="87">
        <f t="shared" si="46"/>
        <v>5.3062906566090362E-3</v>
      </c>
      <c r="BK267" s="67"/>
      <c r="BL267" s="84">
        <v>40878</v>
      </c>
      <c r="BM267" s="86">
        <v>15.461625</v>
      </c>
      <c r="BN267" s="67"/>
      <c r="BO267" s="88">
        <v>40878</v>
      </c>
      <c r="BP267" s="89">
        <v>3.4359999999999999</v>
      </c>
      <c r="BQ267" s="89">
        <v>3.5760000000000001</v>
      </c>
      <c r="BR267" s="90">
        <f t="shared" si="37"/>
        <v>-3.914988814317677E-2</v>
      </c>
    </row>
    <row r="268" spans="1:70">
      <c r="A268" s="62">
        <v>40909</v>
      </c>
      <c r="B268" s="63">
        <v>40909</v>
      </c>
      <c r="C268" s="39">
        <v>98.48</v>
      </c>
      <c r="D268" s="64">
        <v>99.7</v>
      </c>
      <c r="E268" s="40">
        <f t="shared" si="38"/>
        <v>-1.2236710130391182E-2</v>
      </c>
      <c r="F268" s="65"/>
      <c r="G268" s="63">
        <v>40909</v>
      </c>
      <c r="H268" s="39">
        <v>19.440000000000001</v>
      </c>
      <c r="I268" s="39">
        <v>22.95</v>
      </c>
      <c r="J268" s="40">
        <f t="shared" si="47"/>
        <v>-0.15294117647058814</v>
      </c>
      <c r="K268" s="67"/>
      <c r="L268" s="68">
        <v>40909</v>
      </c>
      <c r="M268" s="98">
        <v>1312.4</v>
      </c>
      <c r="N268" s="98">
        <v>1258.9000000000001</v>
      </c>
      <c r="O268" s="70">
        <f t="shared" si="39"/>
        <v>4.2497418381126417E-2</v>
      </c>
      <c r="P268" s="67"/>
      <c r="Q268" s="38">
        <v>40909</v>
      </c>
      <c r="R268" s="39">
        <v>2.5030000000000001</v>
      </c>
      <c r="S268" s="39">
        <v>2.9689999999999999</v>
      </c>
      <c r="T268" s="40">
        <f t="shared" si="49"/>
        <v>-0.15695520377231387</v>
      </c>
      <c r="U268" s="67"/>
      <c r="V268" s="38">
        <v>40909</v>
      </c>
      <c r="W268" s="39">
        <v>3.0508999999999999</v>
      </c>
      <c r="X268" s="39">
        <v>2.9148000000000001</v>
      </c>
      <c r="Y268" s="40">
        <f t="shared" si="40"/>
        <v>4.6692740496774965E-2</v>
      </c>
      <c r="Z268" s="67"/>
      <c r="AA268" s="71">
        <v>40909</v>
      </c>
      <c r="AB268" s="99">
        <v>1740.4</v>
      </c>
      <c r="AC268" s="99">
        <v>1571</v>
      </c>
      <c r="AD268" s="73">
        <f t="shared" si="41"/>
        <v>0.10782940802036922</v>
      </c>
      <c r="AE268" s="67"/>
      <c r="AF268" s="71">
        <v>40909</v>
      </c>
      <c r="AG268" s="72">
        <v>79.290000000000006</v>
      </c>
      <c r="AH268" s="72">
        <v>80.28</v>
      </c>
      <c r="AI268" s="73">
        <f t="shared" si="42"/>
        <v>-1.2331838565022402E-2</v>
      </c>
      <c r="AJ268" s="67"/>
      <c r="AK268" s="74">
        <v>40939</v>
      </c>
      <c r="AL268" s="41">
        <v>1.83E-2</v>
      </c>
      <c r="AM268" s="41">
        <f t="shared" si="48"/>
        <v>-5.9999999999999984E-4</v>
      </c>
      <c r="AN268" s="67"/>
      <c r="AO268" s="75">
        <v>40909</v>
      </c>
      <c r="AP268" s="76">
        <v>695951</v>
      </c>
      <c r="AQ268" s="80">
        <f t="shared" si="43"/>
        <v>0</v>
      </c>
      <c r="AR268" s="67"/>
      <c r="AS268" s="94">
        <v>40909</v>
      </c>
      <c r="AT268" s="78">
        <v>0.83325000000000005</v>
      </c>
      <c r="AU268" s="67"/>
      <c r="AV268" s="79">
        <v>40909</v>
      </c>
      <c r="AW268" s="76">
        <v>309300.25</v>
      </c>
      <c r="AX268" s="80">
        <f t="shared" si="44"/>
        <v>5.0739458267856641E-3</v>
      </c>
      <c r="AY268" s="67"/>
      <c r="AZ268" s="81">
        <v>40909</v>
      </c>
      <c r="BA268" s="82">
        <v>79.634971618652344</v>
      </c>
      <c r="BB268" s="82">
        <v>93.609596252441406</v>
      </c>
      <c r="BC268" s="67"/>
      <c r="BD268" s="83">
        <v>40923</v>
      </c>
      <c r="BE268" s="42">
        <v>6177</v>
      </c>
      <c r="BF268" s="41">
        <f t="shared" si="45"/>
        <v>1.0634816753926746E-2</v>
      </c>
      <c r="BG268" s="67"/>
      <c r="BH268" s="84">
        <v>40909</v>
      </c>
      <c r="BI268" s="85">
        <v>96.931799999999996</v>
      </c>
      <c r="BJ268" s="87">
        <f t="shared" si="46"/>
        <v>5.9642724822559501E-3</v>
      </c>
      <c r="BK268" s="67"/>
      <c r="BL268" s="84">
        <v>40909</v>
      </c>
      <c r="BM268" s="86">
        <v>-43.311247000000002</v>
      </c>
      <c r="BN268" s="67"/>
      <c r="BO268" s="88">
        <v>40909</v>
      </c>
      <c r="BP268" s="89">
        <v>3.7970000000000002</v>
      </c>
      <c r="BQ268" s="89">
        <v>3.4540000000000002</v>
      </c>
      <c r="BR268" s="90">
        <f t="shared" si="37"/>
        <v>9.9305153445280903E-2</v>
      </c>
    </row>
    <row r="269" spans="1:70">
      <c r="A269" s="62">
        <v>40940</v>
      </c>
      <c r="B269" s="63">
        <v>40940</v>
      </c>
      <c r="C269" s="39">
        <v>107.07</v>
      </c>
      <c r="D269" s="64">
        <v>98.38</v>
      </c>
      <c r="E269" s="40">
        <f t="shared" si="38"/>
        <v>8.8330961577556488E-2</v>
      </c>
      <c r="F269" s="65"/>
      <c r="G269" s="63">
        <v>40940</v>
      </c>
      <c r="H269" s="39">
        <v>18.43</v>
      </c>
      <c r="I269" s="39">
        <v>18.68</v>
      </c>
      <c r="J269" s="40">
        <f t="shared" si="47"/>
        <v>-1.3383297644539605E-2</v>
      </c>
      <c r="K269" s="67"/>
      <c r="L269" s="68">
        <v>40940</v>
      </c>
      <c r="M269" s="98">
        <v>1365.7</v>
      </c>
      <c r="N269" s="98">
        <v>1312.5</v>
      </c>
      <c r="O269" s="70">
        <f t="shared" si="39"/>
        <v>4.053333333333331E-2</v>
      </c>
      <c r="P269" s="67"/>
      <c r="Q269" s="38">
        <v>40940</v>
      </c>
      <c r="R269" s="39">
        <v>2.6160000000000001</v>
      </c>
      <c r="S269" s="39">
        <v>2.4649999999999999</v>
      </c>
      <c r="T269" s="40">
        <f t="shared" si="49"/>
        <v>6.1257606490872307E-2</v>
      </c>
      <c r="U269" s="67"/>
      <c r="V269" s="38">
        <v>40940</v>
      </c>
      <c r="W269" s="39">
        <v>3.2059000000000002</v>
      </c>
      <c r="X269" s="39">
        <v>3.0385</v>
      </c>
      <c r="Y269" s="40">
        <f t="shared" si="40"/>
        <v>5.5092973506664533E-2</v>
      </c>
      <c r="Z269" s="67"/>
      <c r="AA269" s="71">
        <v>40940</v>
      </c>
      <c r="AB269" s="99">
        <v>1711.3</v>
      </c>
      <c r="AC269" s="99">
        <v>1739.8</v>
      </c>
      <c r="AD269" s="73">
        <f t="shared" si="41"/>
        <v>-1.6381193240602387E-2</v>
      </c>
      <c r="AE269" s="67"/>
      <c r="AF269" s="71">
        <v>40940</v>
      </c>
      <c r="AG269" s="72">
        <v>78.739999999999995</v>
      </c>
      <c r="AH269" s="72">
        <v>79.319999999999993</v>
      </c>
      <c r="AI269" s="73">
        <f t="shared" si="42"/>
        <v>-7.3121533030761077E-3</v>
      </c>
      <c r="AJ269" s="67"/>
      <c r="AK269" s="74">
        <v>40968</v>
      </c>
      <c r="AL269" s="41">
        <v>1.9799999999999998E-2</v>
      </c>
      <c r="AM269" s="41">
        <f t="shared" si="48"/>
        <v>1.4999999999999979E-3</v>
      </c>
      <c r="AN269" s="67"/>
      <c r="AO269" s="75">
        <v>40940</v>
      </c>
      <c r="AP269" s="76">
        <v>695951</v>
      </c>
      <c r="AQ269" s="80">
        <f t="shared" si="43"/>
        <v>0</v>
      </c>
      <c r="AR269" s="67"/>
      <c r="AS269" s="94">
        <v>40940</v>
      </c>
      <c r="AT269" s="78">
        <v>0.83975</v>
      </c>
      <c r="AU269" s="67"/>
      <c r="AV269" s="79">
        <v>40940</v>
      </c>
      <c r="AW269" s="76">
        <v>315370.25</v>
      </c>
      <c r="AX269" s="80">
        <f t="shared" si="44"/>
        <v>1.9624943723776545E-2</v>
      </c>
      <c r="AY269" s="67"/>
      <c r="AZ269" s="81">
        <v>40940</v>
      </c>
      <c r="BA269" s="82">
        <v>92.445823669433594</v>
      </c>
      <c r="BB269" s="82">
        <v>104.20749664306641</v>
      </c>
      <c r="BC269" s="67"/>
      <c r="BD269" s="83">
        <v>40954</v>
      </c>
      <c r="BE269" s="42">
        <v>6268</v>
      </c>
      <c r="BF269" s="41">
        <f t="shared" si="45"/>
        <v>1.4732070584426049E-2</v>
      </c>
      <c r="BG269" s="67"/>
      <c r="BH269" s="84">
        <v>40940</v>
      </c>
      <c r="BI269" s="85">
        <v>97.243499999999997</v>
      </c>
      <c r="BJ269" s="87">
        <f t="shared" si="46"/>
        <v>3.2156629712849494E-3</v>
      </c>
      <c r="BK269" s="67"/>
      <c r="BL269" s="84">
        <v>40940</v>
      </c>
      <c r="BM269" s="86">
        <v>-82.513968000000006</v>
      </c>
      <c r="BN269" s="67"/>
      <c r="BO269" s="88">
        <v>40940</v>
      </c>
      <c r="BP269" s="89">
        <v>3.8795000000000002</v>
      </c>
      <c r="BQ269" s="89">
        <v>3.7850000000000001</v>
      </c>
      <c r="BR269" s="90">
        <f t="shared" si="37"/>
        <v>2.4966974900924699E-2</v>
      </c>
    </row>
    <row r="270" spans="1:70">
      <c r="A270" s="62">
        <v>40969</v>
      </c>
      <c r="B270" s="63">
        <v>40969</v>
      </c>
      <c r="C270" s="39">
        <v>103.02</v>
      </c>
      <c r="D270" s="64">
        <v>106.82</v>
      </c>
      <c r="E270" s="40">
        <f t="shared" si="38"/>
        <v>-3.5573862572551906E-2</v>
      </c>
      <c r="F270" s="65"/>
      <c r="G270" s="63">
        <v>40969</v>
      </c>
      <c r="H270" s="39">
        <v>15.5</v>
      </c>
      <c r="I270" s="39">
        <v>18.02</v>
      </c>
      <c r="J270" s="40">
        <f t="shared" si="47"/>
        <v>-0.13984461709211982</v>
      </c>
      <c r="K270" s="67"/>
      <c r="L270" s="68">
        <v>40969</v>
      </c>
      <c r="M270" s="98">
        <v>1408.5</v>
      </c>
      <c r="N270" s="98">
        <v>1365.9</v>
      </c>
      <c r="O270" s="70">
        <f t="shared" si="39"/>
        <v>3.1188227542279678E-2</v>
      </c>
      <c r="P270" s="67"/>
      <c r="Q270" s="38">
        <v>40969</v>
      </c>
      <c r="R270" s="39">
        <v>2.1259999999999999</v>
      </c>
      <c r="S270" s="39">
        <v>2.593</v>
      </c>
      <c r="T270" s="40">
        <f t="shared" si="49"/>
        <v>-0.18010026995757811</v>
      </c>
      <c r="U270" s="67"/>
      <c r="V270" s="38">
        <v>40969</v>
      </c>
      <c r="W270" s="39">
        <v>3.1701000000000001</v>
      </c>
      <c r="X270" s="39">
        <v>3.2124999999999999</v>
      </c>
      <c r="Y270" s="40">
        <f t="shared" si="40"/>
        <v>-1.3198443579766517E-2</v>
      </c>
      <c r="Z270" s="67"/>
      <c r="AA270" s="71">
        <v>40969</v>
      </c>
      <c r="AB270" s="99">
        <v>1671.9</v>
      </c>
      <c r="AC270" s="99">
        <v>1695.6</v>
      </c>
      <c r="AD270" s="73">
        <f t="shared" si="41"/>
        <v>-1.3977353149327576E-2</v>
      </c>
      <c r="AE270" s="67"/>
      <c r="AF270" s="71">
        <v>40969</v>
      </c>
      <c r="AG270" s="72">
        <v>79</v>
      </c>
      <c r="AH270" s="72">
        <v>78.77</v>
      </c>
      <c r="AI270" s="73">
        <f t="shared" si="42"/>
        <v>2.9198933604164257E-3</v>
      </c>
      <c r="AJ270" s="67"/>
      <c r="AK270" s="74">
        <v>40999</v>
      </c>
      <c r="AL270" s="41">
        <v>2.23E-2</v>
      </c>
      <c r="AM270" s="41">
        <f t="shared" si="48"/>
        <v>2.5000000000000022E-3</v>
      </c>
      <c r="AN270" s="67"/>
      <c r="AO270" s="75">
        <v>40969</v>
      </c>
      <c r="AP270" s="76">
        <v>695951</v>
      </c>
      <c r="AQ270" s="80">
        <f t="shared" si="43"/>
        <v>0</v>
      </c>
      <c r="AR270" s="67"/>
      <c r="AS270" s="94">
        <v>40969</v>
      </c>
      <c r="AT270" s="78">
        <v>0.83799999999999997</v>
      </c>
      <c r="AU270" s="67"/>
      <c r="AV270" s="79">
        <v>40969</v>
      </c>
      <c r="AW270" s="76">
        <v>325457.40000000002</v>
      </c>
      <c r="AX270" s="80">
        <f t="shared" si="44"/>
        <v>3.1985103223909128E-2</v>
      </c>
      <c r="AY270" s="67"/>
      <c r="AZ270" s="81">
        <v>40969</v>
      </c>
      <c r="BA270" s="82">
        <v>88.759979248046875</v>
      </c>
      <c r="BB270" s="82">
        <v>87.856483459472656</v>
      </c>
      <c r="BC270" s="67"/>
      <c r="BD270" s="83">
        <v>40983</v>
      </c>
      <c r="BE270" s="42">
        <v>6327</v>
      </c>
      <c r="BF270" s="41">
        <f t="shared" si="45"/>
        <v>9.4128908742820983E-3</v>
      </c>
      <c r="BG270" s="67"/>
      <c r="BH270" s="84">
        <v>40969</v>
      </c>
      <c r="BI270" s="85">
        <v>96.74</v>
      </c>
      <c r="BJ270" s="87">
        <f t="shared" si="46"/>
        <v>-5.1777239609845926E-3</v>
      </c>
      <c r="BK270" s="67"/>
      <c r="BL270" s="84">
        <v>40969</v>
      </c>
      <c r="BM270" s="86">
        <v>-62.465612</v>
      </c>
      <c r="BN270" s="67"/>
      <c r="BO270" s="88">
        <v>40969</v>
      </c>
      <c r="BP270" s="89">
        <v>3.8294999999999999</v>
      </c>
      <c r="BQ270" s="89">
        <v>3.8635000000000002</v>
      </c>
      <c r="BR270" s="90">
        <f t="shared" si="37"/>
        <v>-8.8003105991977248E-3</v>
      </c>
    </row>
    <row r="271" spans="1:70">
      <c r="A271" s="62">
        <v>41000</v>
      </c>
      <c r="B271" s="63">
        <v>41000</v>
      </c>
      <c r="C271" s="39">
        <v>104.87</v>
      </c>
      <c r="D271" s="64">
        <v>103.27</v>
      </c>
      <c r="E271" s="40">
        <f t="shared" si="38"/>
        <v>1.5493366902294969E-2</v>
      </c>
      <c r="F271" s="65"/>
      <c r="G271" s="63">
        <v>41000</v>
      </c>
      <c r="H271" s="39">
        <v>17.149999999999999</v>
      </c>
      <c r="I271" s="39">
        <v>16.350000000000001</v>
      </c>
      <c r="J271" s="40">
        <f t="shared" si="47"/>
        <v>4.8929663608562546E-2</v>
      </c>
      <c r="K271" s="67"/>
      <c r="L271" s="68">
        <v>41000</v>
      </c>
      <c r="M271" s="98">
        <v>1397.9</v>
      </c>
      <c r="N271" s="98">
        <v>1408.5</v>
      </c>
      <c r="O271" s="70">
        <f t="shared" si="39"/>
        <v>-7.5257365992189573E-3</v>
      </c>
      <c r="P271" s="67"/>
      <c r="Q271" s="38">
        <v>41000</v>
      </c>
      <c r="R271" s="39">
        <v>2.2850000000000001</v>
      </c>
      <c r="S271" s="39">
        <v>2.1219999999999999</v>
      </c>
      <c r="T271" s="40">
        <f t="shared" si="49"/>
        <v>7.6814326107445874E-2</v>
      </c>
      <c r="U271" s="67"/>
      <c r="V271" s="38">
        <v>41000</v>
      </c>
      <c r="W271" s="39">
        <v>3.1842000000000001</v>
      </c>
      <c r="X271" s="39">
        <v>3.1877</v>
      </c>
      <c r="Y271" s="40">
        <f t="shared" si="40"/>
        <v>-1.0979703234306193E-3</v>
      </c>
      <c r="Z271" s="67"/>
      <c r="AA271" s="71">
        <v>41000</v>
      </c>
      <c r="AB271" s="99">
        <v>1664.2</v>
      </c>
      <c r="AC271" s="99">
        <v>1671.5</v>
      </c>
      <c r="AD271" s="73">
        <f t="shared" si="41"/>
        <v>-4.3673347292850773E-3</v>
      </c>
      <c r="AE271" s="67"/>
      <c r="AF271" s="71">
        <v>41000</v>
      </c>
      <c r="AG271" s="72">
        <v>78.78</v>
      </c>
      <c r="AH271" s="72">
        <v>78.89</v>
      </c>
      <c r="AI271" s="73">
        <f t="shared" si="42"/>
        <v>-1.3943465584991266E-3</v>
      </c>
      <c r="AJ271" s="67"/>
      <c r="AK271" s="74">
        <v>41029</v>
      </c>
      <c r="AL271" s="41">
        <v>1.95E-2</v>
      </c>
      <c r="AM271" s="41">
        <f t="shared" si="48"/>
        <v>-2.8000000000000004E-3</v>
      </c>
      <c r="AN271" s="67"/>
      <c r="AO271" s="75">
        <v>41000</v>
      </c>
      <c r="AP271" s="76">
        <v>695951</v>
      </c>
      <c r="AQ271" s="80">
        <f t="shared" si="43"/>
        <v>0</v>
      </c>
      <c r="AR271" s="67"/>
      <c r="AS271" s="94">
        <v>41000</v>
      </c>
      <c r="AT271" s="78">
        <v>0.84775</v>
      </c>
      <c r="AU271" s="67"/>
      <c r="AV271" s="79">
        <v>41000</v>
      </c>
      <c r="AW271" s="76">
        <v>344968</v>
      </c>
      <c r="AX271" s="80">
        <f t="shared" si="44"/>
        <v>5.9948245146676626E-2</v>
      </c>
      <c r="AY271" s="67"/>
      <c r="AZ271" s="81">
        <v>41000</v>
      </c>
      <c r="BA271" s="82">
        <v>96.016685485839844</v>
      </c>
      <c r="BB271" s="82">
        <v>101.92078399658203</v>
      </c>
      <c r="BC271" s="67"/>
      <c r="BD271" s="83">
        <v>41014</v>
      </c>
      <c r="BE271" s="42">
        <v>6320</v>
      </c>
      <c r="BF271" s="41">
        <f t="shared" si="45"/>
        <v>-1.1063695274221574E-3</v>
      </c>
      <c r="BG271" s="67"/>
      <c r="BH271" s="84">
        <v>41000</v>
      </c>
      <c r="BI271" s="85">
        <v>97.435900000000004</v>
      </c>
      <c r="BJ271" s="87">
        <f t="shared" si="46"/>
        <v>7.1935083729586236E-3</v>
      </c>
      <c r="BK271" s="67"/>
      <c r="BL271" s="84">
        <v>41000</v>
      </c>
      <c r="BM271" s="86">
        <v>-45.228408000000002</v>
      </c>
      <c r="BN271" s="67"/>
      <c r="BO271" s="88">
        <v>41000</v>
      </c>
      <c r="BP271" s="89">
        <v>3.8294999999999999</v>
      </c>
      <c r="BQ271" s="89">
        <v>3.8694999999999999</v>
      </c>
      <c r="BR271" s="90">
        <f t="shared" si="37"/>
        <v>-1.0337252875048497E-2</v>
      </c>
    </row>
    <row r="272" spans="1:70">
      <c r="A272" s="62">
        <v>41030</v>
      </c>
      <c r="B272" s="63">
        <v>41030</v>
      </c>
      <c r="C272" s="39">
        <v>86.53</v>
      </c>
      <c r="D272" s="64">
        <v>104.89</v>
      </c>
      <c r="E272" s="40">
        <f t="shared" si="38"/>
        <v>-0.17504051863857373</v>
      </c>
      <c r="F272" s="65"/>
      <c r="G272" s="63">
        <v>41030</v>
      </c>
      <c r="H272" s="39">
        <v>24.06</v>
      </c>
      <c r="I272" s="39">
        <v>17.27</v>
      </c>
      <c r="J272" s="40">
        <f t="shared" si="47"/>
        <v>0.39316734221192817</v>
      </c>
      <c r="K272" s="67"/>
      <c r="L272" s="68">
        <v>41030</v>
      </c>
      <c r="M272" s="98">
        <v>1310.3</v>
      </c>
      <c r="N272" s="98">
        <v>1397.9</v>
      </c>
      <c r="O272" s="70">
        <f t="shared" si="39"/>
        <v>-6.2665426711495886E-2</v>
      </c>
      <c r="P272" s="67"/>
      <c r="Q272" s="38">
        <v>41030</v>
      </c>
      <c r="R272" s="39">
        <v>2.4220000000000002</v>
      </c>
      <c r="S272" s="39">
        <v>2.3109999999999999</v>
      </c>
      <c r="T272" s="40">
        <f t="shared" si="49"/>
        <v>4.8031155344006926E-2</v>
      </c>
      <c r="U272" s="67"/>
      <c r="V272" s="38">
        <v>41030</v>
      </c>
      <c r="W272" s="39">
        <v>2.7031999999999998</v>
      </c>
      <c r="X272" s="39">
        <v>3.18</v>
      </c>
      <c r="Y272" s="40">
        <f t="shared" si="40"/>
        <v>-0.14993710691823914</v>
      </c>
      <c r="Z272" s="67"/>
      <c r="AA272" s="71">
        <v>41030</v>
      </c>
      <c r="AB272" s="99">
        <v>1564.2</v>
      </c>
      <c r="AC272" s="99">
        <v>1666.1</v>
      </c>
      <c r="AD272" s="73">
        <f t="shared" si="41"/>
        <v>-6.1160794670187757E-2</v>
      </c>
      <c r="AE272" s="67"/>
      <c r="AF272" s="71">
        <v>41030</v>
      </c>
      <c r="AG272" s="72">
        <v>83.04</v>
      </c>
      <c r="AH272" s="72">
        <v>78.78</v>
      </c>
      <c r="AI272" s="73">
        <f t="shared" si="42"/>
        <v>5.407463823305414E-2</v>
      </c>
      <c r="AJ272" s="67"/>
      <c r="AK272" s="74">
        <v>41060</v>
      </c>
      <c r="AL272" s="41">
        <v>1.5900000000000001E-2</v>
      </c>
      <c r="AM272" s="41">
        <f t="shared" si="48"/>
        <v>-3.599999999999999E-3</v>
      </c>
      <c r="AN272" s="67"/>
      <c r="AO272" s="92">
        <v>41030</v>
      </c>
      <c r="AP272" s="76">
        <v>695951</v>
      </c>
      <c r="AQ272" s="80">
        <f t="shared" si="43"/>
        <v>0</v>
      </c>
      <c r="AR272" s="67"/>
      <c r="AS272" s="97">
        <v>41030</v>
      </c>
      <c r="AT272" s="78">
        <v>0.87974999999999992</v>
      </c>
      <c r="AU272" s="67"/>
      <c r="AV272" s="93">
        <v>41030</v>
      </c>
      <c r="AW272" s="76">
        <v>357930.75</v>
      </c>
      <c r="AX272" s="80">
        <f t="shared" si="44"/>
        <v>3.7576673778437319E-2</v>
      </c>
      <c r="AY272" s="67"/>
      <c r="AZ272" s="81">
        <v>41030</v>
      </c>
      <c r="BA272" s="82">
        <v>78.171157836914063</v>
      </c>
      <c r="BB272" s="82">
        <v>80.6348876953125</v>
      </c>
      <c r="BC272" s="67"/>
      <c r="BD272" s="83">
        <v>41044</v>
      </c>
      <c r="BE272" s="42">
        <v>6370</v>
      </c>
      <c r="BF272" s="41">
        <f t="shared" si="45"/>
        <v>7.9113924050633333E-3</v>
      </c>
      <c r="BG272" s="67"/>
      <c r="BH272" s="84">
        <v>41030</v>
      </c>
      <c r="BI272" s="85">
        <v>97.660899999999998</v>
      </c>
      <c r="BJ272" s="87">
        <f t="shared" si="46"/>
        <v>2.3092104655471068E-3</v>
      </c>
      <c r="BK272" s="67"/>
      <c r="BL272" s="84">
        <v>41030</v>
      </c>
      <c r="BM272" s="86">
        <v>-37.239203000000003</v>
      </c>
      <c r="BN272" s="67"/>
      <c r="BO272" s="88">
        <v>41030</v>
      </c>
      <c r="BP272" s="89">
        <v>3.3704999999999998</v>
      </c>
      <c r="BQ272" s="89">
        <v>3.8370000000000002</v>
      </c>
      <c r="BR272" s="90">
        <f t="shared" si="37"/>
        <v>-0.12157935887412052</v>
      </c>
    </row>
    <row r="273" spans="1:70">
      <c r="A273" s="62">
        <v>41061</v>
      </c>
      <c r="B273" s="63">
        <v>41061</v>
      </c>
      <c r="C273" s="39">
        <v>84.96</v>
      </c>
      <c r="D273" s="64">
        <v>86.44</v>
      </c>
      <c r="E273" s="40">
        <f t="shared" si="38"/>
        <v>-1.7121702915317005E-2</v>
      </c>
      <c r="F273" s="65"/>
      <c r="G273" s="63">
        <v>41061</v>
      </c>
      <c r="H273" s="39">
        <v>17.079999999999998</v>
      </c>
      <c r="I273" s="39">
        <v>25.87</v>
      </c>
      <c r="J273" s="40">
        <f t="shared" si="47"/>
        <v>-0.33977580208735991</v>
      </c>
      <c r="K273" s="67"/>
      <c r="L273" s="68">
        <v>41061</v>
      </c>
      <c r="M273" s="98">
        <v>1362.2</v>
      </c>
      <c r="N273" s="98">
        <v>1309.9000000000001</v>
      </c>
      <c r="O273" s="70">
        <f t="shared" si="39"/>
        <v>3.9926711962745109E-2</v>
      </c>
      <c r="P273" s="67"/>
      <c r="Q273" s="38">
        <v>41061</v>
      </c>
      <c r="R273" s="39">
        <v>2.8239999999999998</v>
      </c>
      <c r="S273" s="39">
        <v>2.4079999999999999</v>
      </c>
      <c r="T273" s="40">
        <f t="shared" si="49"/>
        <v>0.1727574750830565</v>
      </c>
      <c r="U273" s="67"/>
      <c r="V273" s="38">
        <v>41061</v>
      </c>
      <c r="W273" s="39">
        <v>2.7099000000000002</v>
      </c>
      <c r="X273" s="39">
        <v>2.7166999999999999</v>
      </c>
      <c r="Y273" s="40">
        <f t="shared" si="40"/>
        <v>-2.5030367725548119E-3</v>
      </c>
      <c r="Z273" s="67"/>
      <c r="AA273" s="71">
        <v>41061</v>
      </c>
      <c r="AB273" s="99">
        <v>1604.2</v>
      </c>
      <c r="AC273" s="99">
        <v>1561.8</v>
      </c>
      <c r="AD273" s="73">
        <f t="shared" si="41"/>
        <v>2.7148162376744889E-2</v>
      </c>
      <c r="AE273" s="67"/>
      <c r="AF273" s="71">
        <v>41061</v>
      </c>
      <c r="AG273" s="72">
        <v>81.63</v>
      </c>
      <c r="AH273" s="72">
        <v>83.07</v>
      </c>
      <c r="AI273" s="73">
        <f t="shared" si="42"/>
        <v>-1.7334777898158182E-2</v>
      </c>
      <c r="AJ273" s="67"/>
      <c r="AK273" s="74">
        <v>41090</v>
      </c>
      <c r="AL273" s="41">
        <v>1.67E-2</v>
      </c>
      <c r="AM273" s="41">
        <f t="shared" si="48"/>
        <v>7.9999999999999863E-4</v>
      </c>
      <c r="AN273" s="67"/>
      <c r="AO273" s="75">
        <v>41061</v>
      </c>
      <c r="AP273" s="76">
        <v>695951</v>
      </c>
      <c r="AQ273" s="80">
        <f t="shared" si="43"/>
        <v>0</v>
      </c>
      <c r="AR273" s="67"/>
      <c r="AS273" s="94">
        <v>41061</v>
      </c>
      <c r="AT273" s="78">
        <v>0.91900000000000004</v>
      </c>
      <c r="AU273" s="67"/>
      <c r="AV273" s="79">
        <v>41061</v>
      </c>
      <c r="AW273" s="76">
        <v>359457.6</v>
      </c>
      <c r="AX273" s="80">
        <f t="shared" si="44"/>
        <v>4.2657692863772301E-3</v>
      </c>
      <c r="AY273" s="67"/>
      <c r="AZ273" s="81">
        <v>41061</v>
      </c>
      <c r="BA273" s="82">
        <v>77.822433471679688</v>
      </c>
      <c r="BB273" s="82">
        <v>70.232162475585938</v>
      </c>
      <c r="BC273" s="67"/>
      <c r="BD273" s="83">
        <v>41075</v>
      </c>
      <c r="BE273" s="42">
        <v>6275</v>
      </c>
      <c r="BF273" s="41">
        <f t="shared" si="45"/>
        <v>-1.491365777080067E-2</v>
      </c>
      <c r="BG273" s="67"/>
      <c r="BH273" s="84">
        <v>41061</v>
      </c>
      <c r="BI273" s="85">
        <v>97.666300000000007</v>
      </c>
      <c r="BJ273" s="87">
        <f t="shared" si="46"/>
        <v>5.5293367151154627E-5</v>
      </c>
      <c r="BK273" s="67"/>
      <c r="BL273" s="84">
        <v>41061</v>
      </c>
      <c r="BM273" s="86">
        <v>-53.098090999999997</v>
      </c>
      <c r="BN273" s="67"/>
      <c r="BO273" s="88">
        <v>41061</v>
      </c>
      <c r="BP273" s="89">
        <v>3.4965000000000002</v>
      </c>
      <c r="BQ273" s="89">
        <v>3.3694999999999999</v>
      </c>
      <c r="BR273" s="90">
        <f t="shared" si="37"/>
        <v>3.7691052084879217E-2</v>
      </c>
    </row>
    <row r="274" spans="1:70">
      <c r="A274" s="62">
        <v>41091</v>
      </c>
      <c r="B274" s="63">
        <v>41091</v>
      </c>
      <c r="C274" s="39">
        <v>88.06</v>
      </c>
      <c r="D274" s="64">
        <v>84.65</v>
      </c>
      <c r="E274" s="40">
        <f t="shared" si="38"/>
        <v>4.0283520378027182E-2</v>
      </c>
      <c r="F274" s="65"/>
      <c r="G274" s="63">
        <v>41091</v>
      </c>
      <c r="H274" s="39">
        <v>18.93</v>
      </c>
      <c r="I274" s="39">
        <v>17.62</v>
      </c>
      <c r="J274" s="40">
        <f t="shared" si="47"/>
        <v>7.4347332576617298E-2</v>
      </c>
      <c r="K274" s="67"/>
      <c r="L274" s="68">
        <v>41091</v>
      </c>
      <c r="M274" s="98">
        <v>1379.3</v>
      </c>
      <c r="N274" s="98">
        <v>1362.3</v>
      </c>
      <c r="O274" s="70">
        <f t="shared" si="39"/>
        <v>1.247889598473173E-2</v>
      </c>
      <c r="P274" s="67"/>
      <c r="Q274" s="38">
        <v>41091</v>
      </c>
      <c r="R274" s="39">
        <v>3.2090000000000001</v>
      </c>
      <c r="S274" s="39">
        <v>2.8039999999999998</v>
      </c>
      <c r="T274" s="40">
        <f t="shared" si="49"/>
        <v>0.14443651925820267</v>
      </c>
      <c r="U274" s="67"/>
      <c r="V274" s="38">
        <v>41091</v>
      </c>
      <c r="W274" s="39">
        <v>2.8479999999999999</v>
      </c>
      <c r="X274" s="39">
        <v>2.7103000000000002</v>
      </c>
      <c r="Y274" s="40">
        <f t="shared" si="40"/>
        <v>5.0806183817289519E-2</v>
      </c>
      <c r="Z274" s="67"/>
      <c r="AA274" s="71">
        <v>41091</v>
      </c>
      <c r="AB274" s="99">
        <v>1614.6</v>
      </c>
      <c r="AC274" s="99">
        <v>1599.6</v>
      </c>
      <c r="AD274" s="73">
        <f t="shared" si="41"/>
        <v>9.3773443360840592E-3</v>
      </c>
      <c r="AE274" s="67"/>
      <c r="AF274" s="71">
        <v>41091</v>
      </c>
      <c r="AG274" s="72">
        <v>82.64</v>
      </c>
      <c r="AH274" s="72">
        <v>81.56</v>
      </c>
      <c r="AI274" s="73">
        <f t="shared" si="42"/>
        <v>1.3241785188818023E-2</v>
      </c>
      <c r="AJ274" s="67"/>
      <c r="AK274" s="74">
        <v>41121</v>
      </c>
      <c r="AL274" s="41">
        <v>1.5100000000000001E-2</v>
      </c>
      <c r="AM274" s="41">
        <f t="shared" si="48"/>
        <v>-1.599999999999999E-3</v>
      </c>
      <c r="AN274" s="67"/>
      <c r="AO274" s="75">
        <v>41091</v>
      </c>
      <c r="AP274" s="76">
        <v>695950.75</v>
      </c>
      <c r="AQ274" s="80">
        <f t="shared" si="43"/>
        <v>-3.5922069230309717E-7</v>
      </c>
      <c r="AR274" s="67"/>
      <c r="AS274" s="94">
        <v>41091</v>
      </c>
      <c r="AT274" s="78">
        <v>0.92474999999999996</v>
      </c>
      <c r="AU274" s="67"/>
      <c r="AV274" s="79">
        <v>41091</v>
      </c>
      <c r="AW274" s="76">
        <v>351334.25</v>
      </c>
      <c r="AX274" s="80">
        <f t="shared" si="44"/>
        <v>-2.2598910135715577E-2</v>
      </c>
      <c r="AY274" s="67"/>
      <c r="AZ274" s="81">
        <v>41091</v>
      </c>
      <c r="BA274" s="82">
        <v>82.808021545410156</v>
      </c>
      <c r="BB274" s="82">
        <v>79.336265563964844</v>
      </c>
      <c r="BC274" s="67"/>
      <c r="BD274" s="83">
        <v>41105</v>
      </c>
      <c r="BE274" s="42">
        <v>6431</v>
      </c>
      <c r="BF274" s="41">
        <f t="shared" si="45"/>
        <v>2.4860557768924263E-2</v>
      </c>
      <c r="BG274" s="67"/>
      <c r="BH274" s="84">
        <v>41091</v>
      </c>
      <c r="BI274" s="85">
        <v>97.871300000000005</v>
      </c>
      <c r="BJ274" s="87">
        <f t="shared" si="46"/>
        <v>2.098983989359704E-3</v>
      </c>
      <c r="BK274" s="67"/>
      <c r="BL274" s="84">
        <v>41091</v>
      </c>
      <c r="BM274" s="86">
        <v>-41.005471999999997</v>
      </c>
      <c r="BN274" s="67"/>
      <c r="BO274" s="88">
        <v>41091</v>
      </c>
      <c r="BP274" s="89">
        <v>3.4235000000000002</v>
      </c>
      <c r="BQ274" s="89">
        <v>3.4950000000000001</v>
      </c>
      <c r="BR274" s="90">
        <f t="shared" si="37"/>
        <v>-2.0457796852646593E-2</v>
      </c>
    </row>
    <row r="275" spans="1:70">
      <c r="A275" s="62">
        <v>41122</v>
      </c>
      <c r="B275" s="63">
        <v>41122</v>
      </c>
      <c r="C275" s="39">
        <v>96.47</v>
      </c>
      <c r="D275" s="64">
        <v>88.03</v>
      </c>
      <c r="E275" s="40">
        <f t="shared" si="38"/>
        <v>9.5876405770759954E-2</v>
      </c>
      <c r="F275" s="65"/>
      <c r="G275" s="63">
        <v>41122</v>
      </c>
      <c r="H275" s="39">
        <v>17.47</v>
      </c>
      <c r="I275" s="39">
        <v>18.8</v>
      </c>
      <c r="J275" s="40">
        <f t="shared" si="47"/>
        <v>-7.074468085106389E-2</v>
      </c>
      <c r="K275" s="67"/>
      <c r="L275" s="68">
        <v>41122</v>
      </c>
      <c r="M275" s="98">
        <v>1406.6</v>
      </c>
      <c r="N275" s="98">
        <v>1379.3</v>
      </c>
      <c r="O275" s="70">
        <f t="shared" si="39"/>
        <v>1.9792648444863392E-2</v>
      </c>
      <c r="P275" s="67"/>
      <c r="Q275" s="38">
        <v>41122</v>
      </c>
      <c r="R275" s="39">
        <v>2.7989999999999999</v>
      </c>
      <c r="S275" s="39">
        <v>3.2170000000000001</v>
      </c>
      <c r="T275" s="40">
        <f t="shared" si="49"/>
        <v>-0.12993472179048804</v>
      </c>
      <c r="U275" s="67"/>
      <c r="V275" s="38">
        <v>41122</v>
      </c>
      <c r="W275" s="39">
        <v>3.1802000000000001</v>
      </c>
      <c r="X275" s="39">
        <v>2.8479999999999999</v>
      </c>
      <c r="Y275" s="40">
        <f t="shared" si="40"/>
        <v>0.11664325842696632</v>
      </c>
      <c r="Z275" s="67"/>
      <c r="AA275" s="71">
        <v>41122</v>
      </c>
      <c r="AB275" s="99">
        <v>1687.6</v>
      </c>
      <c r="AC275" s="99">
        <v>1617.5</v>
      </c>
      <c r="AD275" s="73">
        <f t="shared" si="41"/>
        <v>4.3338485316847031E-2</v>
      </c>
      <c r="AE275" s="67"/>
      <c r="AF275" s="71">
        <v>41122</v>
      </c>
      <c r="AG275" s="72">
        <v>81.209999999999994</v>
      </c>
      <c r="AH275" s="72">
        <v>82.7</v>
      </c>
      <c r="AI275" s="73">
        <f t="shared" si="42"/>
        <v>-1.8016928657799358E-2</v>
      </c>
      <c r="AJ275" s="67"/>
      <c r="AK275" s="74">
        <v>41152</v>
      </c>
      <c r="AL275" s="41">
        <v>1.5700000000000002E-2</v>
      </c>
      <c r="AM275" s="41">
        <f t="shared" si="48"/>
        <v>6.0000000000000157E-4</v>
      </c>
      <c r="AN275" s="67"/>
      <c r="AO275" s="75">
        <v>41122</v>
      </c>
      <c r="AP275" s="76">
        <v>695950</v>
      </c>
      <c r="AQ275" s="80">
        <f t="shared" si="43"/>
        <v>-1.0776624639330379E-6</v>
      </c>
      <c r="AR275" s="67"/>
      <c r="AS275" s="94">
        <v>41122</v>
      </c>
      <c r="AT275" s="78">
        <v>0.90739999999999998</v>
      </c>
      <c r="AU275" s="67"/>
      <c r="AV275" s="79">
        <v>41122</v>
      </c>
      <c r="AW275" s="76">
        <v>337643.6</v>
      </c>
      <c r="AX275" s="80">
        <f t="shared" si="44"/>
        <v>-3.8967592826489317E-2</v>
      </c>
      <c r="AY275" s="67"/>
      <c r="AZ275" s="81">
        <v>41122</v>
      </c>
      <c r="BA275" s="82">
        <v>74.87835693359375</v>
      </c>
      <c r="BB275" s="82">
        <v>70.989158630371094</v>
      </c>
      <c r="BC275" s="67"/>
      <c r="BD275" s="83">
        <v>41136</v>
      </c>
      <c r="BE275" s="42">
        <v>6351</v>
      </c>
      <c r="BF275" s="41">
        <f t="shared" si="45"/>
        <v>-1.2439744985227819E-2</v>
      </c>
      <c r="BG275" s="67"/>
      <c r="BH275" s="84">
        <v>41122</v>
      </c>
      <c r="BI275" s="85">
        <v>97.452500000000001</v>
      </c>
      <c r="BJ275" s="87">
        <f t="shared" si="46"/>
        <v>-4.2790889668371523E-3</v>
      </c>
      <c r="BK275" s="67"/>
      <c r="BL275" s="84">
        <v>41122</v>
      </c>
      <c r="BM275" s="86">
        <v>-74.245316000000003</v>
      </c>
      <c r="BN275" s="67"/>
      <c r="BO275" s="88">
        <v>41122</v>
      </c>
      <c r="BP275" s="89">
        <v>3.4575</v>
      </c>
      <c r="BQ275" s="89">
        <v>3.3690000000000002</v>
      </c>
      <c r="BR275" s="90">
        <f t="shared" si="37"/>
        <v>2.6268922528940308E-2</v>
      </c>
    </row>
    <row r="276" spans="1:70">
      <c r="A276" s="62">
        <v>41153</v>
      </c>
      <c r="B276" s="63">
        <v>41153</v>
      </c>
      <c r="C276" s="39">
        <v>92.19</v>
      </c>
      <c r="D276" s="64">
        <v>96.38</v>
      </c>
      <c r="E276" s="40">
        <f t="shared" si="38"/>
        <v>-4.3473749740610024E-2</v>
      </c>
      <c r="F276" s="65"/>
      <c r="G276" s="63">
        <v>41153</v>
      </c>
      <c r="H276" s="39">
        <v>15.73</v>
      </c>
      <c r="I276" s="39">
        <v>18.649999999999999</v>
      </c>
      <c r="J276" s="40">
        <f t="shared" si="47"/>
        <v>-0.15656836461126</v>
      </c>
      <c r="K276" s="67"/>
      <c r="L276" s="68">
        <v>41153</v>
      </c>
      <c r="M276" s="98">
        <v>1440.7</v>
      </c>
      <c r="N276" s="98">
        <v>1406.5</v>
      </c>
      <c r="O276" s="70">
        <f t="shared" si="39"/>
        <v>2.4315677212940034E-2</v>
      </c>
      <c r="P276" s="67"/>
      <c r="Q276" s="38">
        <v>41153</v>
      </c>
      <c r="R276" s="39">
        <v>3.32</v>
      </c>
      <c r="S276" s="39">
        <v>2.806</v>
      </c>
      <c r="T276" s="40">
        <f t="shared" si="49"/>
        <v>0.18317890235210266</v>
      </c>
      <c r="U276" s="67"/>
      <c r="V276" s="38">
        <v>41153</v>
      </c>
      <c r="W276" s="39">
        <v>3.1591999999999998</v>
      </c>
      <c r="X276" s="39">
        <v>3.1812999999999998</v>
      </c>
      <c r="Y276" s="40">
        <f t="shared" si="40"/>
        <v>-6.9468456291452707E-3</v>
      </c>
      <c r="Z276" s="67"/>
      <c r="AA276" s="71">
        <v>41153</v>
      </c>
      <c r="AB276" s="99">
        <v>1773.9</v>
      </c>
      <c r="AC276" s="99">
        <v>1693.4</v>
      </c>
      <c r="AD276" s="73">
        <f t="shared" si="41"/>
        <v>4.7537498523680277E-2</v>
      </c>
      <c r="AE276" s="67"/>
      <c r="AF276" s="71">
        <v>41153</v>
      </c>
      <c r="AG276" s="72">
        <v>79.94</v>
      </c>
      <c r="AH276" s="72">
        <v>81.290000000000006</v>
      </c>
      <c r="AI276" s="73">
        <f t="shared" si="42"/>
        <v>-1.660720875876498E-2</v>
      </c>
      <c r="AJ276" s="67"/>
      <c r="AK276" s="74">
        <v>41182</v>
      </c>
      <c r="AL276" s="41">
        <v>1.6500000000000001E-2</v>
      </c>
      <c r="AM276" s="41">
        <f t="shared" si="48"/>
        <v>7.9999999999999863E-4</v>
      </c>
      <c r="AN276" s="67"/>
      <c r="AO276" s="75">
        <v>41153</v>
      </c>
      <c r="AP276" s="76">
        <v>694951.5</v>
      </c>
      <c r="AQ276" s="80">
        <f t="shared" si="43"/>
        <v>-1.434729506430088E-3</v>
      </c>
      <c r="AR276" s="67"/>
      <c r="AS276" s="94">
        <v>41153</v>
      </c>
      <c r="AT276" s="78">
        <v>0.873</v>
      </c>
      <c r="AU276" s="67"/>
      <c r="AV276" s="79">
        <v>41153</v>
      </c>
      <c r="AW276" s="76">
        <v>337531</v>
      </c>
      <c r="AX276" s="80">
        <f t="shared" si="44"/>
        <v>-3.3348773677321919E-4</v>
      </c>
      <c r="AY276" s="67"/>
      <c r="AZ276" s="81">
        <v>41153</v>
      </c>
      <c r="BA276" s="82">
        <v>69.280509948730469</v>
      </c>
      <c r="BB276" s="82">
        <v>68.402824401855469</v>
      </c>
      <c r="BC276" s="67"/>
      <c r="BD276" s="83">
        <v>41167</v>
      </c>
      <c r="BE276" s="42">
        <v>6598</v>
      </c>
      <c r="BF276" s="41">
        <f t="shared" si="45"/>
        <v>3.8891513147535806E-2</v>
      </c>
      <c r="BG276" s="67"/>
      <c r="BH276" s="84">
        <v>41153</v>
      </c>
      <c r="BI276" s="85">
        <v>97.381</v>
      </c>
      <c r="BJ276" s="87">
        <f t="shared" si="46"/>
        <v>-7.3369077242757541E-4</v>
      </c>
      <c r="BK276" s="67"/>
      <c r="BL276" s="84">
        <v>41153</v>
      </c>
      <c r="BM276" s="86">
        <v>-81.883241999999996</v>
      </c>
      <c r="BN276" s="67"/>
      <c r="BO276" s="88">
        <v>41153</v>
      </c>
      <c r="BP276" s="89">
        <v>3.758</v>
      </c>
      <c r="BQ276" s="89">
        <v>3.48</v>
      </c>
      <c r="BR276" s="90">
        <f t="shared" si="37"/>
        <v>7.9885057471264398E-2</v>
      </c>
    </row>
    <row r="277" spans="1:70">
      <c r="A277" s="62">
        <v>41183</v>
      </c>
      <c r="B277" s="63">
        <v>41183</v>
      </c>
      <c r="C277" s="39">
        <v>86.24</v>
      </c>
      <c r="D277" s="64">
        <v>92.15</v>
      </c>
      <c r="E277" s="40">
        <f t="shared" si="38"/>
        <v>-6.4134563212154161E-2</v>
      </c>
      <c r="F277" s="65"/>
      <c r="G277" s="63">
        <v>41183</v>
      </c>
      <c r="H277" s="39">
        <v>18.600000000000001</v>
      </c>
      <c r="I277" s="39">
        <v>16.03</v>
      </c>
      <c r="J277" s="40">
        <f t="shared" si="47"/>
        <v>0.16032439176543978</v>
      </c>
      <c r="K277" s="67"/>
      <c r="L277" s="68">
        <v>41183</v>
      </c>
      <c r="M277" s="98">
        <v>1412.2</v>
      </c>
      <c r="N277" s="98">
        <v>1440.9</v>
      </c>
      <c r="O277" s="70">
        <f t="shared" si="39"/>
        <v>-1.9918106738843755E-2</v>
      </c>
      <c r="P277" s="67"/>
      <c r="Q277" s="38">
        <v>41183</v>
      </c>
      <c r="R277" s="39">
        <v>3.6920000000000002</v>
      </c>
      <c r="S277" s="39">
        <v>3.3250000000000002</v>
      </c>
      <c r="T277" s="40">
        <f t="shared" si="49"/>
        <v>0.11037593984962402</v>
      </c>
      <c r="U277" s="67"/>
      <c r="V277" s="38">
        <v>41183</v>
      </c>
      <c r="W277" s="39">
        <v>3.0623</v>
      </c>
      <c r="X277" s="39">
        <v>3.1396999999999999</v>
      </c>
      <c r="Y277" s="40">
        <f t="shared" si="40"/>
        <v>-2.4652036818804346E-2</v>
      </c>
      <c r="Z277" s="67"/>
      <c r="AA277" s="71">
        <v>41183</v>
      </c>
      <c r="AB277" s="99">
        <v>1719.1</v>
      </c>
      <c r="AC277" s="99">
        <v>1773.7</v>
      </c>
      <c r="AD277" s="73">
        <f t="shared" si="41"/>
        <v>-3.0783108755708444E-2</v>
      </c>
      <c r="AE277" s="67"/>
      <c r="AF277" s="71">
        <v>41183</v>
      </c>
      <c r="AG277" s="72">
        <v>79.92</v>
      </c>
      <c r="AH277" s="72">
        <v>79.95</v>
      </c>
      <c r="AI277" s="73">
        <f t="shared" si="42"/>
        <v>-3.7523452157595116E-4</v>
      </c>
      <c r="AJ277" s="67"/>
      <c r="AK277" s="74">
        <v>41213</v>
      </c>
      <c r="AL277" s="41">
        <v>1.72E-2</v>
      </c>
      <c r="AM277" s="41">
        <f t="shared" si="48"/>
        <v>6.9999999999999923E-4</v>
      </c>
      <c r="AN277" s="67"/>
      <c r="AO277" s="75">
        <v>41183</v>
      </c>
      <c r="AP277" s="76">
        <v>694952</v>
      </c>
      <c r="AQ277" s="80">
        <f t="shared" si="43"/>
        <v>7.1947466828703455E-7</v>
      </c>
      <c r="AR277" s="67"/>
      <c r="AS277" s="94">
        <v>41183</v>
      </c>
      <c r="AT277" s="78">
        <v>0.87250000000000005</v>
      </c>
      <c r="AU277" s="67"/>
      <c r="AV277" s="79">
        <v>41183</v>
      </c>
      <c r="AW277" s="76">
        <v>344173.75</v>
      </c>
      <c r="AX277" s="80">
        <f t="shared" si="44"/>
        <v>1.9680414539701596E-2</v>
      </c>
      <c r="AY277" s="67"/>
      <c r="AZ277" s="81">
        <v>41183</v>
      </c>
      <c r="BA277" s="82">
        <v>81.663665771484375</v>
      </c>
      <c r="BB277" s="82">
        <v>74.206008911132813</v>
      </c>
      <c r="BC277" s="67"/>
      <c r="BD277" s="83">
        <v>41197</v>
      </c>
      <c r="BE277" s="42">
        <v>6970</v>
      </c>
      <c r="BF277" s="41">
        <f t="shared" si="45"/>
        <v>5.638072143073658E-2</v>
      </c>
      <c r="BG277" s="67"/>
      <c r="BH277" s="84">
        <v>41183</v>
      </c>
      <c r="BI277" s="85">
        <v>97.719300000000004</v>
      </c>
      <c r="BJ277" s="87">
        <f t="shared" si="46"/>
        <v>3.4739836313038008E-3</v>
      </c>
      <c r="BK277" s="67"/>
      <c r="BL277" s="84">
        <v>41183</v>
      </c>
      <c r="BM277" s="86">
        <v>-52.193165</v>
      </c>
      <c r="BN277" s="67"/>
      <c r="BO277" s="88">
        <v>41183</v>
      </c>
      <c r="BP277" s="89">
        <v>3.5230000000000001</v>
      </c>
      <c r="BQ277" s="89">
        <v>3.7505000000000002</v>
      </c>
      <c r="BR277" s="90">
        <f t="shared" si="37"/>
        <v>-6.0658578856152556E-2</v>
      </c>
    </row>
    <row r="278" spans="1:70">
      <c r="A278" s="62">
        <v>41214</v>
      </c>
      <c r="B278" s="63">
        <v>41214</v>
      </c>
      <c r="C278" s="39">
        <v>88.91</v>
      </c>
      <c r="D278" s="64">
        <v>86.1</v>
      </c>
      <c r="E278" s="40">
        <f t="shared" si="38"/>
        <v>3.2636469221835052E-2</v>
      </c>
      <c r="F278" s="65"/>
      <c r="G278" s="63">
        <v>41214</v>
      </c>
      <c r="H278" s="39">
        <v>15.87</v>
      </c>
      <c r="I278" s="39">
        <v>17.77</v>
      </c>
      <c r="J278" s="40">
        <f t="shared" si="47"/>
        <v>-0.10692177827799665</v>
      </c>
      <c r="K278" s="67"/>
      <c r="L278" s="68">
        <v>41214</v>
      </c>
      <c r="M278" s="98">
        <v>1416.2</v>
      </c>
      <c r="N278" s="98">
        <v>1412.2</v>
      </c>
      <c r="O278" s="70">
        <f t="shared" si="39"/>
        <v>2.8324599915026116E-3</v>
      </c>
      <c r="P278" s="67"/>
      <c r="Q278" s="38">
        <v>41214</v>
      </c>
      <c r="R278" s="39">
        <v>3.5609999999999999</v>
      </c>
      <c r="S278" s="39">
        <v>3.6920000000000002</v>
      </c>
      <c r="T278" s="40">
        <f t="shared" si="49"/>
        <v>-3.5482123510292563E-2</v>
      </c>
      <c r="U278" s="67"/>
      <c r="V278" s="38">
        <v>41214</v>
      </c>
      <c r="W278" s="39">
        <v>3.0607000000000002</v>
      </c>
      <c r="X278" s="39">
        <v>3.0495000000000001</v>
      </c>
      <c r="Y278" s="40">
        <f t="shared" si="40"/>
        <v>3.6727332349566488E-3</v>
      </c>
      <c r="Z278" s="67"/>
      <c r="AA278" s="71">
        <v>41214</v>
      </c>
      <c r="AB278" s="99">
        <v>1712.7</v>
      </c>
      <c r="AC278" s="99">
        <v>1720.4</v>
      </c>
      <c r="AD278" s="73">
        <f t="shared" si="41"/>
        <v>-4.4757033248081779E-3</v>
      </c>
      <c r="AE278" s="67"/>
      <c r="AF278" s="71">
        <v>41214</v>
      </c>
      <c r="AG278" s="72">
        <v>80.150000000000006</v>
      </c>
      <c r="AH278" s="72">
        <v>79.95</v>
      </c>
      <c r="AI278" s="73">
        <f t="shared" si="42"/>
        <v>2.5015634771732298E-3</v>
      </c>
      <c r="AJ278" s="67"/>
      <c r="AK278" s="74">
        <v>41243</v>
      </c>
      <c r="AL278" s="41">
        <v>1.6200000000000003E-2</v>
      </c>
      <c r="AM278" s="41">
        <f t="shared" si="48"/>
        <v>-9.9999999999999742E-4</v>
      </c>
      <c r="AN278" s="67"/>
      <c r="AO278" s="75">
        <v>41214</v>
      </c>
      <c r="AP278" s="76">
        <v>694952</v>
      </c>
      <c r="AQ278" s="80">
        <f t="shared" si="43"/>
        <v>0</v>
      </c>
      <c r="AR278" s="67"/>
      <c r="AS278" s="94">
        <v>41214</v>
      </c>
      <c r="AT278" s="78">
        <v>0.87620000000000009</v>
      </c>
      <c r="AU278" s="67"/>
      <c r="AV278" s="79">
        <v>41214</v>
      </c>
      <c r="AW278" s="76">
        <v>347231.4</v>
      </c>
      <c r="AX278" s="80">
        <f t="shared" si="44"/>
        <v>8.884030231823381E-3</v>
      </c>
      <c r="AY278" s="67"/>
      <c r="AZ278" s="81">
        <v>41214</v>
      </c>
      <c r="BA278" s="82">
        <v>81.389640808105469</v>
      </c>
      <c r="BB278" s="82">
        <v>75.658462524414063</v>
      </c>
      <c r="BC278" s="67"/>
      <c r="BD278" s="83">
        <v>41228</v>
      </c>
      <c r="BE278" s="42">
        <v>7082</v>
      </c>
      <c r="BF278" s="41">
        <f t="shared" si="45"/>
        <v>1.6068866571018692E-2</v>
      </c>
      <c r="BG278" s="67"/>
      <c r="BH278" s="84">
        <v>41214</v>
      </c>
      <c r="BI278" s="85">
        <v>98.077699999999993</v>
      </c>
      <c r="BJ278" s="87">
        <f t="shared" si="46"/>
        <v>3.6676480490547281E-3</v>
      </c>
      <c r="BK278" s="67"/>
      <c r="BL278" s="84">
        <v>41214</v>
      </c>
      <c r="BM278" s="86">
        <v>-44.550578000000002</v>
      </c>
      <c r="BN278" s="67"/>
      <c r="BO278" s="88">
        <v>41214</v>
      </c>
      <c r="BP278" s="89">
        <v>3.645</v>
      </c>
      <c r="BQ278" s="89">
        <v>3.5495000000000001</v>
      </c>
      <c r="BR278" s="90">
        <f t="shared" si="37"/>
        <v>2.6905197915199297E-2</v>
      </c>
    </row>
    <row r="279" spans="1:70">
      <c r="A279" s="62">
        <v>41244</v>
      </c>
      <c r="B279" s="63">
        <v>41244</v>
      </c>
      <c r="C279" s="39">
        <v>91.82</v>
      </c>
      <c r="D279" s="64">
        <v>88.85</v>
      </c>
      <c r="E279" s="40">
        <f t="shared" si="38"/>
        <v>3.3427124366910421E-2</v>
      </c>
      <c r="F279" s="65"/>
      <c r="G279" s="63">
        <v>41244</v>
      </c>
      <c r="H279" s="39">
        <v>18.02</v>
      </c>
      <c r="I279" s="39">
        <v>15.81</v>
      </c>
      <c r="J279" s="40">
        <f t="shared" si="47"/>
        <v>0.13978494623655902</v>
      </c>
      <c r="K279" s="67"/>
      <c r="L279" s="68">
        <v>41244</v>
      </c>
      <c r="M279" s="98">
        <v>1426.2</v>
      </c>
      <c r="N279" s="98">
        <v>1416.3</v>
      </c>
      <c r="O279" s="70">
        <f t="shared" si="39"/>
        <v>6.9900444821013874E-3</v>
      </c>
      <c r="P279" s="67"/>
      <c r="Q279" s="38">
        <v>41244</v>
      </c>
      <c r="R279" s="39">
        <v>3.351</v>
      </c>
      <c r="S279" s="39">
        <v>3.5529999999999999</v>
      </c>
      <c r="T279" s="40">
        <f t="shared" si="49"/>
        <v>-5.6853363354911313E-2</v>
      </c>
      <c r="U279" s="67"/>
      <c r="V279" s="38">
        <v>41244</v>
      </c>
      <c r="W279" s="39">
        <v>3.0318000000000001</v>
      </c>
      <c r="X279" s="39">
        <v>3.0769000000000002</v>
      </c>
      <c r="Y279" s="40">
        <f t="shared" si="40"/>
        <v>-1.4657609932074545E-2</v>
      </c>
      <c r="Z279" s="67"/>
      <c r="AA279" s="71">
        <v>41244</v>
      </c>
      <c r="AB279" s="99">
        <v>1675.8</v>
      </c>
      <c r="AC279" s="99">
        <v>1715.5</v>
      </c>
      <c r="AD279" s="73">
        <f t="shared" si="41"/>
        <v>-2.3141941125036425E-2</v>
      </c>
      <c r="AE279" s="67"/>
      <c r="AF279" s="71">
        <v>41244</v>
      </c>
      <c r="AG279" s="72">
        <v>79.77</v>
      </c>
      <c r="AH279" s="72">
        <v>80.239999999999995</v>
      </c>
      <c r="AI279" s="73">
        <f t="shared" si="42"/>
        <v>-5.8574277168493838E-3</v>
      </c>
      <c r="AJ279" s="67"/>
      <c r="AK279" s="74">
        <v>41274</v>
      </c>
      <c r="AL279" s="41">
        <v>1.78E-2</v>
      </c>
      <c r="AM279" s="41">
        <f t="shared" si="48"/>
        <v>1.5999999999999973E-3</v>
      </c>
      <c r="AN279" s="67"/>
      <c r="AO279" s="75">
        <v>41244</v>
      </c>
      <c r="AP279" s="76">
        <v>694952</v>
      </c>
      <c r="AQ279" s="80">
        <f t="shared" si="43"/>
        <v>0</v>
      </c>
      <c r="AR279" s="67"/>
      <c r="AS279" s="94">
        <v>41244</v>
      </c>
      <c r="AT279" s="78">
        <v>0.90650000000000008</v>
      </c>
      <c r="AU279" s="67"/>
      <c r="AV279" s="79">
        <v>41244</v>
      </c>
      <c r="AW279" s="76">
        <v>341113</v>
      </c>
      <c r="AX279" s="80">
        <f t="shared" si="44"/>
        <v>-1.7620526254250146E-2</v>
      </c>
      <c r="AY279" s="67"/>
      <c r="AZ279" s="81">
        <v>41244</v>
      </c>
      <c r="BA279" s="82">
        <v>74.831558227539063</v>
      </c>
      <c r="BB279" s="82">
        <v>66.240524291992188</v>
      </c>
      <c r="BC279" s="67"/>
      <c r="BD279" s="83">
        <v>41258</v>
      </c>
      <c r="BE279" s="42">
        <v>7106</v>
      </c>
      <c r="BF279" s="41">
        <f t="shared" si="45"/>
        <v>3.3888731996611909E-3</v>
      </c>
      <c r="BG279" s="67"/>
      <c r="BH279" s="84">
        <v>41244</v>
      </c>
      <c r="BI279" s="85">
        <v>98.310100000000006</v>
      </c>
      <c r="BJ279" s="87">
        <f t="shared" si="46"/>
        <v>2.3695498568994111E-3</v>
      </c>
      <c r="BK279" s="67"/>
      <c r="BL279" s="84">
        <v>41244</v>
      </c>
      <c r="BM279" s="86">
        <v>-62.389882</v>
      </c>
      <c r="BN279" s="67"/>
      <c r="BO279" s="88">
        <v>41244</v>
      </c>
      <c r="BP279" s="89">
        <v>3.6524999999999999</v>
      </c>
      <c r="BQ279" s="89">
        <v>3.6425000000000001</v>
      </c>
      <c r="BR279" s="90">
        <f t="shared" si="37"/>
        <v>2.7453671928618917E-3</v>
      </c>
    </row>
    <row r="280" spans="1:70">
      <c r="A280" s="62">
        <v>41275</v>
      </c>
      <c r="B280" s="63">
        <v>41275</v>
      </c>
      <c r="C280" s="39">
        <v>97.49</v>
      </c>
      <c r="D280" s="64">
        <v>91.78</v>
      </c>
      <c r="E280" s="40">
        <f t="shared" si="38"/>
        <v>6.2213989976029671E-2</v>
      </c>
      <c r="F280" s="65"/>
      <c r="G280" s="63">
        <v>41275</v>
      </c>
      <c r="H280" s="39">
        <v>14.28</v>
      </c>
      <c r="I280" s="39">
        <v>15.24</v>
      </c>
      <c r="J280" s="40">
        <f t="shared" si="47"/>
        <v>-6.2992125984252079E-2</v>
      </c>
      <c r="K280" s="67"/>
      <c r="L280" s="68">
        <v>41275</v>
      </c>
      <c r="M280" s="98">
        <v>1498.1</v>
      </c>
      <c r="N280" s="98">
        <v>1426.2</v>
      </c>
      <c r="O280" s="70">
        <f t="shared" si="39"/>
        <v>5.0413686719954942E-2</v>
      </c>
      <c r="P280" s="67"/>
      <c r="Q280" s="38">
        <v>41275</v>
      </c>
      <c r="R280" s="39">
        <v>3.339</v>
      </c>
      <c r="S280" s="39">
        <v>3.3479999999999999</v>
      </c>
      <c r="T280" s="40">
        <f t="shared" si="49"/>
        <v>-2.6881720430107503E-3</v>
      </c>
      <c r="U280" s="67"/>
      <c r="V280" s="38">
        <v>41275</v>
      </c>
      <c r="W280" s="39">
        <v>3.1187</v>
      </c>
      <c r="X280" s="39">
        <v>3.0167000000000002</v>
      </c>
      <c r="Y280" s="40">
        <f t="shared" si="40"/>
        <v>3.3811781085291814E-2</v>
      </c>
      <c r="Z280" s="67"/>
      <c r="AA280" s="71">
        <v>41275</v>
      </c>
      <c r="AB280" s="99">
        <v>1662</v>
      </c>
      <c r="AC280" s="99">
        <v>1676.4</v>
      </c>
      <c r="AD280" s="73">
        <f t="shared" si="41"/>
        <v>-8.58983536148894E-3</v>
      </c>
      <c r="AE280" s="67"/>
      <c r="AF280" s="71">
        <v>41275</v>
      </c>
      <c r="AG280" s="72">
        <v>79.209999999999994</v>
      </c>
      <c r="AH280" s="72">
        <v>79.69</v>
      </c>
      <c r="AI280" s="73">
        <f t="shared" si="42"/>
        <v>-6.02334044422137E-3</v>
      </c>
      <c r="AJ280" s="67"/>
      <c r="AK280" s="74">
        <v>41305</v>
      </c>
      <c r="AL280" s="41">
        <v>2.0199999999999999E-2</v>
      </c>
      <c r="AM280" s="41">
        <f t="shared" si="48"/>
        <v>2.3999999999999994E-3</v>
      </c>
      <c r="AN280" s="67"/>
      <c r="AO280" s="75">
        <v>41275</v>
      </c>
      <c r="AP280" s="76">
        <v>695236.5</v>
      </c>
      <c r="AQ280" s="80">
        <f t="shared" si="43"/>
        <v>4.0938079176688902E-4</v>
      </c>
      <c r="AR280" s="67"/>
      <c r="AS280" s="94">
        <v>41275</v>
      </c>
      <c r="AT280" s="78">
        <v>0.8640000000000001</v>
      </c>
      <c r="AU280" s="67"/>
      <c r="AV280" s="79">
        <v>41275</v>
      </c>
      <c r="AW280" s="76">
        <v>335311</v>
      </c>
      <c r="AX280" s="80">
        <f t="shared" si="44"/>
        <v>-1.7009026334381838E-2</v>
      </c>
      <c r="AY280" s="67"/>
      <c r="AZ280" s="81">
        <v>41275</v>
      </c>
      <c r="BA280" s="82">
        <v>90.657493591308594</v>
      </c>
      <c r="BB280" s="82">
        <v>84.139892578125</v>
      </c>
      <c r="BC280" s="67"/>
      <c r="BD280" s="83">
        <v>41289</v>
      </c>
      <c r="BE280" s="42">
        <v>7083</v>
      </c>
      <c r="BF280" s="41">
        <f t="shared" si="45"/>
        <v>-3.2367013791162469E-3</v>
      </c>
      <c r="BG280" s="67"/>
      <c r="BH280" s="84">
        <v>41275</v>
      </c>
      <c r="BI280" s="85">
        <v>98.334199999999996</v>
      </c>
      <c r="BJ280" s="87">
        <f t="shared" si="46"/>
        <v>2.4514266591113554E-4</v>
      </c>
      <c r="BK280" s="67"/>
      <c r="BL280" s="84">
        <v>41275</v>
      </c>
      <c r="BM280" s="86">
        <v>-72.895156999999998</v>
      </c>
      <c r="BN280" s="67"/>
      <c r="BO280" s="88">
        <v>41275</v>
      </c>
      <c r="BP280" s="89">
        <v>3.7395</v>
      </c>
      <c r="BQ280" s="89">
        <v>3.6509999999999998</v>
      </c>
      <c r="BR280" s="90">
        <f t="shared" si="37"/>
        <v>2.423993426458515E-2</v>
      </c>
    </row>
    <row r="281" spans="1:70">
      <c r="A281" s="62">
        <v>41306</v>
      </c>
      <c r="B281" s="63">
        <v>41306</v>
      </c>
      <c r="C281" s="39">
        <v>92.05</v>
      </c>
      <c r="D281" s="64">
        <v>97.42</v>
      </c>
      <c r="E281" s="40">
        <f t="shared" si="38"/>
        <v>-5.5122151508930406E-2</v>
      </c>
      <c r="F281" s="65"/>
      <c r="G281" s="63">
        <v>41306</v>
      </c>
      <c r="H281" s="39">
        <v>15.51</v>
      </c>
      <c r="I281" s="39">
        <v>13.37</v>
      </c>
      <c r="J281" s="40">
        <f t="shared" si="47"/>
        <v>0.16005983545250557</v>
      </c>
      <c r="K281" s="67"/>
      <c r="L281" s="68">
        <v>41306</v>
      </c>
      <c r="M281" s="98">
        <v>1514.7</v>
      </c>
      <c r="N281" s="98">
        <v>1498.1</v>
      </c>
      <c r="O281" s="70">
        <f t="shared" si="39"/>
        <v>1.1080702222815653E-2</v>
      </c>
      <c r="P281" s="67"/>
      <c r="Q281" s="38">
        <v>41306</v>
      </c>
      <c r="R281" s="39">
        <v>3.4860000000000002</v>
      </c>
      <c r="S281" s="39">
        <v>3.3279999999999998</v>
      </c>
      <c r="T281" s="40">
        <f t="shared" si="49"/>
        <v>4.7475961538461675E-2</v>
      </c>
      <c r="U281" s="67"/>
      <c r="V281" s="38">
        <v>41306</v>
      </c>
      <c r="W281" s="39">
        <v>2.9603000000000002</v>
      </c>
      <c r="X281" s="39">
        <v>3.1067999999999998</v>
      </c>
      <c r="Y281" s="40">
        <f t="shared" si="40"/>
        <v>-4.7154628556714151E-2</v>
      </c>
      <c r="Z281" s="67"/>
      <c r="AA281" s="71">
        <v>41306</v>
      </c>
      <c r="AB281" s="99">
        <v>1578.1</v>
      </c>
      <c r="AC281" s="99">
        <v>1665.2</v>
      </c>
      <c r="AD281" s="73">
        <f t="shared" si="41"/>
        <v>-5.2306029305789203E-2</v>
      </c>
      <c r="AE281" s="67"/>
      <c r="AF281" s="71">
        <v>41306</v>
      </c>
      <c r="AG281" s="72">
        <v>81.95</v>
      </c>
      <c r="AH281" s="72">
        <v>79.13</v>
      </c>
      <c r="AI281" s="73">
        <f t="shared" si="42"/>
        <v>3.5637558448123441E-2</v>
      </c>
      <c r="AJ281" s="67"/>
      <c r="AK281" s="74">
        <v>41333</v>
      </c>
      <c r="AL281" s="41">
        <v>1.89E-2</v>
      </c>
      <c r="AM281" s="41">
        <f t="shared" si="48"/>
        <v>-1.2999999999999991E-3</v>
      </c>
      <c r="AN281" s="67"/>
      <c r="AO281" s="75">
        <v>41306</v>
      </c>
      <c r="AP281" s="76">
        <v>695928.5</v>
      </c>
      <c r="AQ281" s="80">
        <f t="shared" si="43"/>
        <v>9.9534474959250829E-4</v>
      </c>
      <c r="AR281" s="67"/>
      <c r="AS281" s="94">
        <v>41306</v>
      </c>
      <c r="AT281" s="78">
        <v>0.84</v>
      </c>
      <c r="AU281" s="67"/>
      <c r="AV281" s="79">
        <v>41306</v>
      </c>
      <c r="AW281" s="76">
        <v>346048</v>
      </c>
      <c r="AX281" s="80">
        <f t="shared" si="44"/>
        <v>3.2021019292537423E-2</v>
      </c>
      <c r="AY281" s="67"/>
      <c r="AZ281" s="81">
        <v>41306</v>
      </c>
      <c r="BA281" s="82">
        <v>81.59033203125</v>
      </c>
      <c r="BB281" s="82">
        <v>77.605316162109375</v>
      </c>
      <c r="BC281" s="67"/>
      <c r="BD281" s="83">
        <v>41320</v>
      </c>
      <c r="BE281" s="42">
        <v>7145</v>
      </c>
      <c r="BF281" s="41">
        <f t="shared" si="45"/>
        <v>8.7533530989694075E-3</v>
      </c>
      <c r="BG281" s="67"/>
      <c r="BH281" s="84">
        <v>41306</v>
      </c>
      <c r="BI281" s="85">
        <v>98.7941</v>
      </c>
      <c r="BJ281" s="87">
        <f t="shared" si="46"/>
        <v>4.6769079323369933E-3</v>
      </c>
      <c r="BK281" s="67"/>
      <c r="BL281" s="84">
        <v>41306</v>
      </c>
      <c r="BM281" s="86">
        <v>-76.653366000000005</v>
      </c>
      <c r="BN281" s="67"/>
      <c r="BO281" s="88">
        <v>41306</v>
      </c>
      <c r="BP281" s="89">
        <v>3.5474999999999999</v>
      </c>
      <c r="BQ281" s="89">
        <v>3.7349999999999999</v>
      </c>
      <c r="BR281" s="90">
        <f t="shared" si="37"/>
        <v>-5.0200803212851364E-2</v>
      </c>
    </row>
    <row r="282" spans="1:70">
      <c r="A282" s="62">
        <v>41334</v>
      </c>
      <c r="B282" s="63">
        <v>41334</v>
      </c>
      <c r="C282" s="39">
        <v>97.23</v>
      </c>
      <c r="D282" s="64">
        <v>91.76</v>
      </c>
      <c r="E282" s="40">
        <f t="shared" si="38"/>
        <v>5.9612031386224951E-2</v>
      </c>
      <c r="F282" s="65"/>
      <c r="G282" s="63">
        <v>41334</v>
      </c>
      <c r="H282" s="39">
        <v>12.7</v>
      </c>
      <c r="I282" s="39">
        <v>16.100000000000001</v>
      </c>
      <c r="J282" s="40">
        <f t="shared" si="47"/>
        <v>-0.21118012422360255</v>
      </c>
      <c r="K282" s="67"/>
      <c r="L282" s="68">
        <v>41334</v>
      </c>
      <c r="M282" s="98">
        <v>1569.2</v>
      </c>
      <c r="N282" s="98">
        <v>1514.7</v>
      </c>
      <c r="O282" s="70">
        <f t="shared" si="39"/>
        <v>3.5980722255231967E-2</v>
      </c>
      <c r="P282" s="67"/>
      <c r="Q282" s="38">
        <v>41334</v>
      </c>
      <c r="R282" s="39">
        <v>4.024</v>
      </c>
      <c r="S282" s="39">
        <v>3.4910000000000001</v>
      </c>
      <c r="T282" s="40">
        <f t="shared" si="49"/>
        <v>0.1526783156688627</v>
      </c>
      <c r="U282" s="67"/>
      <c r="V282" s="38">
        <v>41334</v>
      </c>
      <c r="W282" s="39">
        <v>3.0470000000000002</v>
      </c>
      <c r="X282" s="39">
        <v>3.0365000000000002</v>
      </c>
      <c r="Y282" s="40">
        <f t="shared" si="40"/>
        <v>3.457928536143573E-3</v>
      </c>
      <c r="Z282" s="67"/>
      <c r="AA282" s="71">
        <v>41334</v>
      </c>
      <c r="AB282" s="99">
        <v>1595.7</v>
      </c>
      <c r="AC282" s="99">
        <v>1578.5</v>
      </c>
      <c r="AD282" s="73">
        <f t="shared" si="41"/>
        <v>1.0896420652518168E-2</v>
      </c>
      <c r="AE282" s="67"/>
      <c r="AF282" s="71">
        <v>41334</v>
      </c>
      <c r="AG282" s="72">
        <v>83.22</v>
      </c>
      <c r="AH282" s="72">
        <v>81.92</v>
      </c>
      <c r="AI282" s="73">
        <f t="shared" si="42"/>
        <v>1.5869140625E-2</v>
      </c>
      <c r="AJ282" s="67"/>
      <c r="AK282" s="74">
        <v>41364</v>
      </c>
      <c r="AL282" s="41">
        <v>1.8700000000000001E-2</v>
      </c>
      <c r="AM282" s="41">
        <f t="shared" si="48"/>
        <v>-1.9999999999999879E-4</v>
      </c>
      <c r="AN282" s="67"/>
      <c r="AO282" s="75">
        <v>41334</v>
      </c>
      <c r="AP282" s="76">
        <v>695969</v>
      </c>
      <c r="AQ282" s="80">
        <f t="shared" si="43"/>
        <v>5.8195633603208563E-5</v>
      </c>
      <c r="AR282" s="67"/>
      <c r="AS282" s="94">
        <v>41334</v>
      </c>
      <c r="AT282" s="78">
        <v>0.83739999999999992</v>
      </c>
      <c r="AU282" s="67"/>
      <c r="AV282" s="79">
        <v>41334</v>
      </c>
      <c r="AW282" s="76">
        <v>355997.6</v>
      </c>
      <c r="AX282" s="80">
        <f t="shared" si="44"/>
        <v>2.8752080636212263E-2</v>
      </c>
      <c r="AY282" s="67"/>
      <c r="AZ282" s="81">
        <v>41334</v>
      </c>
      <c r="BA282" s="82">
        <v>75.896720886230469</v>
      </c>
      <c r="BB282" s="82">
        <v>81.891754150390625</v>
      </c>
      <c r="BC282" s="67"/>
      <c r="BD282" s="83">
        <v>41348</v>
      </c>
      <c r="BE282" s="42">
        <v>7214</v>
      </c>
      <c r="BF282" s="41">
        <f t="shared" si="45"/>
        <v>9.6571028691392335E-3</v>
      </c>
      <c r="BG282" s="67"/>
      <c r="BH282" s="84">
        <v>41334</v>
      </c>
      <c r="BI282" s="85">
        <v>99.192099999999996</v>
      </c>
      <c r="BJ282" s="87">
        <f t="shared" si="46"/>
        <v>4.0285806541078273E-3</v>
      </c>
      <c r="BK282" s="67"/>
      <c r="BL282" s="84">
        <v>41334</v>
      </c>
      <c r="BM282" s="86">
        <v>-59.988095999999999</v>
      </c>
      <c r="BN282" s="67"/>
      <c r="BO282" s="88">
        <v>41334</v>
      </c>
      <c r="BP282" s="89">
        <v>3.4125000000000001</v>
      </c>
      <c r="BQ282" s="89">
        <v>3.5529999999999999</v>
      </c>
      <c r="BR282" s="90">
        <f t="shared" si="37"/>
        <v>-3.9544047283985306E-2</v>
      </c>
    </row>
    <row r="283" spans="1:70">
      <c r="A283" s="62">
        <v>41365</v>
      </c>
      <c r="B283" s="63">
        <v>41365</v>
      </c>
      <c r="C283" s="39">
        <v>93.46</v>
      </c>
      <c r="D283" s="64">
        <v>97.36</v>
      </c>
      <c r="E283" s="40">
        <f t="shared" si="38"/>
        <v>-4.0057518488085475E-2</v>
      </c>
      <c r="F283" s="65"/>
      <c r="G283" s="63">
        <v>41365</v>
      </c>
      <c r="H283" s="39">
        <v>13.52</v>
      </c>
      <c r="I283" s="39">
        <v>13.46</v>
      </c>
      <c r="J283" s="40">
        <f t="shared" si="47"/>
        <v>4.4576523031203408E-3</v>
      </c>
      <c r="K283" s="67"/>
      <c r="L283" s="68">
        <v>41365</v>
      </c>
      <c r="M283" s="98">
        <v>1597.6</v>
      </c>
      <c r="N283" s="98">
        <v>1569.2</v>
      </c>
      <c r="O283" s="70">
        <f t="shared" si="39"/>
        <v>1.8098394086158542E-2</v>
      </c>
      <c r="P283" s="67"/>
      <c r="Q283" s="38">
        <v>41365</v>
      </c>
      <c r="R283" s="39">
        <v>4.343</v>
      </c>
      <c r="S283" s="39">
        <v>3.9689999999999999</v>
      </c>
      <c r="T283" s="40">
        <f t="shared" si="49"/>
        <v>9.423028470647532E-2</v>
      </c>
      <c r="U283" s="67"/>
      <c r="V283" s="38">
        <v>41365</v>
      </c>
      <c r="W283" s="39">
        <v>2.8395999999999999</v>
      </c>
      <c r="X283" s="39">
        <v>3.0398000000000001</v>
      </c>
      <c r="Y283" s="40">
        <f t="shared" si="40"/>
        <v>-6.5859596026054401E-2</v>
      </c>
      <c r="Z283" s="67"/>
      <c r="AA283" s="71">
        <v>41365</v>
      </c>
      <c r="AB283" s="99">
        <v>1472.1</v>
      </c>
      <c r="AC283" s="99">
        <v>1598.1</v>
      </c>
      <c r="AD283" s="73">
        <f t="shared" si="41"/>
        <v>-7.88436268068331E-2</v>
      </c>
      <c r="AE283" s="67"/>
      <c r="AF283" s="71">
        <v>41365</v>
      </c>
      <c r="AG283" s="72">
        <v>81.75</v>
      </c>
      <c r="AH283" s="72">
        <v>83.05</v>
      </c>
      <c r="AI283" s="73">
        <f t="shared" si="42"/>
        <v>-1.5653220951234115E-2</v>
      </c>
      <c r="AJ283" s="67"/>
      <c r="AK283" s="74">
        <v>41394</v>
      </c>
      <c r="AL283" s="41">
        <v>1.7000000000000001E-2</v>
      </c>
      <c r="AM283" s="41">
        <f t="shared" si="48"/>
        <v>-1.7000000000000001E-3</v>
      </c>
      <c r="AN283" s="67"/>
      <c r="AO283" s="75">
        <v>41365</v>
      </c>
      <c r="AP283" s="76">
        <v>695969</v>
      </c>
      <c r="AQ283" s="80">
        <f t="shared" si="43"/>
        <v>0</v>
      </c>
      <c r="AR283" s="67"/>
      <c r="AS283" s="94">
        <v>41365</v>
      </c>
      <c r="AT283" s="78">
        <v>0.85250000000000004</v>
      </c>
      <c r="AU283" s="67"/>
      <c r="AV283" s="79">
        <v>41365</v>
      </c>
      <c r="AW283" s="76">
        <v>361220.75</v>
      </c>
      <c r="AX283" s="80">
        <f t="shared" si="44"/>
        <v>1.4671868574394953E-2</v>
      </c>
      <c r="AY283" s="67"/>
      <c r="AZ283" s="81">
        <v>41365</v>
      </c>
      <c r="BA283" s="82">
        <v>95.107872009277344</v>
      </c>
      <c r="BB283" s="82">
        <v>99.521949768066406</v>
      </c>
      <c r="BC283" s="67"/>
      <c r="BD283" s="83">
        <v>41379</v>
      </c>
      <c r="BE283" s="42">
        <v>7374</v>
      </c>
      <c r="BF283" s="41">
        <f t="shared" si="45"/>
        <v>2.2179096201829784E-2</v>
      </c>
      <c r="BG283" s="67"/>
      <c r="BH283" s="84">
        <v>41365</v>
      </c>
      <c r="BI283" s="85">
        <v>99.106499999999997</v>
      </c>
      <c r="BJ283" s="87">
        <f t="shared" si="46"/>
        <v>-8.6297195038720353E-4</v>
      </c>
      <c r="BK283" s="67"/>
      <c r="BL283" s="84">
        <v>41365</v>
      </c>
      <c r="BM283" s="86">
        <v>-59.851697000000001</v>
      </c>
      <c r="BN283" s="67"/>
      <c r="BO283" s="88">
        <v>41365</v>
      </c>
      <c r="BP283" s="89">
        <v>3.1875</v>
      </c>
      <c r="BQ283" s="89">
        <v>3.3955000000000002</v>
      </c>
      <c r="BR283" s="90">
        <f t="shared" si="37"/>
        <v>-6.1257546753055614E-2</v>
      </c>
    </row>
    <row r="284" spans="1:70">
      <c r="A284" s="62">
        <v>41395</v>
      </c>
      <c r="B284" s="63">
        <v>41395</v>
      </c>
      <c r="C284" s="39">
        <v>91.97</v>
      </c>
      <c r="D284" s="64">
        <v>93.08</v>
      </c>
      <c r="E284" s="40">
        <f t="shared" si="38"/>
        <v>-1.1925225612376411E-2</v>
      </c>
      <c r="F284" s="65"/>
      <c r="G284" s="63">
        <v>41395</v>
      </c>
      <c r="H284" s="39">
        <v>16.3</v>
      </c>
      <c r="I284" s="39">
        <v>13.88</v>
      </c>
      <c r="J284" s="40">
        <f t="shared" si="47"/>
        <v>0.17435158501440928</v>
      </c>
      <c r="K284" s="67"/>
      <c r="L284" s="68">
        <v>41395</v>
      </c>
      <c r="M284" s="98">
        <v>1630.7</v>
      </c>
      <c r="N284" s="98">
        <v>1597.5</v>
      </c>
      <c r="O284" s="70">
        <f t="shared" si="39"/>
        <v>2.0782472613458447E-2</v>
      </c>
      <c r="P284" s="67"/>
      <c r="Q284" s="38">
        <v>41395</v>
      </c>
      <c r="R284" s="39">
        <v>3.984</v>
      </c>
      <c r="S284" s="39">
        <v>4.34</v>
      </c>
      <c r="T284" s="40">
        <f t="shared" si="49"/>
        <v>-8.2027649769585209E-2</v>
      </c>
      <c r="U284" s="67"/>
      <c r="V284" s="38">
        <v>41395</v>
      </c>
      <c r="W284" s="39">
        <v>2.7814000000000001</v>
      </c>
      <c r="X284" s="39">
        <v>2.8283999999999998</v>
      </c>
      <c r="Y284" s="40">
        <f t="shared" si="40"/>
        <v>-1.6617168717295905E-2</v>
      </c>
      <c r="Z284" s="67"/>
      <c r="AA284" s="71">
        <v>41395</v>
      </c>
      <c r="AB284" s="99">
        <v>1393</v>
      </c>
      <c r="AC284" s="99">
        <v>1475.6</v>
      </c>
      <c r="AD284" s="73">
        <f t="shared" si="41"/>
        <v>-5.5977229601517964E-2</v>
      </c>
      <c r="AE284" s="67"/>
      <c r="AF284" s="71">
        <v>41395</v>
      </c>
      <c r="AG284" s="72">
        <v>83.26</v>
      </c>
      <c r="AH284" s="72">
        <v>81.709999999999994</v>
      </c>
      <c r="AI284" s="73">
        <f t="shared" si="42"/>
        <v>1.8969526373761036E-2</v>
      </c>
      <c r="AJ284" s="67"/>
      <c r="AK284" s="74">
        <v>41425</v>
      </c>
      <c r="AL284" s="41">
        <v>2.1600000000000001E-2</v>
      </c>
      <c r="AM284" s="41">
        <f t="shared" si="48"/>
        <v>4.5999999999999999E-3</v>
      </c>
      <c r="AN284" s="67"/>
      <c r="AO284" s="92">
        <v>41395</v>
      </c>
      <c r="AP284" s="76">
        <v>695969</v>
      </c>
      <c r="AQ284" s="80">
        <f t="shared" si="43"/>
        <v>0</v>
      </c>
      <c r="AR284" s="67"/>
      <c r="AS284" s="97">
        <v>41395</v>
      </c>
      <c r="AT284" s="78">
        <v>0.87419999999999998</v>
      </c>
      <c r="AU284" s="67"/>
      <c r="AV284" s="93">
        <v>41395</v>
      </c>
      <c r="AW284" s="76">
        <v>366023.6</v>
      </c>
      <c r="AX284" s="80">
        <f t="shared" si="44"/>
        <v>1.3296163080332324E-2</v>
      </c>
      <c r="AY284" s="67"/>
      <c r="AZ284" s="81">
        <v>41395</v>
      </c>
      <c r="BA284" s="82">
        <v>83.717315673828125</v>
      </c>
      <c r="BB284" s="82">
        <v>75.3292236328125</v>
      </c>
      <c r="BC284" s="67"/>
      <c r="BD284" s="83">
        <v>41409</v>
      </c>
      <c r="BE284" s="42">
        <v>7326</v>
      </c>
      <c r="BF284" s="41">
        <f t="shared" si="45"/>
        <v>-6.5093572009764511E-3</v>
      </c>
      <c r="BG284" s="67"/>
      <c r="BH284" s="84">
        <v>41395</v>
      </c>
      <c r="BI284" s="85">
        <v>99.183899999999994</v>
      </c>
      <c r="BJ284" s="87">
        <f t="shared" si="46"/>
        <v>7.8097803877641425E-4</v>
      </c>
      <c r="BK284" s="67"/>
      <c r="BL284" s="84">
        <v>41395</v>
      </c>
      <c r="BM284" s="86">
        <v>-62.347805000000001</v>
      </c>
      <c r="BN284" s="67"/>
      <c r="BO284" s="88">
        <v>41395</v>
      </c>
      <c r="BP284" s="89">
        <v>3.3</v>
      </c>
      <c r="BQ284" s="89">
        <v>3.1894999999999998</v>
      </c>
      <c r="BR284" s="90">
        <f t="shared" si="37"/>
        <v>3.4644928672205699E-2</v>
      </c>
    </row>
    <row r="285" spans="1:70">
      <c r="A285" s="62">
        <v>41426</v>
      </c>
      <c r="B285" s="63">
        <v>41426</v>
      </c>
      <c r="C285" s="39">
        <v>96.56</v>
      </c>
      <c r="D285" s="64">
        <v>91.73</v>
      </c>
      <c r="E285" s="40">
        <f t="shared" si="38"/>
        <v>5.2654529597732536E-2</v>
      </c>
      <c r="F285" s="65"/>
      <c r="G285" s="63">
        <v>41426</v>
      </c>
      <c r="H285" s="39">
        <v>16.86</v>
      </c>
      <c r="I285" s="39">
        <v>16.399999999999999</v>
      </c>
      <c r="J285" s="40">
        <f t="shared" si="47"/>
        <v>2.8048780487804903E-2</v>
      </c>
      <c r="K285" s="67"/>
      <c r="L285" s="68">
        <v>41426</v>
      </c>
      <c r="M285" s="98">
        <v>1606.3</v>
      </c>
      <c r="N285" s="98">
        <v>1631.7</v>
      </c>
      <c r="O285" s="70">
        <f t="shared" si="39"/>
        <v>-1.5566586995158449E-2</v>
      </c>
      <c r="P285" s="67"/>
      <c r="Q285" s="38">
        <v>41426</v>
      </c>
      <c r="R285" s="39">
        <v>3.5649999999999999</v>
      </c>
      <c r="S285" s="39">
        <v>3.9630000000000001</v>
      </c>
      <c r="T285" s="40">
        <f t="shared" si="49"/>
        <v>-0.10042896795357059</v>
      </c>
      <c r="U285" s="67"/>
      <c r="V285" s="38">
        <v>41426</v>
      </c>
      <c r="W285" s="39">
        <v>2.8588</v>
      </c>
      <c r="X285" s="39">
        <v>2.7921</v>
      </c>
      <c r="Y285" s="40">
        <f t="shared" si="40"/>
        <v>2.3888829196661909E-2</v>
      </c>
      <c r="Z285" s="67"/>
      <c r="AA285" s="71">
        <v>41426</v>
      </c>
      <c r="AB285" s="99">
        <v>1223.7</v>
      </c>
      <c r="AC285" s="99">
        <v>1388.8</v>
      </c>
      <c r="AD285" s="73">
        <f t="shared" si="41"/>
        <v>-0.11887960829493083</v>
      </c>
      <c r="AE285" s="67"/>
      <c r="AF285" s="71">
        <v>41426</v>
      </c>
      <c r="AG285" s="72">
        <v>83.14</v>
      </c>
      <c r="AH285" s="72">
        <v>83.32</v>
      </c>
      <c r="AI285" s="73">
        <f t="shared" si="42"/>
        <v>-2.1603456553047629E-3</v>
      </c>
      <c r="AJ285" s="67"/>
      <c r="AK285" s="74">
        <v>41455</v>
      </c>
      <c r="AL285" s="41">
        <v>2.52E-2</v>
      </c>
      <c r="AM285" s="41">
        <f t="shared" si="48"/>
        <v>3.599999999999999E-3</v>
      </c>
      <c r="AN285" s="67"/>
      <c r="AO285" s="75">
        <v>41426</v>
      </c>
      <c r="AP285" s="76">
        <v>695969</v>
      </c>
      <c r="AQ285" s="80">
        <f t="shared" si="43"/>
        <v>0</v>
      </c>
      <c r="AR285" s="67"/>
      <c r="AS285" s="94">
        <v>41426</v>
      </c>
      <c r="AT285" s="78">
        <v>0.89800000000000002</v>
      </c>
      <c r="AU285" s="67"/>
      <c r="AV285" s="79">
        <v>41426</v>
      </c>
      <c r="AW285" s="76">
        <v>362836</v>
      </c>
      <c r="AX285" s="80">
        <f t="shared" si="44"/>
        <v>-8.7087280710860249E-3</v>
      </c>
      <c r="AY285" s="67"/>
      <c r="AZ285" s="81">
        <v>41426</v>
      </c>
      <c r="BA285" s="82">
        <v>82.973007202148438</v>
      </c>
      <c r="BB285" s="82">
        <v>78.821884155273438</v>
      </c>
      <c r="BC285" s="67"/>
      <c r="BD285" s="83">
        <v>41440</v>
      </c>
      <c r="BE285" s="42">
        <v>7277</v>
      </c>
      <c r="BF285" s="41">
        <f t="shared" si="45"/>
        <v>-6.6885066885067346E-3</v>
      </c>
      <c r="BG285" s="67"/>
      <c r="BH285" s="84">
        <v>41426</v>
      </c>
      <c r="BI285" s="85">
        <v>99.389700000000005</v>
      </c>
      <c r="BJ285" s="87">
        <f t="shared" si="46"/>
        <v>2.0749335325593865E-3</v>
      </c>
      <c r="BK285" s="67"/>
      <c r="BL285" s="84">
        <v>41426</v>
      </c>
      <c r="BM285" s="86">
        <v>-52.462997999999999</v>
      </c>
      <c r="BN285" s="67"/>
      <c r="BO285" s="88">
        <v>41426</v>
      </c>
      <c r="BP285" s="89">
        <v>3.0575000000000001</v>
      </c>
      <c r="BQ285" s="89">
        <v>3.331</v>
      </c>
      <c r="BR285" s="90">
        <f t="shared" si="37"/>
        <v>-8.2107475232662819E-2</v>
      </c>
    </row>
    <row r="286" spans="1:70">
      <c r="A286" s="62">
        <v>41456</v>
      </c>
      <c r="B286" s="63">
        <v>41456</v>
      </c>
      <c r="C286" s="39">
        <v>105.03</v>
      </c>
      <c r="D286" s="64">
        <v>96.58</v>
      </c>
      <c r="E286" s="40">
        <f t="shared" si="38"/>
        <v>8.7492234417063663E-2</v>
      </c>
      <c r="F286" s="65"/>
      <c r="G286" s="63">
        <v>41456</v>
      </c>
      <c r="H286" s="39">
        <v>13.45</v>
      </c>
      <c r="I286" s="39">
        <v>16.899999999999999</v>
      </c>
      <c r="J286" s="40">
        <f t="shared" si="47"/>
        <v>-0.20414201183431946</v>
      </c>
      <c r="K286" s="67"/>
      <c r="L286" s="68">
        <v>41456</v>
      </c>
      <c r="M286" s="98">
        <v>1685.7</v>
      </c>
      <c r="N286" s="98">
        <v>1609.8</v>
      </c>
      <c r="O286" s="70">
        <f t="shared" si="39"/>
        <v>4.7148714125978541E-2</v>
      </c>
      <c r="P286" s="67"/>
      <c r="Q286" s="38">
        <v>41456</v>
      </c>
      <c r="R286" s="39">
        <v>3.4460000000000002</v>
      </c>
      <c r="S286" s="39">
        <v>3.5470000000000002</v>
      </c>
      <c r="T286" s="40">
        <f t="shared" si="49"/>
        <v>-2.8474767409078061E-2</v>
      </c>
      <c r="U286" s="67"/>
      <c r="V286" s="38">
        <v>41456</v>
      </c>
      <c r="W286" s="39">
        <v>3.0550000000000002</v>
      </c>
      <c r="X286" s="39">
        <v>2.8633000000000002</v>
      </c>
      <c r="Y286" s="40">
        <f t="shared" si="40"/>
        <v>6.6950721195822904E-2</v>
      </c>
      <c r="Z286" s="67"/>
      <c r="AA286" s="71">
        <v>41456</v>
      </c>
      <c r="AB286" s="99">
        <v>1313</v>
      </c>
      <c r="AC286" s="99">
        <v>1232.9000000000001</v>
      </c>
      <c r="AD286" s="73">
        <f t="shared" si="41"/>
        <v>6.496877281206892E-2</v>
      </c>
      <c r="AE286" s="67"/>
      <c r="AF286" s="71">
        <v>41456</v>
      </c>
      <c r="AG286" s="72">
        <v>81.45</v>
      </c>
      <c r="AH286" s="72">
        <v>83.18</v>
      </c>
      <c r="AI286" s="73">
        <f t="shared" si="42"/>
        <v>-2.0798268814618992E-2</v>
      </c>
      <c r="AJ286" s="67"/>
      <c r="AK286" s="74">
        <v>41486</v>
      </c>
      <c r="AL286" s="41">
        <v>2.6000000000000002E-2</v>
      </c>
      <c r="AM286" s="41">
        <f t="shared" si="48"/>
        <v>8.000000000000021E-4</v>
      </c>
      <c r="AN286" s="67"/>
      <c r="AO286" s="75">
        <v>41456</v>
      </c>
      <c r="AP286" s="76">
        <v>695969</v>
      </c>
      <c r="AQ286" s="80">
        <f t="shared" si="43"/>
        <v>0</v>
      </c>
      <c r="AR286" s="67"/>
      <c r="AS286" s="94">
        <v>41456</v>
      </c>
      <c r="AT286" s="78">
        <v>0.92200000000000004</v>
      </c>
      <c r="AU286" s="67"/>
      <c r="AV286" s="79">
        <v>41456</v>
      </c>
      <c r="AW286" s="76">
        <v>338944.75</v>
      </c>
      <c r="AX286" s="80">
        <f t="shared" si="44"/>
        <v>-6.5845864247208064E-2</v>
      </c>
      <c r="AY286" s="67"/>
      <c r="AZ286" s="81">
        <v>41456</v>
      </c>
      <c r="BA286" s="82">
        <v>73.975814819335938</v>
      </c>
      <c r="BB286" s="82">
        <v>71.55718994140625</v>
      </c>
      <c r="BC286" s="67"/>
      <c r="BD286" s="83">
        <v>41470</v>
      </c>
      <c r="BE286" s="42">
        <v>7522</v>
      </c>
      <c r="BF286" s="41">
        <f t="shared" si="45"/>
        <v>3.3667720214374031E-2</v>
      </c>
      <c r="BG286" s="67"/>
      <c r="BH286" s="84">
        <v>41456</v>
      </c>
      <c r="BI286" s="85">
        <v>99.081400000000002</v>
      </c>
      <c r="BJ286" s="87">
        <f t="shared" si="46"/>
        <v>-3.1019310854143445E-3</v>
      </c>
      <c r="BK286" s="67"/>
      <c r="BL286" s="84">
        <v>41456</v>
      </c>
      <c r="BM286" s="86">
        <v>-34.744838000000001</v>
      </c>
      <c r="BN286" s="67"/>
      <c r="BO286" s="88">
        <v>41456</v>
      </c>
      <c r="BP286" s="89">
        <v>3.125</v>
      </c>
      <c r="BQ286" s="89">
        <v>3.0449999999999999</v>
      </c>
      <c r="BR286" s="90">
        <f t="shared" si="37"/>
        <v>2.6272577996715896E-2</v>
      </c>
    </row>
    <row r="287" spans="1:70">
      <c r="A287" s="62">
        <v>41487</v>
      </c>
      <c r="B287" s="63">
        <v>41487</v>
      </c>
      <c r="C287" s="39">
        <v>107.65</v>
      </c>
      <c r="D287" s="64">
        <v>105.26</v>
      </c>
      <c r="E287" s="40">
        <f t="shared" si="38"/>
        <v>2.2705681170435144E-2</v>
      </c>
      <c r="F287" s="65"/>
      <c r="G287" s="63">
        <v>41487</v>
      </c>
      <c r="H287" s="39">
        <v>17.010000000000002</v>
      </c>
      <c r="I287" s="39">
        <v>12.89</v>
      </c>
      <c r="J287" s="40">
        <f t="shared" si="47"/>
        <v>0.31962761830876651</v>
      </c>
      <c r="K287" s="67"/>
      <c r="L287" s="68">
        <v>41487</v>
      </c>
      <c r="M287" s="98">
        <v>1633</v>
      </c>
      <c r="N287" s="98">
        <v>1689.4</v>
      </c>
      <c r="O287" s="70">
        <f t="shared" si="39"/>
        <v>-3.3384633597727031E-2</v>
      </c>
      <c r="P287" s="67"/>
      <c r="Q287" s="38">
        <v>41487</v>
      </c>
      <c r="R287" s="39">
        <v>3.581</v>
      </c>
      <c r="S287" s="39">
        <v>3.452</v>
      </c>
      <c r="T287" s="40">
        <f t="shared" si="49"/>
        <v>3.736964078794891E-2</v>
      </c>
      <c r="U287" s="67"/>
      <c r="V287" s="38">
        <v>41487</v>
      </c>
      <c r="W287" s="39">
        <v>3.1366000000000001</v>
      </c>
      <c r="X287" s="39">
        <v>3.0575000000000001</v>
      </c>
      <c r="Y287" s="40">
        <f t="shared" si="40"/>
        <v>2.5870809484873192E-2</v>
      </c>
      <c r="Z287" s="67"/>
      <c r="AA287" s="71">
        <v>41487</v>
      </c>
      <c r="AB287" s="99">
        <v>1396.1</v>
      </c>
      <c r="AC287" s="99">
        <v>1323.4</v>
      </c>
      <c r="AD287" s="73">
        <f t="shared" si="41"/>
        <v>5.4934260238778787E-2</v>
      </c>
      <c r="AE287" s="67"/>
      <c r="AF287" s="71">
        <v>41487</v>
      </c>
      <c r="AG287" s="72">
        <v>82.09</v>
      </c>
      <c r="AH287" s="72">
        <v>81.66</v>
      </c>
      <c r="AI287" s="73">
        <f t="shared" si="42"/>
        <v>5.2657359784473723E-3</v>
      </c>
      <c r="AJ287" s="67"/>
      <c r="AK287" s="74">
        <v>41517</v>
      </c>
      <c r="AL287" s="41">
        <v>2.7799999999999998E-2</v>
      </c>
      <c r="AM287" s="41">
        <f t="shared" si="48"/>
        <v>1.799999999999996E-3</v>
      </c>
      <c r="AN287" s="67"/>
      <c r="AO287" s="75">
        <v>41487</v>
      </c>
      <c r="AP287" s="76">
        <v>695969</v>
      </c>
      <c r="AQ287" s="80">
        <f t="shared" si="43"/>
        <v>0</v>
      </c>
      <c r="AR287" s="67"/>
      <c r="AS287" s="94">
        <v>41487</v>
      </c>
      <c r="AT287" s="78">
        <v>0.90839999999999999</v>
      </c>
      <c r="AU287" s="67"/>
      <c r="AV287" s="79">
        <v>41487</v>
      </c>
      <c r="AW287" s="76">
        <v>332419.8</v>
      </c>
      <c r="AX287" s="80">
        <f t="shared" si="44"/>
        <v>-1.9250777597233815E-2</v>
      </c>
      <c r="AY287" s="67"/>
      <c r="AZ287" s="81">
        <v>41487</v>
      </c>
      <c r="BA287" s="82">
        <v>90.956748962402344</v>
      </c>
      <c r="BB287" s="82">
        <v>80.739578247070313</v>
      </c>
      <c r="BC287" s="67"/>
      <c r="BD287" s="83">
        <v>41501</v>
      </c>
      <c r="BE287" s="42">
        <v>7534</v>
      </c>
      <c r="BF287" s="41">
        <f t="shared" si="45"/>
        <v>1.5953203935124005E-3</v>
      </c>
      <c r="BG287" s="67"/>
      <c r="BH287" s="84">
        <v>41487</v>
      </c>
      <c r="BI287" s="85">
        <v>99.654300000000006</v>
      </c>
      <c r="BJ287" s="87">
        <f t="shared" si="46"/>
        <v>5.7821145038321475E-3</v>
      </c>
      <c r="BK287" s="67"/>
      <c r="BL287" s="84">
        <v>41487</v>
      </c>
      <c r="BM287" s="86">
        <v>-37.985028</v>
      </c>
      <c r="BN287" s="67"/>
      <c r="BO287" s="88">
        <v>41487</v>
      </c>
      <c r="BP287" s="89">
        <v>3.2305000000000001</v>
      </c>
      <c r="BQ287" s="89">
        <v>3.125</v>
      </c>
      <c r="BR287" s="90">
        <f t="shared" si="37"/>
        <v>3.3760000000000012E-2</v>
      </c>
    </row>
    <row r="288" spans="1:70">
      <c r="A288" s="62">
        <v>41518</v>
      </c>
      <c r="B288" s="63">
        <v>41518</v>
      </c>
      <c r="C288" s="39">
        <v>102.33</v>
      </c>
      <c r="D288" s="64">
        <v>107.07</v>
      </c>
      <c r="E288" s="40">
        <f t="shared" si="38"/>
        <v>-4.4270103670495886E-2</v>
      </c>
      <c r="F288" s="65"/>
      <c r="G288" s="63">
        <v>41518</v>
      </c>
      <c r="H288" s="39">
        <v>16.600000000000001</v>
      </c>
      <c r="I288" s="39">
        <v>16.47</v>
      </c>
      <c r="J288" s="40">
        <f t="shared" si="47"/>
        <v>7.8931390406802304E-3</v>
      </c>
      <c r="K288" s="67"/>
      <c r="L288" s="68">
        <v>41518</v>
      </c>
      <c r="M288" s="98">
        <v>1681.5</v>
      </c>
      <c r="N288" s="98">
        <v>1636</v>
      </c>
      <c r="O288" s="70">
        <f t="shared" si="39"/>
        <v>2.7811735941320359E-2</v>
      </c>
      <c r="P288" s="67"/>
      <c r="Q288" s="38">
        <v>41518</v>
      </c>
      <c r="R288" s="39">
        <v>3.56</v>
      </c>
      <c r="S288" s="39">
        <v>3.601</v>
      </c>
      <c r="T288" s="40">
        <f t="shared" si="49"/>
        <v>-1.1385726187170264E-2</v>
      </c>
      <c r="U288" s="67"/>
      <c r="V288" s="38">
        <v>41518</v>
      </c>
      <c r="W288" s="39">
        <v>2.9714999999999998</v>
      </c>
      <c r="X288" s="39">
        <v>3.1133000000000002</v>
      </c>
      <c r="Y288" s="40">
        <f t="shared" si="40"/>
        <v>-4.5546526194070736E-2</v>
      </c>
      <c r="Z288" s="67"/>
      <c r="AA288" s="71">
        <v>41518</v>
      </c>
      <c r="AB288" s="99">
        <v>1327</v>
      </c>
      <c r="AC288" s="99">
        <v>1394</v>
      </c>
      <c r="AD288" s="73">
        <f t="shared" si="41"/>
        <v>-4.806312769010046E-2</v>
      </c>
      <c r="AE288" s="67"/>
      <c r="AF288" s="71">
        <v>41518</v>
      </c>
      <c r="AG288" s="72">
        <v>80.22</v>
      </c>
      <c r="AH288" s="72">
        <v>82.05</v>
      </c>
      <c r="AI288" s="73">
        <f t="shared" si="42"/>
        <v>-2.2303473491773307E-2</v>
      </c>
      <c r="AJ288" s="67"/>
      <c r="AK288" s="74">
        <v>41547</v>
      </c>
      <c r="AL288" s="41">
        <v>2.64E-2</v>
      </c>
      <c r="AM288" s="41">
        <f t="shared" si="48"/>
        <v>-1.3999999999999985E-3</v>
      </c>
      <c r="AN288" s="67"/>
      <c r="AO288" s="75">
        <v>41518</v>
      </c>
      <c r="AP288" s="76">
        <v>695969</v>
      </c>
      <c r="AQ288" s="80">
        <f t="shared" si="43"/>
        <v>0</v>
      </c>
      <c r="AR288" s="67"/>
      <c r="AS288" s="94">
        <v>41518</v>
      </c>
      <c r="AT288" s="78">
        <v>0.91075000000000006</v>
      </c>
      <c r="AU288" s="67"/>
      <c r="AV288" s="79">
        <v>41518</v>
      </c>
      <c r="AW288" s="76">
        <v>330400.5</v>
      </c>
      <c r="AX288" s="80">
        <f t="shared" si="44"/>
        <v>-6.0745479059911567E-3</v>
      </c>
      <c r="AY288" s="67"/>
      <c r="AZ288" s="81">
        <v>41518</v>
      </c>
      <c r="BA288" s="82">
        <v>100.45932769775391</v>
      </c>
      <c r="BB288" s="82">
        <v>100.38423156738281</v>
      </c>
      <c r="BC288" s="67"/>
      <c r="BD288" s="83">
        <v>41532</v>
      </c>
      <c r="BE288" s="42">
        <v>7838</v>
      </c>
      <c r="BF288" s="41">
        <f t="shared" si="45"/>
        <v>4.0350411468011771E-2</v>
      </c>
      <c r="BG288" s="67"/>
      <c r="BH288" s="84">
        <v>41518</v>
      </c>
      <c r="BI288" s="85">
        <v>100.161</v>
      </c>
      <c r="BJ288" s="87">
        <f t="shared" si="46"/>
        <v>5.0845773840164643E-3</v>
      </c>
      <c r="BK288" s="67"/>
      <c r="BL288" s="84">
        <v>41518</v>
      </c>
      <c r="BM288" s="86">
        <v>5.6123387999999998</v>
      </c>
      <c r="BN288" s="67"/>
      <c r="BO288" s="88">
        <v>41518</v>
      </c>
      <c r="BP288" s="89">
        <v>3.323</v>
      </c>
      <c r="BQ288" s="89">
        <v>3.26</v>
      </c>
      <c r="BR288" s="90">
        <f t="shared" si="37"/>
        <v>1.9325153374233128E-2</v>
      </c>
    </row>
    <row r="289" spans="1:70">
      <c r="A289" s="62">
        <v>41548</v>
      </c>
      <c r="B289" s="63">
        <v>41548</v>
      </c>
      <c r="C289" s="39">
        <v>96.38</v>
      </c>
      <c r="D289" s="64">
        <v>102.31</v>
      </c>
      <c r="E289" s="40">
        <f t="shared" si="38"/>
        <v>-5.7961098621835627E-2</v>
      </c>
      <c r="F289" s="65"/>
      <c r="G289" s="63">
        <v>41548</v>
      </c>
      <c r="H289" s="39">
        <v>13.75</v>
      </c>
      <c r="I289" s="39">
        <v>16.309999999999999</v>
      </c>
      <c r="J289" s="40">
        <f t="shared" si="47"/>
        <v>-0.1569589209074187</v>
      </c>
      <c r="K289" s="67"/>
      <c r="L289" s="68">
        <v>41548</v>
      </c>
      <c r="M289" s="98">
        <v>1756.5</v>
      </c>
      <c r="N289" s="98">
        <v>1682.4</v>
      </c>
      <c r="O289" s="70">
        <f t="shared" si="39"/>
        <v>4.4044222539229683E-2</v>
      </c>
      <c r="P289" s="67"/>
      <c r="Q289" s="38">
        <v>41548</v>
      </c>
      <c r="R289" s="39">
        <v>3.581</v>
      </c>
      <c r="S289" s="39">
        <v>3.5569999999999999</v>
      </c>
      <c r="T289" s="40">
        <f t="shared" si="49"/>
        <v>6.7472589260613169E-3</v>
      </c>
      <c r="U289" s="67"/>
      <c r="V289" s="38">
        <v>41548</v>
      </c>
      <c r="W289" s="39">
        <v>2.9539</v>
      </c>
      <c r="X289" s="39">
        <v>2.9624999999999999</v>
      </c>
      <c r="Y289" s="40">
        <f t="shared" si="40"/>
        <v>-2.9029535864978362E-3</v>
      </c>
      <c r="Z289" s="67"/>
      <c r="AA289" s="71">
        <v>41548</v>
      </c>
      <c r="AB289" s="99">
        <v>1323.7</v>
      </c>
      <c r="AC289" s="99">
        <v>1328.2</v>
      </c>
      <c r="AD289" s="73">
        <f t="shared" si="41"/>
        <v>-3.3880439692817177E-3</v>
      </c>
      <c r="AE289" s="67"/>
      <c r="AF289" s="71">
        <v>41548</v>
      </c>
      <c r="AG289" s="72">
        <v>80.19</v>
      </c>
      <c r="AH289" s="72">
        <v>80.27</v>
      </c>
      <c r="AI289" s="73">
        <f t="shared" si="42"/>
        <v>-9.9663635231095338E-4</v>
      </c>
      <c r="AJ289" s="67"/>
      <c r="AK289" s="74">
        <v>41578</v>
      </c>
      <c r="AL289" s="41">
        <v>2.5699999999999997E-2</v>
      </c>
      <c r="AM289" s="41">
        <f t="shared" si="48"/>
        <v>-7.000000000000027E-4</v>
      </c>
      <c r="AN289" s="67"/>
      <c r="AO289" s="75">
        <v>41548</v>
      </c>
      <c r="AP289" s="76">
        <v>695969</v>
      </c>
      <c r="AQ289" s="80">
        <f t="shared" si="43"/>
        <v>0</v>
      </c>
      <c r="AR289" s="67"/>
      <c r="AS289" s="94">
        <v>41548</v>
      </c>
      <c r="AT289" s="78">
        <v>0.86349999999999993</v>
      </c>
      <c r="AU289" s="67"/>
      <c r="AV289" s="79">
        <v>41548</v>
      </c>
      <c r="AW289" s="76">
        <v>348118</v>
      </c>
      <c r="AX289" s="80">
        <f t="shared" si="44"/>
        <v>5.3624313522528055E-2</v>
      </c>
      <c r="AY289" s="67"/>
      <c r="AZ289" s="81">
        <v>41548</v>
      </c>
      <c r="BA289" s="82">
        <v>72.953117370605469</v>
      </c>
      <c r="BB289" s="82">
        <v>65.501663208007813</v>
      </c>
      <c r="BC289" s="67"/>
      <c r="BD289" s="83">
        <v>41562</v>
      </c>
      <c r="BE289" s="42">
        <v>7760</v>
      </c>
      <c r="BF289" s="41">
        <f t="shared" si="45"/>
        <v>-9.9515182444500638E-3</v>
      </c>
      <c r="BG289" s="67"/>
      <c r="BH289" s="84">
        <v>41548</v>
      </c>
      <c r="BI289" s="85">
        <v>100.08199999999999</v>
      </c>
      <c r="BJ289" s="87">
        <f t="shared" si="46"/>
        <v>-7.8873014446745326E-4</v>
      </c>
      <c r="BK289" s="67"/>
      <c r="BL289" s="84">
        <v>41548</v>
      </c>
      <c r="BM289" s="86">
        <v>17.111505000000001</v>
      </c>
      <c r="BN289" s="67"/>
      <c r="BO289" s="88">
        <v>41548</v>
      </c>
      <c r="BP289" s="89">
        <v>3.3045</v>
      </c>
      <c r="BQ289" s="89">
        <v>3.3245</v>
      </c>
      <c r="BR289" s="90">
        <f t="shared" si="37"/>
        <v>-6.0159422469544532E-3</v>
      </c>
    </row>
    <row r="290" spans="1:70">
      <c r="A290" s="62">
        <v>41579</v>
      </c>
      <c r="B290" s="63">
        <v>41579</v>
      </c>
      <c r="C290" s="39">
        <v>92.72</v>
      </c>
      <c r="D290" s="64">
        <v>96.32</v>
      </c>
      <c r="E290" s="40">
        <f t="shared" si="38"/>
        <v>-3.7375415282391966E-2</v>
      </c>
      <c r="F290" s="65"/>
      <c r="G290" s="63">
        <v>41579</v>
      </c>
      <c r="H290" s="39">
        <v>13.7</v>
      </c>
      <c r="I290" s="39">
        <v>13.46</v>
      </c>
      <c r="J290" s="40">
        <f t="shared" si="47"/>
        <v>1.7830609212481363E-2</v>
      </c>
      <c r="K290" s="67"/>
      <c r="L290" s="68">
        <v>41579</v>
      </c>
      <c r="M290" s="98">
        <v>1805.8</v>
      </c>
      <c r="N290" s="98">
        <v>1758.7</v>
      </c>
      <c r="O290" s="70">
        <f t="shared" si="39"/>
        <v>2.678114516404162E-2</v>
      </c>
      <c r="P290" s="67"/>
      <c r="Q290" s="38">
        <v>41579</v>
      </c>
      <c r="R290" s="39">
        <v>3.9540000000000002</v>
      </c>
      <c r="S290" s="39">
        <v>3.5739999999999998</v>
      </c>
      <c r="T290" s="40">
        <f t="shared" si="49"/>
        <v>0.10632344711807518</v>
      </c>
      <c r="U290" s="67"/>
      <c r="V290" s="38">
        <v>41579</v>
      </c>
      <c r="W290" s="39">
        <v>3.0308000000000002</v>
      </c>
      <c r="X290" s="39">
        <v>2.9601000000000002</v>
      </c>
      <c r="Y290" s="40">
        <f t="shared" si="40"/>
        <v>2.3884328232154362E-2</v>
      </c>
      <c r="Z290" s="67"/>
      <c r="AA290" s="71">
        <v>41579</v>
      </c>
      <c r="AB290" s="99">
        <v>1250.4000000000001</v>
      </c>
      <c r="AC290" s="99">
        <v>1323.1</v>
      </c>
      <c r="AD290" s="73">
        <f t="shared" si="41"/>
        <v>-5.4946716045650268E-2</v>
      </c>
      <c r="AE290" s="67"/>
      <c r="AF290" s="71">
        <v>41579</v>
      </c>
      <c r="AG290" s="72">
        <v>80.680000000000007</v>
      </c>
      <c r="AH290" s="72">
        <v>80.23</v>
      </c>
      <c r="AI290" s="73">
        <f t="shared" si="42"/>
        <v>5.6088744858531214E-3</v>
      </c>
      <c r="AJ290" s="67"/>
      <c r="AK290" s="74">
        <v>41608</v>
      </c>
      <c r="AL290" s="41">
        <v>2.75E-2</v>
      </c>
      <c r="AM290" s="41">
        <f t="shared" si="48"/>
        <v>1.800000000000003E-3</v>
      </c>
      <c r="AN290" s="67"/>
      <c r="AO290" s="75">
        <v>41579</v>
      </c>
      <c r="AP290" s="76">
        <v>695969</v>
      </c>
      <c r="AQ290" s="80">
        <f t="shared" si="43"/>
        <v>0</v>
      </c>
      <c r="AR290" s="67"/>
      <c r="AS290" s="94">
        <v>41579</v>
      </c>
      <c r="AT290" s="78">
        <v>0.89180000000000004</v>
      </c>
      <c r="AU290" s="67"/>
      <c r="AV290" s="79">
        <v>41579</v>
      </c>
      <c r="AW290" s="76">
        <v>358396.2</v>
      </c>
      <c r="AX290" s="80">
        <f t="shared" si="44"/>
        <v>2.9525046105056463E-2</v>
      </c>
      <c r="AY290" s="67"/>
      <c r="AZ290" s="81">
        <v>41579</v>
      </c>
      <c r="BA290" s="82">
        <v>77.779022216796875</v>
      </c>
      <c r="BB290" s="82">
        <v>92.498878479003906</v>
      </c>
      <c r="BC290" s="67"/>
      <c r="BD290" s="83">
        <v>41593</v>
      </c>
      <c r="BE290" s="42">
        <v>7919</v>
      </c>
      <c r="BF290" s="41">
        <f t="shared" si="45"/>
        <v>2.0489690721649412E-2</v>
      </c>
      <c r="BG290" s="67"/>
      <c r="BH290" s="84">
        <v>41579</v>
      </c>
      <c r="BI290" s="85">
        <v>100.3158</v>
      </c>
      <c r="BJ290" s="87">
        <f t="shared" si="46"/>
        <v>2.3360844107831458E-3</v>
      </c>
      <c r="BK290" s="67"/>
      <c r="BL290" s="84">
        <v>41579</v>
      </c>
      <c r="BM290" s="86">
        <v>-1.8059704000000001</v>
      </c>
      <c r="BN290" s="67"/>
      <c r="BO290" s="88">
        <v>41579</v>
      </c>
      <c r="BP290" s="89">
        <v>3.2155</v>
      </c>
      <c r="BQ290" s="89">
        <v>3.3065000000000002</v>
      </c>
      <c r="BR290" s="90">
        <f t="shared" si="37"/>
        <v>-2.752154846514443E-2</v>
      </c>
    </row>
    <row r="291" spans="1:70">
      <c r="A291" s="62">
        <v>41609</v>
      </c>
      <c r="B291" s="63">
        <v>41609</v>
      </c>
      <c r="C291" s="39">
        <v>98.42</v>
      </c>
      <c r="D291" s="64">
        <v>92.71</v>
      </c>
      <c r="E291" s="40">
        <f t="shared" si="38"/>
        <v>6.1589904001725815E-2</v>
      </c>
      <c r="F291" s="65"/>
      <c r="G291" s="63">
        <v>41609</v>
      </c>
      <c r="H291" s="39">
        <v>13.72</v>
      </c>
      <c r="I291" s="39">
        <v>13.91</v>
      </c>
      <c r="J291" s="40">
        <f t="shared" si="47"/>
        <v>-1.3659237958303372E-2</v>
      </c>
      <c r="K291" s="67"/>
      <c r="L291" s="68">
        <v>41609</v>
      </c>
      <c r="M291" s="98">
        <v>1848.4</v>
      </c>
      <c r="N291" s="98">
        <v>1806.5</v>
      </c>
      <c r="O291" s="70">
        <f t="shared" si="39"/>
        <v>2.3194021588707425E-2</v>
      </c>
      <c r="P291" s="67"/>
      <c r="Q291" s="38">
        <v>41609</v>
      </c>
      <c r="R291" s="39">
        <v>4.2300000000000004</v>
      </c>
      <c r="S291" s="39">
        <v>3.911</v>
      </c>
      <c r="T291" s="40">
        <f t="shared" si="49"/>
        <v>8.1564817182306459E-2</v>
      </c>
      <c r="U291" s="67"/>
      <c r="V291" s="38">
        <v>41609</v>
      </c>
      <c r="W291" s="39">
        <v>3.0651999999999999</v>
      </c>
      <c r="X291" s="39">
        <v>3.0244</v>
      </c>
      <c r="Y291" s="40">
        <f t="shared" si="40"/>
        <v>1.3490279063615995E-2</v>
      </c>
      <c r="Z291" s="67"/>
      <c r="AA291" s="71">
        <v>41609</v>
      </c>
      <c r="AB291" s="99">
        <v>1202.3</v>
      </c>
      <c r="AC291" s="99">
        <v>1250.5999999999999</v>
      </c>
      <c r="AD291" s="73">
        <f t="shared" si="41"/>
        <v>-3.8621461698384763E-2</v>
      </c>
      <c r="AE291" s="67"/>
      <c r="AF291" s="71">
        <v>41609</v>
      </c>
      <c r="AG291" s="72">
        <v>80.03</v>
      </c>
      <c r="AH291" s="72">
        <v>80.66</v>
      </c>
      <c r="AI291" s="73">
        <f t="shared" si="42"/>
        <v>-7.8105628564343332E-3</v>
      </c>
      <c r="AJ291" s="67"/>
      <c r="AK291" s="74">
        <v>41639</v>
      </c>
      <c r="AL291" s="41">
        <v>3.04E-2</v>
      </c>
      <c r="AM291" s="41">
        <f t="shared" si="48"/>
        <v>2.8999999999999998E-3</v>
      </c>
      <c r="AN291" s="67"/>
      <c r="AO291" s="75">
        <v>41609</v>
      </c>
      <c r="AP291" s="76">
        <v>695969</v>
      </c>
      <c r="AQ291" s="80">
        <f t="shared" si="43"/>
        <v>0</v>
      </c>
      <c r="AR291" s="67"/>
      <c r="AS291" s="94">
        <v>41609</v>
      </c>
      <c r="AT291" s="78">
        <v>0.92299999999999993</v>
      </c>
      <c r="AU291" s="67"/>
      <c r="AV291" s="79">
        <v>41609</v>
      </c>
      <c r="AW291" s="76">
        <v>339051</v>
      </c>
      <c r="AX291" s="80">
        <f t="shared" si="44"/>
        <v>-5.3977134802210558E-2</v>
      </c>
      <c r="AY291" s="67"/>
      <c r="AZ291" s="81">
        <v>41609</v>
      </c>
      <c r="BA291" s="82">
        <v>70.372489929199219</v>
      </c>
      <c r="BB291" s="82">
        <v>70.094612121582031</v>
      </c>
      <c r="BC291" s="67"/>
      <c r="BD291" s="83">
        <v>41623</v>
      </c>
      <c r="BE291" s="42">
        <v>7932</v>
      </c>
      <c r="BF291" s="41">
        <f t="shared" si="45"/>
        <v>1.6416214168455401E-3</v>
      </c>
      <c r="BG291" s="67"/>
      <c r="BH291" s="84">
        <v>41609</v>
      </c>
      <c r="BI291" s="85">
        <v>100.5175</v>
      </c>
      <c r="BJ291" s="87">
        <f t="shared" si="46"/>
        <v>2.0106503661436737E-3</v>
      </c>
      <c r="BK291" s="67"/>
      <c r="BL291" s="84">
        <v>41609</v>
      </c>
      <c r="BM291" s="86">
        <v>31.545438000000001</v>
      </c>
      <c r="BN291" s="67"/>
      <c r="BO291" s="88">
        <v>41609</v>
      </c>
      <c r="BP291" s="89">
        <v>3.3965000000000001</v>
      </c>
      <c r="BQ291" s="89">
        <v>3.2090000000000001</v>
      </c>
      <c r="BR291" s="90">
        <f t="shared" si="37"/>
        <v>5.8429417263945238E-2</v>
      </c>
    </row>
    <row r="292" spans="1:70">
      <c r="A292" s="62">
        <v>41640</v>
      </c>
      <c r="B292" s="63">
        <v>41640</v>
      </c>
      <c r="C292" s="39">
        <v>97.49</v>
      </c>
      <c r="D292" s="64">
        <v>98.5</v>
      </c>
      <c r="E292" s="40">
        <f t="shared" si="38"/>
        <v>-1.0253807106599067E-2</v>
      </c>
      <c r="F292" s="65"/>
      <c r="G292" s="63">
        <v>41640</v>
      </c>
      <c r="H292" s="39">
        <v>18.41</v>
      </c>
      <c r="I292" s="39">
        <v>14.32</v>
      </c>
      <c r="J292" s="40">
        <f t="shared" si="47"/>
        <v>0.2856145251396649</v>
      </c>
      <c r="K292" s="67"/>
      <c r="L292" s="68">
        <v>41640</v>
      </c>
      <c r="M292" s="98">
        <v>1782.6</v>
      </c>
      <c r="N292" s="98">
        <v>1845.9</v>
      </c>
      <c r="O292" s="70">
        <f t="shared" si="39"/>
        <v>-3.4292215179587249E-2</v>
      </c>
      <c r="P292" s="67"/>
      <c r="Q292" s="38">
        <v>41640</v>
      </c>
      <c r="R292" s="39">
        <v>4.9429999999999996</v>
      </c>
      <c r="S292" s="39">
        <v>4.2320000000000002</v>
      </c>
      <c r="T292" s="40">
        <f t="shared" si="49"/>
        <v>0.16800567107750464</v>
      </c>
      <c r="U292" s="67"/>
      <c r="V292" s="38">
        <v>41640</v>
      </c>
      <c r="W292" s="39">
        <v>2.9971000000000001</v>
      </c>
      <c r="X292" s="39">
        <v>3.0573000000000001</v>
      </c>
      <c r="Y292" s="40">
        <f t="shared" si="40"/>
        <v>-1.9690576652601988E-2</v>
      </c>
      <c r="Z292" s="67"/>
      <c r="AA292" s="71">
        <v>41640</v>
      </c>
      <c r="AB292" s="99">
        <v>1239.8</v>
      </c>
      <c r="AC292" s="99">
        <v>1204.5</v>
      </c>
      <c r="AD292" s="73">
        <f t="shared" si="41"/>
        <v>2.9306766293067721E-2</v>
      </c>
      <c r="AE292" s="67"/>
      <c r="AF292" s="71">
        <v>41640</v>
      </c>
      <c r="AG292" s="72">
        <v>81.31</v>
      </c>
      <c r="AH292" s="72">
        <v>80.209999999999994</v>
      </c>
      <c r="AI292" s="73">
        <f t="shared" si="42"/>
        <v>1.3714000748036526E-2</v>
      </c>
      <c r="AJ292" s="67"/>
      <c r="AK292" s="74">
        <v>41670</v>
      </c>
      <c r="AL292" s="41">
        <v>2.6699999999999998E-2</v>
      </c>
      <c r="AM292" s="41">
        <f t="shared" si="48"/>
        <v>-3.7000000000000019E-3</v>
      </c>
      <c r="AN292" s="67"/>
      <c r="AO292" s="75">
        <v>41640</v>
      </c>
      <c r="AP292" s="76">
        <v>695969</v>
      </c>
      <c r="AQ292" s="80">
        <f t="shared" si="43"/>
        <v>0</v>
      </c>
      <c r="AR292" s="67"/>
      <c r="AS292" s="94">
        <v>41640</v>
      </c>
      <c r="AT292" s="78">
        <v>0.8862000000000001</v>
      </c>
      <c r="AU292" s="67"/>
      <c r="AV292" s="79">
        <v>41640</v>
      </c>
      <c r="AW292" s="76">
        <v>323861</v>
      </c>
      <c r="AX292" s="80">
        <f t="shared" si="44"/>
        <v>-4.4801519535409118E-2</v>
      </c>
      <c r="AY292" s="67"/>
      <c r="AZ292" s="81">
        <v>41640</v>
      </c>
      <c r="BA292" s="82">
        <v>77.915969848632813</v>
      </c>
      <c r="BB292" s="82">
        <v>70.480766296386719</v>
      </c>
      <c r="BC292" s="67"/>
      <c r="BD292" s="83">
        <v>41654</v>
      </c>
      <c r="BE292" s="42">
        <v>8072</v>
      </c>
      <c r="BF292" s="41">
        <f t="shared" si="45"/>
        <v>1.7650025214321685E-2</v>
      </c>
      <c r="BG292" s="67"/>
      <c r="BH292" s="84">
        <v>41640</v>
      </c>
      <c r="BI292" s="85">
        <v>100.15989999999999</v>
      </c>
      <c r="BJ292" s="87">
        <f t="shared" si="46"/>
        <v>-3.5575894744697134E-3</v>
      </c>
      <c r="BK292" s="67"/>
      <c r="BL292" s="84">
        <v>41640</v>
      </c>
      <c r="BM292" s="86">
        <v>-7.6827309000000001</v>
      </c>
      <c r="BN292" s="67"/>
      <c r="BO292" s="88">
        <v>41640</v>
      </c>
      <c r="BP292" s="89">
        <v>3.2</v>
      </c>
      <c r="BQ292" s="89">
        <v>3.3984999999999999</v>
      </c>
      <c r="BR292" s="90">
        <f t="shared" si="37"/>
        <v>-5.8408121229954313E-2</v>
      </c>
    </row>
    <row r="293" spans="1:70">
      <c r="A293" s="62">
        <v>41671</v>
      </c>
      <c r="B293" s="63">
        <v>41671</v>
      </c>
      <c r="C293" s="39">
        <v>102.59</v>
      </c>
      <c r="D293" s="64">
        <v>97.4</v>
      </c>
      <c r="E293" s="40">
        <f t="shared" si="38"/>
        <v>5.328542094455857E-2</v>
      </c>
      <c r="F293" s="65"/>
      <c r="G293" s="63">
        <v>41671</v>
      </c>
      <c r="H293" s="39">
        <v>14</v>
      </c>
      <c r="I293" s="39">
        <v>18.57</v>
      </c>
      <c r="J293" s="40">
        <f t="shared" si="47"/>
        <v>-0.24609585352719443</v>
      </c>
      <c r="K293" s="67"/>
      <c r="L293" s="68">
        <v>41671</v>
      </c>
      <c r="M293" s="98">
        <v>1859.45</v>
      </c>
      <c r="N293" s="98">
        <v>1782.68</v>
      </c>
      <c r="O293" s="70">
        <f t="shared" si="39"/>
        <v>4.3064374985976261E-2</v>
      </c>
      <c r="P293" s="67"/>
      <c r="Q293" s="38">
        <v>41671</v>
      </c>
      <c r="R293" s="39">
        <v>4.609</v>
      </c>
      <c r="S293" s="39">
        <v>4.8499999999999996</v>
      </c>
      <c r="T293" s="40">
        <f t="shared" si="49"/>
        <v>-4.9690721649484515E-2</v>
      </c>
      <c r="U293" s="67"/>
      <c r="V293" s="38">
        <v>41671</v>
      </c>
      <c r="W293" s="39">
        <v>3.0163000000000002</v>
      </c>
      <c r="X293" s="39">
        <v>2.9399000000000002</v>
      </c>
      <c r="Y293" s="40">
        <f t="shared" si="40"/>
        <v>2.5987278478859732E-2</v>
      </c>
      <c r="Z293" s="67"/>
      <c r="AA293" s="71">
        <v>41671</v>
      </c>
      <c r="AB293" s="99">
        <v>1321.6</v>
      </c>
      <c r="AC293" s="99">
        <v>1242</v>
      </c>
      <c r="AD293" s="73">
        <f t="shared" si="41"/>
        <v>6.4090177133655279E-2</v>
      </c>
      <c r="AE293" s="67"/>
      <c r="AF293" s="71">
        <v>41671</v>
      </c>
      <c r="AG293" s="72">
        <v>79.69</v>
      </c>
      <c r="AH293" s="72">
        <v>81.28</v>
      </c>
      <c r="AI293" s="73">
        <f t="shared" si="42"/>
        <v>-1.9562007874015741E-2</v>
      </c>
      <c r="AJ293" s="67"/>
      <c r="AK293" s="74">
        <v>41698</v>
      </c>
      <c r="AL293" s="41">
        <v>2.6600000000000002E-2</v>
      </c>
      <c r="AM293" s="41">
        <f t="shared" si="48"/>
        <v>-9.9999999999995925E-5</v>
      </c>
      <c r="AN293" s="67"/>
      <c r="AO293" s="75">
        <v>41671</v>
      </c>
      <c r="AP293" s="76">
        <v>695969</v>
      </c>
      <c r="AQ293" s="80">
        <f t="shared" si="43"/>
        <v>0</v>
      </c>
      <c r="AR293" s="67"/>
      <c r="AS293" s="94">
        <v>41671</v>
      </c>
      <c r="AT293" s="78">
        <v>0.87325000000000008</v>
      </c>
      <c r="AU293" s="67"/>
      <c r="AV293" s="79">
        <v>41671</v>
      </c>
      <c r="AW293" s="76">
        <v>331104</v>
      </c>
      <c r="AX293" s="80">
        <f t="shared" si="44"/>
        <v>2.236453293233831E-2</v>
      </c>
      <c r="AY293" s="67"/>
      <c r="AZ293" s="81">
        <v>41671</v>
      </c>
      <c r="BA293" s="82">
        <v>69.003524780273438</v>
      </c>
      <c r="BB293" s="82">
        <v>73.278656005859375</v>
      </c>
      <c r="BC293" s="67"/>
      <c r="BD293" s="83">
        <v>41685</v>
      </c>
      <c r="BE293" s="42">
        <v>8149</v>
      </c>
      <c r="BF293" s="41">
        <f t="shared" si="45"/>
        <v>9.5391476709614231E-3</v>
      </c>
      <c r="BG293" s="67"/>
      <c r="BH293" s="84">
        <v>41671</v>
      </c>
      <c r="BI293" s="85">
        <v>100.91679999999999</v>
      </c>
      <c r="BJ293" s="87">
        <f t="shared" si="46"/>
        <v>7.5569164905315844E-3</v>
      </c>
      <c r="BK293" s="67"/>
      <c r="BL293" s="84">
        <v>41671</v>
      </c>
      <c r="BM293" s="86">
        <v>-33.225701999999998</v>
      </c>
      <c r="BN293" s="67"/>
      <c r="BO293" s="88">
        <v>41671</v>
      </c>
      <c r="BP293" s="89">
        <v>3.1875</v>
      </c>
      <c r="BQ293" s="89">
        <v>3.2025000000000001</v>
      </c>
      <c r="BR293" s="90">
        <f t="shared" si="37"/>
        <v>-4.6838407494145251E-3</v>
      </c>
    </row>
    <row r="294" spans="1:70">
      <c r="A294" s="62">
        <v>41699</v>
      </c>
      <c r="B294" s="63">
        <v>41699</v>
      </c>
      <c r="C294" s="39">
        <v>101.58</v>
      </c>
      <c r="D294" s="64">
        <v>103</v>
      </c>
      <c r="E294" s="40">
        <f t="shared" si="38"/>
        <v>-1.3786407766990361E-2</v>
      </c>
      <c r="F294" s="65"/>
      <c r="G294" s="63">
        <v>41699</v>
      </c>
      <c r="H294" s="39">
        <v>13.88</v>
      </c>
      <c r="I294" s="39">
        <v>16.47</v>
      </c>
      <c r="J294" s="40">
        <f t="shared" si="47"/>
        <v>-0.15725561627200957</v>
      </c>
      <c r="K294" s="67"/>
      <c r="L294" s="68">
        <v>41699</v>
      </c>
      <c r="M294" s="98">
        <v>1872.34</v>
      </c>
      <c r="N294" s="98">
        <v>1857.68</v>
      </c>
      <c r="O294" s="70">
        <f t="shared" si="39"/>
        <v>7.891563670815227E-3</v>
      </c>
      <c r="P294" s="67"/>
      <c r="Q294" s="38">
        <v>41699</v>
      </c>
      <c r="R294" s="39">
        <v>4.3710000000000004</v>
      </c>
      <c r="S294" s="39">
        <v>4.6900000000000004</v>
      </c>
      <c r="T294" s="40">
        <f t="shared" si="49"/>
        <v>-6.8017057569296324E-2</v>
      </c>
      <c r="U294" s="67"/>
      <c r="V294" s="38">
        <v>41699</v>
      </c>
      <c r="W294" s="39">
        <v>2.9298000000000002</v>
      </c>
      <c r="X294" s="39">
        <v>2.9998</v>
      </c>
      <c r="Y294" s="40">
        <f t="shared" si="40"/>
        <v>-2.3334888992599501E-2</v>
      </c>
      <c r="Z294" s="67"/>
      <c r="AA294" s="71">
        <v>41699</v>
      </c>
      <c r="AB294" s="99">
        <v>1283.8</v>
      </c>
      <c r="AC294" s="99">
        <v>1332.4</v>
      </c>
      <c r="AD294" s="73">
        <f t="shared" si="41"/>
        <v>-3.6475532873011196E-2</v>
      </c>
      <c r="AE294" s="67"/>
      <c r="AF294" s="71">
        <v>41699</v>
      </c>
      <c r="AG294" s="72">
        <v>80.099999999999994</v>
      </c>
      <c r="AH294" s="72">
        <v>79.900000000000006</v>
      </c>
      <c r="AI294" s="73">
        <f t="shared" si="42"/>
        <v>2.5031289111387967E-3</v>
      </c>
      <c r="AJ294" s="67"/>
      <c r="AK294" s="74">
        <v>41729</v>
      </c>
      <c r="AL294" s="41">
        <v>2.7300000000000001E-2</v>
      </c>
      <c r="AM294" s="41">
        <f t="shared" si="48"/>
        <v>6.9999999999999923E-4</v>
      </c>
      <c r="AN294" s="67"/>
      <c r="AO294" s="75">
        <v>41699</v>
      </c>
      <c r="AP294" s="76">
        <v>695969</v>
      </c>
      <c r="AQ294" s="80">
        <f t="shared" si="43"/>
        <v>0</v>
      </c>
      <c r="AR294" s="67"/>
      <c r="AS294" s="94">
        <v>41699</v>
      </c>
      <c r="AT294" s="78">
        <v>0.86325000000000007</v>
      </c>
      <c r="AU294" s="67"/>
      <c r="AV294" s="79">
        <v>41699</v>
      </c>
      <c r="AW294" s="76">
        <v>345435.25</v>
      </c>
      <c r="AX294" s="80">
        <f t="shared" si="44"/>
        <v>4.328322823040498E-2</v>
      </c>
      <c r="AY294" s="67"/>
      <c r="AZ294" s="81">
        <v>41699</v>
      </c>
      <c r="BA294" s="82">
        <v>119.83855438232422</v>
      </c>
      <c r="BB294" s="82">
        <v>151.67477416992188</v>
      </c>
      <c r="BC294" s="67"/>
      <c r="BD294" s="83">
        <v>41713</v>
      </c>
      <c r="BE294" s="42">
        <v>8291</v>
      </c>
      <c r="BF294" s="41">
        <f t="shared" si="45"/>
        <v>1.7425450975579793E-2</v>
      </c>
      <c r="BG294" s="67"/>
      <c r="BH294" s="84">
        <v>41699</v>
      </c>
      <c r="BI294" s="85">
        <v>101.8942</v>
      </c>
      <c r="BJ294" s="87">
        <f t="shared" si="46"/>
        <v>9.6852060311067856E-3</v>
      </c>
      <c r="BK294" s="67"/>
      <c r="BL294" s="84">
        <v>41699</v>
      </c>
      <c r="BM294" s="86">
        <v>-6.8682577</v>
      </c>
      <c r="BN294" s="67"/>
      <c r="BO294" s="88">
        <v>41699</v>
      </c>
      <c r="BP294" s="89">
        <v>3.0245000000000002</v>
      </c>
      <c r="BQ294" s="89">
        <v>3.1894999999999998</v>
      </c>
      <c r="BR294" s="90">
        <f t="shared" si="37"/>
        <v>-5.1732246433610185E-2</v>
      </c>
    </row>
    <row r="295" spans="1:70">
      <c r="A295" s="62">
        <v>41730</v>
      </c>
      <c r="B295" s="63">
        <v>41730</v>
      </c>
      <c r="C295" s="39">
        <v>99.74</v>
      </c>
      <c r="D295" s="64">
        <v>101.53</v>
      </c>
      <c r="E295" s="40">
        <f t="shared" si="38"/>
        <v>-1.763025706687682E-2</v>
      </c>
      <c r="F295" s="65"/>
      <c r="G295" s="63">
        <v>41730</v>
      </c>
      <c r="H295" s="39">
        <v>13.41</v>
      </c>
      <c r="I295" s="39">
        <v>13.43</v>
      </c>
      <c r="J295" s="40">
        <f t="shared" si="47"/>
        <v>-1.4892032762471308E-3</v>
      </c>
      <c r="K295" s="67"/>
      <c r="L295" s="68">
        <v>41730</v>
      </c>
      <c r="M295" s="98">
        <v>1883.95</v>
      </c>
      <c r="N295" s="98">
        <v>1873.96</v>
      </c>
      <c r="O295" s="70">
        <f t="shared" si="39"/>
        <v>5.3309569040962401E-3</v>
      </c>
      <c r="P295" s="67"/>
      <c r="Q295" s="38">
        <v>41730</v>
      </c>
      <c r="R295" s="39">
        <v>4.8150000000000004</v>
      </c>
      <c r="S295" s="39">
        <v>4.367</v>
      </c>
      <c r="T295" s="40">
        <f t="shared" si="49"/>
        <v>0.10258758873368445</v>
      </c>
      <c r="U295" s="67"/>
      <c r="V295" s="38">
        <v>41730</v>
      </c>
      <c r="W295" s="39">
        <v>2.9281000000000001</v>
      </c>
      <c r="X295" s="39">
        <v>2.9228000000000001</v>
      </c>
      <c r="Y295" s="40">
        <f t="shared" si="40"/>
        <v>1.8133296838647173E-3</v>
      </c>
      <c r="Z295" s="67"/>
      <c r="AA295" s="71">
        <v>41730</v>
      </c>
      <c r="AB295" s="99">
        <v>1295.9000000000001</v>
      </c>
      <c r="AC295" s="99">
        <v>1284.5999999999999</v>
      </c>
      <c r="AD295" s="73">
        <f t="shared" si="41"/>
        <v>8.796512533084444E-3</v>
      </c>
      <c r="AE295" s="67"/>
      <c r="AF295" s="71">
        <v>41730</v>
      </c>
      <c r="AG295" s="72">
        <v>79.47</v>
      </c>
      <c r="AH295" s="72">
        <v>80.099999999999994</v>
      </c>
      <c r="AI295" s="73">
        <f t="shared" si="42"/>
        <v>-7.8651685393258397E-3</v>
      </c>
      <c r="AJ295" s="67"/>
      <c r="AK295" s="74">
        <v>41759</v>
      </c>
      <c r="AL295" s="41">
        <v>2.6699999999999998E-2</v>
      </c>
      <c r="AM295" s="41">
        <f t="shared" si="48"/>
        <v>-6.0000000000000331E-4</v>
      </c>
      <c r="AN295" s="67"/>
      <c r="AO295" s="75">
        <v>41730</v>
      </c>
      <c r="AP295" s="76">
        <v>694754</v>
      </c>
      <c r="AQ295" s="80">
        <f t="shared" si="43"/>
        <v>-1.7457674120542332E-3</v>
      </c>
      <c r="AR295" s="67"/>
      <c r="AS295" s="94">
        <v>41730</v>
      </c>
      <c r="AT295" s="78">
        <v>0.89575000000000005</v>
      </c>
      <c r="AU295" s="67"/>
      <c r="AV295" s="79">
        <v>41730</v>
      </c>
      <c r="AW295" s="76">
        <v>362037.25</v>
      </c>
      <c r="AX295" s="80">
        <f t="shared" si="44"/>
        <v>4.8061105518327984E-2</v>
      </c>
      <c r="AY295" s="67"/>
      <c r="AZ295" s="81">
        <v>41730</v>
      </c>
      <c r="BA295" s="82">
        <v>93.221542358398438</v>
      </c>
      <c r="BB295" s="82">
        <v>113.13993072509766</v>
      </c>
      <c r="BC295" s="67"/>
      <c r="BD295" s="83">
        <v>41744</v>
      </c>
      <c r="BE295" s="42">
        <v>8520</v>
      </c>
      <c r="BF295" s="41">
        <f t="shared" si="45"/>
        <v>2.762031118079844E-2</v>
      </c>
      <c r="BG295" s="67"/>
      <c r="BH295" s="84">
        <v>41730</v>
      </c>
      <c r="BI295" s="85">
        <v>101.9928</v>
      </c>
      <c r="BJ295" s="87">
        <f t="shared" si="46"/>
        <v>9.6767038751965906E-4</v>
      </c>
      <c r="BK295" s="67"/>
      <c r="BL295" s="84">
        <v>41730</v>
      </c>
      <c r="BM295" s="86">
        <v>-41.935699</v>
      </c>
      <c r="BN295" s="67"/>
      <c r="BO295" s="88">
        <v>41730</v>
      </c>
      <c r="BP295" s="89">
        <v>3.0274999999999999</v>
      </c>
      <c r="BQ295" s="89">
        <v>3.0329999999999999</v>
      </c>
      <c r="BR295" s="90">
        <f t="shared" si="37"/>
        <v>-1.8133860863831508E-3</v>
      </c>
    </row>
    <row r="296" spans="1:70">
      <c r="A296" s="62">
        <v>41760</v>
      </c>
      <c r="B296" s="63">
        <v>41760</v>
      </c>
      <c r="C296" s="39">
        <v>102.71</v>
      </c>
      <c r="D296" s="64">
        <v>99.72</v>
      </c>
      <c r="E296" s="40">
        <f t="shared" si="38"/>
        <v>2.9983955074207813E-2</v>
      </c>
      <c r="F296" s="65"/>
      <c r="G296" s="63">
        <v>41760</v>
      </c>
      <c r="H296" s="39">
        <v>11.4</v>
      </c>
      <c r="I296" s="39">
        <v>13.64</v>
      </c>
      <c r="J296" s="40">
        <f t="shared" si="47"/>
        <v>-0.16422287390029322</v>
      </c>
      <c r="K296" s="67"/>
      <c r="L296" s="68">
        <v>41760</v>
      </c>
      <c r="M296" s="98">
        <v>1923.57</v>
      </c>
      <c r="N296" s="98">
        <v>1884.39</v>
      </c>
      <c r="O296" s="70">
        <f t="shared" si="39"/>
        <v>2.0791874293537793E-2</v>
      </c>
      <c r="P296" s="67"/>
      <c r="Q296" s="38">
        <v>41760</v>
      </c>
      <c r="R296" s="39">
        <v>4.5419999999999998</v>
      </c>
      <c r="S296" s="39">
        <v>4.7969999999999997</v>
      </c>
      <c r="T296" s="40">
        <f t="shared" si="49"/>
        <v>-5.3158223889931189E-2</v>
      </c>
      <c r="U296" s="67"/>
      <c r="V296" s="38">
        <v>41760</v>
      </c>
      <c r="W296" s="39">
        <v>2.8881999999999999</v>
      </c>
      <c r="X296" s="39">
        <v>2.9245999999999999</v>
      </c>
      <c r="Y296" s="40">
        <f t="shared" si="40"/>
        <v>-1.2446146481570164E-2</v>
      </c>
      <c r="Z296" s="67"/>
      <c r="AA296" s="71">
        <v>41760</v>
      </c>
      <c r="AB296" s="99">
        <v>1246</v>
      </c>
      <c r="AC296" s="99">
        <v>1291.9000000000001</v>
      </c>
      <c r="AD296" s="73">
        <f t="shared" si="41"/>
        <v>-3.5529065717160857E-2</v>
      </c>
      <c r="AE296" s="67"/>
      <c r="AF296" s="71">
        <v>41760</v>
      </c>
      <c r="AG296" s="72">
        <v>80.37</v>
      </c>
      <c r="AH296" s="72">
        <v>79.52</v>
      </c>
      <c r="AI296" s="73">
        <f t="shared" si="42"/>
        <v>1.068913480885314E-2</v>
      </c>
      <c r="AJ296" s="67"/>
      <c r="AK296" s="74">
        <v>41790</v>
      </c>
      <c r="AL296" s="41">
        <v>2.4799999999999999E-2</v>
      </c>
      <c r="AM296" s="41">
        <f t="shared" si="48"/>
        <v>-1.8999999999999989E-3</v>
      </c>
      <c r="AN296" s="67"/>
      <c r="AO296" s="92">
        <v>41760</v>
      </c>
      <c r="AP296" s="76">
        <v>691459.4</v>
      </c>
      <c r="AQ296" s="80">
        <f t="shared" si="43"/>
        <v>-4.7421101569763424E-3</v>
      </c>
      <c r="AR296" s="67"/>
      <c r="AS296" s="97">
        <v>41760</v>
      </c>
      <c r="AT296" s="78">
        <v>0.89680000000000004</v>
      </c>
      <c r="AU296" s="67"/>
      <c r="AV296" s="93">
        <v>41760</v>
      </c>
      <c r="AW296" s="76">
        <v>362402.6</v>
      </c>
      <c r="AX296" s="80">
        <f t="shared" si="44"/>
        <v>1.0091503015228209E-3</v>
      </c>
      <c r="AY296" s="67"/>
      <c r="AZ296" s="81">
        <v>41760</v>
      </c>
      <c r="BA296" s="82">
        <v>83.428855895996094</v>
      </c>
      <c r="BB296" s="82">
        <v>91.698753356933594</v>
      </c>
      <c r="BC296" s="67"/>
      <c r="BD296" s="83">
        <v>41774</v>
      </c>
      <c r="BE296" s="42">
        <v>8636</v>
      </c>
      <c r="BF296" s="41">
        <f t="shared" si="45"/>
        <v>1.3615023474178312E-2</v>
      </c>
      <c r="BG296" s="67"/>
      <c r="BH296" s="84">
        <v>41760</v>
      </c>
      <c r="BI296" s="85">
        <v>102.3836</v>
      </c>
      <c r="BJ296" s="87">
        <f t="shared" si="46"/>
        <v>3.8316430179385907E-3</v>
      </c>
      <c r="BK296" s="67"/>
      <c r="BL296" s="84">
        <v>41760</v>
      </c>
      <c r="BM296" s="86">
        <v>-47.252302</v>
      </c>
      <c r="BN296" s="67"/>
      <c r="BO296" s="88">
        <v>41760</v>
      </c>
      <c r="BP296" s="89">
        <v>3.1204999999999998</v>
      </c>
      <c r="BQ296" s="89">
        <v>3.0175000000000001</v>
      </c>
      <c r="BR296" s="90">
        <f t="shared" si="37"/>
        <v>3.4134217067108397E-2</v>
      </c>
    </row>
    <row r="297" spans="1:70">
      <c r="A297" s="62">
        <v>41791</v>
      </c>
      <c r="B297" s="63">
        <v>41791</v>
      </c>
      <c r="C297" s="39">
        <v>105.37</v>
      </c>
      <c r="D297" s="64">
        <v>102.92</v>
      </c>
      <c r="E297" s="40">
        <f t="shared" si="38"/>
        <v>2.3804897007384307E-2</v>
      </c>
      <c r="F297" s="65"/>
      <c r="G297" s="63">
        <v>41791</v>
      </c>
      <c r="H297" s="39">
        <v>11.57</v>
      </c>
      <c r="I297" s="39">
        <v>11.69</v>
      </c>
      <c r="J297" s="40">
        <f t="shared" si="47"/>
        <v>-1.0265183917878451E-2</v>
      </c>
      <c r="K297" s="67"/>
      <c r="L297" s="68">
        <v>41791</v>
      </c>
      <c r="M297" s="98">
        <v>1960.23</v>
      </c>
      <c r="N297" s="98">
        <v>1923.87</v>
      </c>
      <c r="O297" s="70">
        <f t="shared" si="39"/>
        <v>1.8899405885013154E-2</v>
      </c>
      <c r="P297" s="67"/>
      <c r="Q297" s="38">
        <v>41791</v>
      </c>
      <c r="R297" s="39">
        <v>4.4610000000000003</v>
      </c>
      <c r="S297" s="39">
        <v>4.5510000000000002</v>
      </c>
      <c r="T297" s="40">
        <f t="shared" si="49"/>
        <v>-1.9775873434410007E-2</v>
      </c>
      <c r="U297" s="67"/>
      <c r="V297" s="38">
        <v>41791</v>
      </c>
      <c r="W297" s="39">
        <v>2.9752999999999998</v>
      </c>
      <c r="X297" s="39">
        <v>2.8936000000000002</v>
      </c>
      <c r="Y297" s="40">
        <f t="shared" si="40"/>
        <v>2.8234724910146447E-2</v>
      </c>
      <c r="Z297" s="67"/>
      <c r="AA297" s="71">
        <v>41791</v>
      </c>
      <c r="AB297" s="99">
        <v>1322</v>
      </c>
      <c r="AC297" s="99">
        <v>1250.5</v>
      </c>
      <c r="AD297" s="73">
        <f t="shared" si="41"/>
        <v>5.7177129148340722E-2</v>
      </c>
      <c r="AE297" s="67"/>
      <c r="AF297" s="71">
        <v>41791</v>
      </c>
      <c r="AG297" s="72">
        <v>79.78</v>
      </c>
      <c r="AH297" s="72">
        <v>80.36</v>
      </c>
      <c r="AI297" s="73">
        <f t="shared" si="42"/>
        <v>-7.2175211548033413E-3</v>
      </c>
      <c r="AJ297" s="67"/>
      <c r="AK297" s="74">
        <v>41820</v>
      </c>
      <c r="AL297" s="41">
        <v>2.53E-2</v>
      </c>
      <c r="AM297" s="41">
        <f t="shared" si="48"/>
        <v>5.0000000000000044E-4</v>
      </c>
      <c r="AN297" s="67"/>
      <c r="AO297" s="75">
        <v>41791</v>
      </c>
      <c r="AP297" s="76">
        <v>690971.75</v>
      </c>
      <c r="AQ297" s="80">
        <f t="shared" si="43"/>
        <v>-7.0524748090783351E-4</v>
      </c>
      <c r="AR297" s="67"/>
      <c r="AS297" s="94">
        <v>41791</v>
      </c>
      <c r="AT297" s="78">
        <v>0.88724999999999998</v>
      </c>
      <c r="AU297" s="67"/>
      <c r="AV297" s="79">
        <v>41791</v>
      </c>
      <c r="AW297" s="76">
        <v>354869</v>
      </c>
      <c r="AX297" s="80">
        <f t="shared" si="44"/>
        <v>-2.0787930329418058E-2</v>
      </c>
      <c r="AY297" s="67"/>
      <c r="AZ297" s="81">
        <v>41791</v>
      </c>
      <c r="BA297" s="82">
        <v>98.767105102539063</v>
      </c>
      <c r="BB297" s="82">
        <v>95.322967529296875</v>
      </c>
      <c r="BC297" s="67"/>
      <c r="BD297" s="83">
        <v>41805</v>
      </c>
      <c r="BE297" s="42">
        <v>8734</v>
      </c>
      <c r="BF297" s="41">
        <f t="shared" si="45"/>
        <v>1.1347846225104208E-2</v>
      </c>
      <c r="BG297" s="67"/>
      <c r="BH297" s="84">
        <v>41791</v>
      </c>
      <c r="BI297" s="85">
        <v>102.735</v>
      </c>
      <c r="BJ297" s="87">
        <f t="shared" si="46"/>
        <v>3.4321903117295882E-3</v>
      </c>
      <c r="BK297" s="67"/>
      <c r="BL297" s="84">
        <v>41791</v>
      </c>
      <c r="BM297" s="86">
        <v>-55.616816</v>
      </c>
      <c r="BN297" s="67"/>
      <c r="BO297" s="88">
        <v>41791</v>
      </c>
      <c r="BP297" s="89">
        <v>3.2035</v>
      </c>
      <c r="BQ297" s="89">
        <v>3.1619999999999999</v>
      </c>
      <c r="BR297" s="90">
        <f t="shared" si="37"/>
        <v>1.3124604680581964E-2</v>
      </c>
    </row>
    <row r="298" spans="1:70">
      <c r="A298" s="62">
        <v>41821</v>
      </c>
      <c r="B298" s="63">
        <v>41821</v>
      </c>
      <c r="C298" s="39">
        <v>98.17</v>
      </c>
      <c r="D298" s="64">
        <v>105.44</v>
      </c>
      <c r="E298" s="40">
        <f t="shared" si="38"/>
        <v>-6.8949165402124368E-2</v>
      </c>
      <c r="F298" s="65"/>
      <c r="G298" s="63">
        <v>41821</v>
      </c>
      <c r="H298" s="39">
        <v>16.95</v>
      </c>
      <c r="I298" s="39">
        <v>11.28</v>
      </c>
      <c r="J298" s="40">
        <f t="shared" si="47"/>
        <v>0.50265957446808507</v>
      </c>
      <c r="K298" s="67"/>
      <c r="L298" s="68">
        <v>41821</v>
      </c>
      <c r="M298" s="98">
        <v>1930.67</v>
      </c>
      <c r="N298" s="98">
        <v>1962.29</v>
      </c>
      <c r="O298" s="70">
        <f t="shared" si="39"/>
        <v>-1.6113826192866387E-2</v>
      </c>
      <c r="P298" s="67"/>
      <c r="Q298" s="38">
        <v>41821</v>
      </c>
      <c r="R298" s="39">
        <v>3.8410000000000002</v>
      </c>
      <c r="S298" s="39">
        <v>4.4470000000000001</v>
      </c>
      <c r="T298" s="40">
        <f t="shared" si="49"/>
        <v>-0.13627164380481216</v>
      </c>
      <c r="U298" s="67"/>
      <c r="V298" s="38">
        <v>41821</v>
      </c>
      <c r="W298" s="39">
        <v>2.8898999999999999</v>
      </c>
      <c r="X298" s="39">
        <v>2.9847999999999999</v>
      </c>
      <c r="Y298" s="40">
        <f t="shared" si="40"/>
        <v>-3.1794425087108058E-2</v>
      </c>
      <c r="Z298" s="67"/>
      <c r="AA298" s="71">
        <v>41821</v>
      </c>
      <c r="AB298" s="99">
        <v>1282.8</v>
      </c>
      <c r="AC298" s="99">
        <v>1327.5</v>
      </c>
      <c r="AD298" s="73">
        <f t="shared" si="41"/>
        <v>-3.3672316384180778E-2</v>
      </c>
      <c r="AE298" s="67"/>
      <c r="AF298" s="71">
        <v>41821</v>
      </c>
      <c r="AG298" s="72">
        <v>81.459999999999994</v>
      </c>
      <c r="AH298" s="72">
        <v>79.790000000000006</v>
      </c>
      <c r="AI298" s="73">
        <f t="shared" si="42"/>
        <v>2.092994109537516E-2</v>
      </c>
      <c r="AJ298" s="67"/>
      <c r="AK298" s="74">
        <v>41851</v>
      </c>
      <c r="AL298" s="41">
        <v>2.58E-2</v>
      </c>
      <c r="AM298" s="41">
        <f t="shared" si="48"/>
        <v>5.0000000000000044E-4</v>
      </c>
      <c r="AN298" s="67"/>
      <c r="AO298" s="75">
        <v>41821</v>
      </c>
      <c r="AP298" s="76">
        <v>690972</v>
      </c>
      <c r="AQ298" s="80">
        <f t="shared" si="43"/>
        <v>3.6180929252616068E-7</v>
      </c>
      <c r="AR298" s="67"/>
      <c r="AS298" s="94">
        <v>41821</v>
      </c>
      <c r="AT298" s="78">
        <v>0.93174999999999997</v>
      </c>
      <c r="AU298" s="67"/>
      <c r="AV298" s="79">
        <v>41821</v>
      </c>
      <c r="AW298" s="76">
        <v>342269.5</v>
      </c>
      <c r="AX298" s="80">
        <f t="shared" si="44"/>
        <v>-3.5504651012063571E-2</v>
      </c>
      <c r="AY298" s="67"/>
      <c r="AZ298" s="81">
        <v>41821</v>
      </c>
      <c r="BA298" s="82">
        <v>138.75395202636719</v>
      </c>
      <c r="BB298" s="82">
        <v>162.71510314941406</v>
      </c>
      <c r="BC298" s="67"/>
      <c r="BD298" s="83">
        <v>41835</v>
      </c>
      <c r="BE298" s="42">
        <v>8837</v>
      </c>
      <c r="BF298" s="41">
        <f t="shared" si="45"/>
        <v>1.1792992901305199E-2</v>
      </c>
      <c r="BG298" s="67"/>
      <c r="BH298" s="84">
        <v>41821</v>
      </c>
      <c r="BI298" s="85">
        <v>102.9632</v>
      </c>
      <c r="BJ298" s="87">
        <f t="shared" si="46"/>
        <v>2.2212488441135658E-3</v>
      </c>
      <c r="BK298" s="67"/>
      <c r="BL298" s="84">
        <v>41821</v>
      </c>
      <c r="BM298" s="86">
        <v>-69.173644999999993</v>
      </c>
      <c r="BN298" s="67"/>
      <c r="BO298" s="88">
        <v>41821</v>
      </c>
      <c r="BP298" s="89">
        <v>3.2360000000000002</v>
      </c>
      <c r="BQ298" s="89">
        <v>3.2029999999999998</v>
      </c>
      <c r="BR298" s="90">
        <f t="shared" si="37"/>
        <v>1.0302841086481607E-2</v>
      </c>
    </row>
    <row r="299" spans="1:70">
      <c r="A299" s="62">
        <v>41852</v>
      </c>
      <c r="B299" s="63">
        <v>41852</v>
      </c>
      <c r="C299" s="39">
        <v>95.96</v>
      </c>
      <c r="D299" s="64">
        <v>97.7</v>
      </c>
      <c r="E299" s="40">
        <f t="shared" si="38"/>
        <v>-1.7809621289662347E-2</v>
      </c>
      <c r="F299" s="65"/>
      <c r="G299" s="63">
        <v>41852</v>
      </c>
      <c r="H299" s="39">
        <v>11.98</v>
      </c>
      <c r="I299" s="39">
        <v>16.670000000000002</v>
      </c>
      <c r="J299" s="40">
        <f t="shared" si="47"/>
        <v>-0.28134373125374934</v>
      </c>
      <c r="K299" s="67"/>
      <c r="L299" s="68">
        <v>41852</v>
      </c>
      <c r="M299" s="98">
        <v>2003.37</v>
      </c>
      <c r="N299" s="98">
        <v>1929.8</v>
      </c>
      <c r="O299" s="70">
        <f t="shared" si="39"/>
        <v>3.8123121567001705E-2</v>
      </c>
      <c r="P299" s="67"/>
      <c r="Q299" s="38">
        <v>41852</v>
      </c>
      <c r="R299" s="39">
        <v>4.0650000000000004</v>
      </c>
      <c r="S299" s="39">
        <v>3.8290000000000002</v>
      </c>
      <c r="T299" s="40">
        <f t="shared" si="49"/>
        <v>6.1634891616610066E-2</v>
      </c>
      <c r="U299" s="67"/>
      <c r="V299" s="38">
        <v>41852</v>
      </c>
      <c r="W299" s="39">
        <v>2.8601000000000001</v>
      </c>
      <c r="X299" s="39">
        <v>2.8866999999999998</v>
      </c>
      <c r="Y299" s="40">
        <f t="shared" si="40"/>
        <v>-9.2146741954479694E-3</v>
      </c>
      <c r="Z299" s="67"/>
      <c r="AA299" s="71">
        <v>41852</v>
      </c>
      <c r="AB299" s="99">
        <v>1287.4000000000001</v>
      </c>
      <c r="AC299" s="99">
        <v>1284.2</v>
      </c>
      <c r="AD299" s="73">
        <f t="shared" si="41"/>
        <v>2.4918237034730062E-3</v>
      </c>
      <c r="AE299" s="67"/>
      <c r="AF299" s="71">
        <v>41852</v>
      </c>
      <c r="AG299" s="72">
        <v>82.75</v>
      </c>
      <c r="AH299" s="72">
        <v>81.44</v>
      </c>
      <c r="AI299" s="73">
        <f t="shared" si="42"/>
        <v>1.6085461689587355E-2</v>
      </c>
      <c r="AJ299" s="67"/>
      <c r="AK299" s="74">
        <v>41882</v>
      </c>
      <c r="AL299" s="41">
        <v>2.35E-2</v>
      </c>
      <c r="AM299" s="41">
        <f t="shared" si="48"/>
        <v>-2.3E-3</v>
      </c>
      <c r="AN299" s="67"/>
      <c r="AO299" s="75">
        <v>41852</v>
      </c>
      <c r="AP299" s="76">
        <v>690972</v>
      </c>
      <c r="AQ299" s="80">
        <f t="shared" si="43"/>
        <v>0</v>
      </c>
      <c r="AR299" s="67"/>
      <c r="AS299" s="94">
        <v>41852</v>
      </c>
      <c r="AT299" s="78">
        <v>0.9284</v>
      </c>
      <c r="AU299" s="67"/>
      <c r="AV299" s="79">
        <v>41852</v>
      </c>
      <c r="AW299" s="76">
        <v>331594.40000000002</v>
      </c>
      <c r="AX299" s="80">
        <f t="shared" si="44"/>
        <v>-3.1189165263045604E-2</v>
      </c>
      <c r="AY299" s="67"/>
      <c r="AZ299" s="81">
        <v>41852</v>
      </c>
      <c r="BA299" s="82">
        <v>136.44558715820313</v>
      </c>
      <c r="BB299" s="82">
        <v>158.59349060058594</v>
      </c>
      <c r="BC299" s="67"/>
      <c r="BD299" s="83">
        <v>41866</v>
      </c>
      <c r="BE299" s="42">
        <v>8920</v>
      </c>
      <c r="BF299" s="41">
        <f t="shared" si="45"/>
        <v>9.392327713024784E-3</v>
      </c>
      <c r="BG299" s="67"/>
      <c r="BH299" s="84">
        <v>41852</v>
      </c>
      <c r="BI299" s="85">
        <v>102.7688</v>
      </c>
      <c r="BJ299" s="87">
        <f t="shared" si="46"/>
        <v>-1.8880532073595191E-3</v>
      </c>
      <c r="BK299" s="67"/>
      <c r="BL299" s="84">
        <v>41852</v>
      </c>
      <c r="BM299" s="86">
        <v>-52.616557999999998</v>
      </c>
      <c r="BN299" s="67"/>
      <c r="BO299" s="88">
        <v>41852</v>
      </c>
      <c r="BP299" s="89">
        <v>3.153</v>
      </c>
      <c r="BQ299" s="89">
        <v>3.2349999999999999</v>
      </c>
      <c r="BR299" s="90">
        <f t="shared" si="37"/>
        <v>-2.5347758887171556E-2</v>
      </c>
    </row>
    <row r="300" spans="1:70">
      <c r="A300" s="62">
        <v>41883</v>
      </c>
      <c r="B300" s="63">
        <v>41883</v>
      </c>
      <c r="C300" s="39">
        <v>91.16</v>
      </c>
      <c r="D300" s="64">
        <v>95.81</v>
      </c>
      <c r="E300" s="40">
        <f t="shared" si="38"/>
        <v>-4.853355599624265E-2</v>
      </c>
      <c r="F300" s="65"/>
      <c r="G300" s="63">
        <v>41883</v>
      </c>
      <c r="H300" s="39">
        <v>16.309999999999999</v>
      </c>
      <c r="I300" s="39">
        <v>12.32</v>
      </c>
      <c r="J300" s="40">
        <f t="shared" si="47"/>
        <v>0.32386363636363624</v>
      </c>
      <c r="K300" s="67"/>
      <c r="L300" s="68">
        <v>41883</v>
      </c>
      <c r="M300" s="98">
        <v>1972.29</v>
      </c>
      <c r="N300" s="98">
        <v>2004.07</v>
      </c>
      <c r="O300" s="70">
        <f t="shared" si="39"/>
        <v>-1.5857729520425967E-2</v>
      </c>
      <c r="P300" s="67"/>
      <c r="Q300" s="38">
        <v>41883</v>
      </c>
      <c r="R300" s="39">
        <v>4.1210000000000004</v>
      </c>
      <c r="S300" s="39">
        <v>4.048</v>
      </c>
      <c r="T300" s="40">
        <f t="shared" si="49"/>
        <v>1.803359683794481E-2</v>
      </c>
      <c r="U300" s="67"/>
      <c r="V300" s="38">
        <v>41883</v>
      </c>
      <c r="W300" s="39">
        <v>2.6505000000000001</v>
      </c>
      <c r="X300" s="39">
        <v>2.8662000000000001</v>
      </c>
      <c r="Y300" s="40">
        <f t="shared" si="40"/>
        <v>-7.5256437094410766E-2</v>
      </c>
      <c r="Z300" s="67"/>
      <c r="AA300" s="71">
        <v>41883</v>
      </c>
      <c r="AB300" s="99">
        <v>1211.5999999999999</v>
      </c>
      <c r="AC300" s="99">
        <v>1288.5</v>
      </c>
      <c r="AD300" s="73">
        <f t="shared" si="41"/>
        <v>-5.9681800543267438E-2</v>
      </c>
      <c r="AE300" s="67"/>
      <c r="AF300" s="71">
        <v>41883</v>
      </c>
      <c r="AG300" s="72">
        <v>85.94</v>
      </c>
      <c r="AH300" s="72">
        <v>82.77</v>
      </c>
      <c r="AI300" s="73">
        <f t="shared" si="42"/>
        <v>3.829890056783869E-2</v>
      </c>
      <c r="AJ300" s="67"/>
      <c r="AK300" s="74">
        <v>41912</v>
      </c>
      <c r="AL300" s="41">
        <v>2.52E-2</v>
      </c>
      <c r="AM300" s="41">
        <f t="shared" si="48"/>
        <v>1.7000000000000001E-3</v>
      </c>
      <c r="AN300" s="67"/>
      <c r="AO300" s="75">
        <v>41883</v>
      </c>
      <c r="AP300" s="76">
        <v>690971.5</v>
      </c>
      <c r="AQ300" s="80">
        <f t="shared" si="43"/>
        <v>-7.2361832315070984E-7</v>
      </c>
      <c r="AR300" s="67"/>
      <c r="AS300" s="94">
        <v>41883</v>
      </c>
      <c r="AT300" s="78">
        <v>0.92525000000000002</v>
      </c>
      <c r="AU300" s="67"/>
      <c r="AV300" s="79">
        <v>41883</v>
      </c>
      <c r="AW300" s="76">
        <v>327705.5</v>
      </c>
      <c r="AX300" s="80">
        <f t="shared" si="44"/>
        <v>-1.1727882014895386E-2</v>
      </c>
      <c r="AY300" s="67"/>
      <c r="AZ300" s="81">
        <v>41883</v>
      </c>
      <c r="BA300" s="82">
        <v>131.55665588378906</v>
      </c>
      <c r="BB300" s="82">
        <v>143.3953857421875</v>
      </c>
      <c r="BC300" s="67"/>
      <c r="BD300" s="83">
        <v>41897</v>
      </c>
      <c r="BE300" s="42">
        <v>9070</v>
      </c>
      <c r="BF300" s="41">
        <f t="shared" si="45"/>
        <v>1.6816143497757841E-2</v>
      </c>
      <c r="BG300" s="67"/>
      <c r="BH300" s="84">
        <v>41883</v>
      </c>
      <c r="BI300" s="85">
        <v>103.0641</v>
      </c>
      <c r="BJ300" s="87">
        <f t="shared" si="46"/>
        <v>2.8734401880725624E-3</v>
      </c>
      <c r="BK300" s="67"/>
      <c r="BL300" s="84">
        <v>41883</v>
      </c>
      <c r="BM300" s="86">
        <v>-34.383741000000001</v>
      </c>
      <c r="BN300" s="67"/>
      <c r="BO300" s="88">
        <v>41883</v>
      </c>
      <c r="BP300" s="89">
        <v>3.0074999999999998</v>
      </c>
      <c r="BQ300" s="89">
        <v>3.149</v>
      </c>
      <c r="BR300" s="90">
        <f t="shared" si="37"/>
        <v>-4.4934899968243958E-2</v>
      </c>
    </row>
    <row r="301" spans="1:70">
      <c r="A301" s="62">
        <v>41913</v>
      </c>
      <c r="B301" s="63">
        <v>41913</v>
      </c>
      <c r="C301" s="39">
        <v>80.540000000000006</v>
      </c>
      <c r="D301" s="64">
        <v>91.36</v>
      </c>
      <c r="E301" s="40">
        <f t="shared" si="38"/>
        <v>-0.118432574430823</v>
      </c>
      <c r="F301" s="65"/>
      <c r="G301" s="63">
        <v>41913</v>
      </c>
      <c r="H301" s="39">
        <v>14.03</v>
      </c>
      <c r="I301" s="39">
        <v>16.440000000000001</v>
      </c>
      <c r="J301" s="40">
        <f t="shared" si="47"/>
        <v>-0.14659367396593681</v>
      </c>
      <c r="K301" s="67"/>
      <c r="L301" s="68">
        <v>41913</v>
      </c>
      <c r="M301" s="98">
        <v>2018.05</v>
      </c>
      <c r="N301" s="98">
        <v>1971.44</v>
      </c>
      <c r="O301" s="70">
        <f t="shared" si="39"/>
        <v>2.3642616564541585E-2</v>
      </c>
      <c r="P301" s="67"/>
      <c r="Q301" s="38">
        <v>41913</v>
      </c>
      <c r="R301" s="39">
        <v>3.8730000000000002</v>
      </c>
      <c r="S301" s="39">
        <v>4.13</v>
      </c>
      <c r="T301" s="40">
        <f t="shared" si="49"/>
        <v>-6.2227602905568946E-2</v>
      </c>
      <c r="U301" s="67"/>
      <c r="V301" s="38">
        <v>41913</v>
      </c>
      <c r="W301" s="39">
        <v>2.5108999999999999</v>
      </c>
      <c r="X301" s="39">
        <v>2.6657999999999999</v>
      </c>
      <c r="Y301" s="40">
        <f t="shared" si="40"/>
        <v>-5.8106384574986847E-2</v>
      </c>
      <c r="Z301" s="67"/>
      <c r="AA301" s="71">
        <v>41913</v>
      </c>
      <c r="AB301" s="99">
        <v>1171.5999999999999</v>
      </c>
      <c r="AC301" s="99">
        <v>1209.4000000000001</v>
      </c>
      <c r="AD301" s="73">
        <f t="shared" si="41"/>
        <v>-3.125516785182747E-2</v>
      </c>
      <c r="AE301" s="67"/>
      <c r="AF301" s="71">
        <v>41913</v>
      </c>
      <c r="AG301" s="72">
        <v>86.92</v>
      </c>
      <c r="AH301" s="72">
        <v>85.92</v>
      </c>
      <c r="AI301" s="73">
        <f t="shared" si="42"/>
        <v>1.1638733705772841E-2</v>
      </c>
      <c r="AJ301" s="67"/>
      <c r="AK301" s="74">
        <v>41943</v>
      </c>
      <c r="AL301" s="41">
        <v>2.35E-2</v>
      </c>
      <c r="AM301" s="41">
        <f t="shared" si="48"/>
        <v>-1.7000000000000001E-3</v>
      </c>
      <c r="AN301" s="67"/>
      <c r="AO301" s="75">
        <v>41913</v>
      </c>
      <c r="AP301" s="76">
        <v>690967.8</v>
      </c>
      <c r="AQ301" s="80">
        <f t="shared" si="43"/>
        <v>-5.3547794662822668E-6</v>
      </c>
      <c r="AR301" s="67"/>
      <c r="AS301" s="94">
        <v>41913</v>
      </c>
      <c r="AT301" s="78">
        <v>0.87819999999999998</v>
      </c>
      <c r="AU301" s="67"/>
      <c r="AV301" s="79">
        <v>41913</v>
      </c>
      <c r="AW301" s="76">
        <v>342701.4</v>
      </c>
      <c r="AX301" s="80">
        <f t="shared" si="44"/>
        <v>4.5760293922439521E-2</v>
      </c>
      <c r="AY301" s="67"/>
      <c r="AZ301" s="81">
        <v>41913</v>
      </c>
      <c r="BA301" s="82">
        <v>83.661003112792969</v>
      </c>
      <c r="BB301" s="82">
        <v>86.333450317382813</v>
      </c>
      <c r="BC301" s="67"/>
      <c r="BD301" s="83">
        <v>41927</v>
      </c>
      <c r="BE301" s="42">
        <v>9250</v>
      </c>
      <c r="BF301" s="41">
        <f t="shared" si="45"/>
        <v>1.9845644983461863E-2</v>
      </c>
      <c r="BG301" s="67"/>
      <c r="BH301" s="84">
        <v>41913</v>
      </c>
      <c r="BI301" s="85">
        <v>103.07640000000001</v>
      </c>
      <c r="BJ301" s="87">
        <f t="shared" si="46"/>
        <v>1.1934320486006733E-4</v>
      </c>
      <c r="BK301" s="67"/>
      <c r="BL301" s="84">
        <v>41913</v>
      </c>
      <c r="BM301" s="86">
        <v>-36.154722</v>
      </c>
      <c r="BN301" s="67"/>
      <c r="BO301" s="88">
        <v>41913</v>
      </c>
      <c r="BP301" s="89">
        <v>3.0470000000000002</v>
      </c>
      <c r="BQ301" s="89">
        <v>3.0070000000000001</v>
      </c>
      <c r="BR301" s="90">
        <f t="shared" si="37"/>
        <v>1.3302294645826329E-2</v>
      </c>
    </row>
    <row r="302" spans="1:70">
      <c r="A302" s="62">
        <v>41944</v>
      </c>
      <c r="B302" s="63">
        <v>41944</v>
      </c>
      <c r="C302" s="39">
        <v>66.150000000000006</v>
      </c>
      <c r="D302" s="64">
        <v>80.59</v>
      </c>
      <c r="E302" s="40">
        <f t="shared" si="38"/>
        <v>-0.17917855813376349</v>
      </c>
      <c r="F302" s="65"/>
      <c r="G302" s="63">
        <v>41944</v>
      </c>
      <c r="H302" s="39">
        <v>13.33</v>
      </c>
      <c r="I302" s="39">
        <v>14.41</v>
      </c>
      <c r="J302" s="40">
        <f t="shared" si="47"/>
        <v>-7.4947952810548224E-2</v>
      </c>
      <c r="K302" s="67"/>
      <c r="L302" s="68">
        <v>41944</v>
      </c>
      <c r="M302" s="98">
        <v>2067.56</v>
      </c>
      <c r="N302" s="98">
        <v>2018.21</v>
      </c>
      <c r="O302" s="70">
        <f t="shared" si="39"/>
        <v>2.4452361250811405E-2</v>
      </c>
      <c r="P302" s="67"/>
      <c r="Q302" s="38">
        <v>41944</v>
      </c>
      <c r="R302" s="39">
        <v>4.0880000000000001</v>
      </c>
      <c r="S302" s="39">
        <v>4.0069999999999997</v>
      </c>
      <c r="T302" s="40">
        <f t="shared" si="49"/>
        <v>2.0214624407287385E-2</v>
      </c>
      <c r="U302" s="67"/>
      <c r="V302" s="38">
        <v>41944</v>
      </c>
      <c r="W302" s="39">
        <v>2.1612</v>
      </c>
      <c r="X302" s="39">
        <v>2.5099999999999998</v>
      </c>
      <c r="Y302" s="40">
        <f t="shared" si="40"/>
        <v>-0.13896414342629471</v>
      </c>
      <c r="Z302" s="67"/>
      <c r="AA302" s="71">
        <v>41944</v>
      </c>
      <c r="AB302" s="99">
        <v>1175.5</v>
      </c>
      <c r="AC302" s="99">
        <v>1171.0999999999999</v>
      </c>
      <c r="AD302" s="73">
        <f t="shared" si="41"/>
        <v>3.757151396123426E-3</v>
      </c>
      <c r="AE302" s="67"/>
      <c r="AF302" s="71">
        <v>41944</v>
      </c>
      <c r="AG302" s="72">
        <v>88.36</v>
      </c>
      <c r="AH302" s="72">
        <v>87.08</v>
      </c>
      <c r="AI302" s="73">
        <f t="shared" si="42"/>
        <v>1.4699127239320209E-2</v>
      </c>
      <c r="AJ302" s="67"/>
      <c r="AK302" s="74">
        <v>41973</v>
      </c>
      <c r="AL302" s="41">
        <v>2.18E-2</v>
      </c>
      <c r="AM302" s="41">
        <f t="shared" si="48"/>
        <v>-1.7000000000000001E-3</v>
      </c>
      <c r="AN302" s="67"/>
      <c r="AO302" s="75">
        <v>41944</v>
      </c>
      <c r="AP302" s="76">
        <v>690965.75</v>
      </c>
      <c r="AQ302" s="80">
        <f t="shared" si="43"/>
        <v>-2.9668531588145086E-6</v>
      </c>
      <c r="AR302" s="67"/>
      <c r="AS302" s="94">
        <v>41944</v>
      </c>
      <c r="AT302" s="78">
        <v>0.91549999999999998</v>
      </c>
      <c r="AU302" s="67"/>
      <c r="AV302" s="79">
        <v>41944</v>
      </c>
      <c r="AW302" s="76">
        <v>348156.75</v>
      </c>
      <c r="AX302" s="80">
        <f t="shared" si="44"/>
        <v>1.5918668555191084E-2</v>
      </c>
      <c r="AY302" s="67"/>
      <c r="AZ302" s="81">
        <v>41944</v>
      </c>
      <c r="BA302" s="82">
        <v>84.380050659179688</v>
      </c>
      <c r="BB302" s="82">
        <v>88.469940185546875</v>
      </c>
      <c r="BC302" s="67"/>
      <c r="BD302" s="83">
        <v>41958</v>
      </c>
      <c r="BE302" s="42">
        <v>9307</v>
      </c>
      <c r="BF302" s="41">
        <f t="shared" si="45"/>
        <v>6.1621621621621436E-3</v>
      </c>
      <c r="BG302" s="67"/>
      <c r="BH302" s="84">
        <v>41944</v>
      </c>
      <c r="BI302" s="85">
        <v>103.71259999999999</v>
      </c>
      <c r="BJ302" s="87">
        <f t="shared" si="46"/>
        <v>6.172120873449094E-3</v>
      </c>
      <c r="BK302" s="67"/>
      <c r="BL302" s="84">
        <v>41944</v>
      </c>
      <c r="BM302" s="86">
        <v>-16.737428999999999</v>
      </c>
      <c r="BN302" s="67"/>
      <c r="BO302" s="88">
        <v>41944</v>
      </c>
      <c r="BP302" s="89">
        <v>2.8559999999999999</v>
      </c>
      <c r="BQ302" s="89">
        <v>3.0455000000000001</v>
      </c>
      <c r="BR302" s="90">
        <f t="shared" si="37"/>
        <v>-6.2222951896240386E-2</v>
      </c>
    </row>
    <row r="303" spans="1:70">
      <c r="A303" s="62">
        <v>41974</v>
      </c>
      <c r="B303" s="63">
        <v>41974</v>
      </c>
      <c r="C303" s="39">
        <v>53.27</v>
      </c>
      <c r="D303" s="64">
        <v>66</v>
      </c>
      <c r="E303" s="40">
        <f t="shared" si="38"/>
        <v>-0.19287878787878787</v>
      </c>
      <c r="F303" s="65"/>
      <c r="G303" s="63">
        <v>41974</v>
      </c>
      <c r="H303" s="39">
        <v>19.2</v>
      </c>
      <c r="I303" s="39">
        <v>14.16</v>
      </c>
      <c r="J303" s="40">
        <f t="shared" si="47"/>
        <v>0.35593220338983045</v>
      </c>
      <c r="K303" s="67"/>
      <c r="L303" s="68">
        <v>41974</v>
      </c>
      <c r="M303" s="98">
        <v>2058.9</v>
      </c>
      <c r="N303" s="98">
        <v>2065.7800000000002</v>
      </c>
      <c r="O303" s="70">
        <f t="shared" si="39"/>
        <v>-3.3304611333250245E-3</v>
      </c>
      <c r="P303" s="67"/>
      <c r="Q303" s="38">
        <v>41974</v>
      </c>
      <c r="R303" s="39">
        <v>2.8889999999999998</v>
      </c>
      <c r="S303" s="39">
        <v>3.9750000000000001</v>
      </c>
      <c r="T303" s="40">
        <f t="shared" si="49"/>
        <v>-0.27320754716981144</v>
      </c>
      <c r="U303" s="67"/>
      <c r="V303" s="38">
        <v>41974</v>
      </c>
      <c r="W303" s="39">
        <v>1.8335999999999999</v>
      </c>
      <c r="X303" s="39">
        <v>2.1524999999999999</v>
      </c>
      <c r="Y303" s="40">
        <f t="shared" si="40"/>
        <v>-0.14815331010452959</v>
      </c>
      <c r="Z303" s="67"/>
      <c r="AA303" s="71">
        <v>41974</v>
      </c>
      <c r="AB303" s="99">
        <v>1184.0999999999999</v>
      </c>
      <c r="AC303" s="99">
        <v>1159.4000000000001</v>
      </c>
      <c r="AD303" s="73">
        <f t="shared" si="41"/>
        <v>2.130412282214933E-2</v>
      </c>
      <c r="AE303" s="67"/>
      <c r="AF303" s="71">
        <v>41974</v>
      </c>
      <c r="AG303" s="72">
        <v>90.27</v>
      </c>
      <c r="AH303" s="72">
        <v>88.16</v>
      </c>
      <c r="AI303" s="73">
        <f t="shared" si="42"/>
        <v>2.393375680580756E-2</v>
      </c>
      <c r="AJ303" s="67"/>
      <c r="AK303" s="74">
        <v>42004</v>
      </c>
      <c r="AL303" s="41">
        <v>2.1700000000000001E-2</v>
      </c>
      <c r="AM303" s="41">
        <f t="shared" si="48"/>
        <v>-9.9999999999999395E-5</v>
      </c>
      <c r="AN303" s="67"/>
      <c r="AO303" s="75">
        <v>41974</v>
      </c>
      <c r="AP303" s="76">
        <v>690963</v>
      </c>
      <c r="AQ303" s="80">
        <f t="shared" si="43"/>
        <v>-3.9799367769211003E-6</v>
      </c>
      <c r="AR303" s="67"/>
      <c r="AS303" s="94">
        <v>41974</v>
      </c>
      <c r="AT303" s="78">
        <v>0.94200000000000006</v>
      </c>
      <c r="AU303" s="67"/>
      <c r="AV303" s="79">
        <v>41974</v>
      </c>
      <c r="AW303" s="76">
        <v>350872.75</v>
      </c>
      <c r="AX303" s="80">
        <f t="shared" si="44"/>
        <v>7.8010838508804081E-3</v>
      </c>
      <c r="AY303" s="67"/>
      <c r="AZ303" s="81">
        <v>41974</v>
      </c>
      <c r="BA303" s="82">
        <v>86.526222229003906</v>
      </c>
      <c r="BB303" s="82">
        <v>81.273223876953125</v>
      </c>
      <c r="BC303" s="67"/>
      <c r="BD303" s="83">
        <v>41988</v>
      </c>
      <c r="BE303" s="42">
        <v>9546</v>
      </c>
      <c r="BF303" s="41">
        <f t="shared" si="45"/>
        <v>2.5679596003008509E-2</v>
      </c>
      <c r="BG303" s="67"/>
      <c r="BH303" s="84">
        <v>41974</v>
      </c>
      <c r="BI303" s="85">
        <v>103.70440000000001</v>
      </c>
      <c r="BJ303" s="87">
        <f t="shared" si="46"/>
        <v>-7.90646459541966E-5</v>
      </c>
      <c r="BK303" s="67"/>
      <c r="BL303" s="84">
        <v>41974</v>
      </c>
      <c r="BM303" s="86">
        <v>-54.414352000000001</v>
      </c>
      <c r="BN303" s="67"/>
      <c r="BO303" s="88">
        <v>41974</v>
      </c>
      <c r="BP303" s="89">
        <v>2.8254999999999999</v>
      </c>
      <c r="BQ303" s="89">
        <v>2.8184999999999998</v>
      </c>
      <c r="BR303" s="90">
        <f t="shared" si="37"/>
        <v>2.4835905623559196E-3</v>
      </c>
    </row>
    <row r="304" spans="1:70">
      <c r="A304" s="62">
        <v>42005</v>
      </c>
      <c r="B304" s="63">
        <v>42005</v>
      </c>
      <c r="C304" s="39">
        <v>48.24</v>
      </c>
      <c r="D304" s="64">
        <v>53.76</v>
      </c>
      <c r="E304" s="40">
        <f t="shared" si="38"/>
        <v>-0.1026785714285714</v>
      </c>
      <c r="F304" s="65"/>
      <c r="G304" s="63">
        <v>42005</v>
      </c>
      <c r="H304" s="39">
        <v>20.97</v>
      </c>
      <c r="I304" s="39">
        <v>17.760000000000002</v>
      </c>
      <c r="J304" s="40">
        <f t="shared" si="47"/>
        <v>0.18074324324324298</v>
      </c>
      <c r="K304" s="67"/>
      <c r="L304" s="68">
        <v>42005</v>
      </c>
      <c r="M304" s="98">
        <v>1994.99</v>
      </c>
      <c r="N304" s="98">
        <v>2058.9</v>
      </c>
      <c r="O304" s="70">
        <f t="shared" si="39"/>
        <v>-3.1040847054252363E-2</v>
      </c>
      <c r="P304" s="67"/>
      <c r="Q304" s="38">
        <v>42005</v>
      </c>
      <c r="R304" s="39">
        <v>2.6909999999999998</v>
      </c>
      <c r="S304" s="39">
        <v>2.8450000000000002</v>
      </c>
      <c r="T304" s="40">
        <f t="shared" si="49"/>
        <v>-5.4130052724077449E-2</v>
      </c>
      <c r="U304" s="67"/>
      <c r="V304" s="38">
        <v>42005</v>
      </c>
      <c r="W304" s="39">
        <v>1.7008000000000001</v>
      </c>
      <c r="X304" s="39">
        <v>1.8317000000000001</v>
      </c>
      <c r="Y304" s="40">
        <f t="shared" si="40"/>
        <v>-7.1463667631162298E-2</v>
      </c>
      <c r="Z304" s="67"/>
      <c r="AA304" s="71">
        <v>42005</v>
      </c>
      <c r="AB304" s="99">
        <v>1279.2</v>
      </c>
      <c r="AC304" s="99">
        <v>1184</v>
      </c>
      <c r="AD304" s="73">
        <f t="shared" si="41"/>
        <v>8.0405405405405528E-2</v>
      </c>
      <c r="AE304" s="67"/>
      <c r="AF304" s="71">
        <v>42005</v>
      </c>
      <c r="AG304" s="72">
        <v>94.8</v>
      </c>
      <c r="AH304" s="72">
        <v>90.36</v>
      </c>
      <c r="AI304" s="73">
        <f t="shared" si="42"/>
        <v>4.9136786188578974E-2</v>
      </c>
      <c r="AJ304" s="67"/>
      <c r="AK304" s="74">
        <v>42035</v>
      </c>
      <c r="AL304" s="41">
        <v>1.6799999999999999E-2</v>
      </c>
      <c r="AM304" s="41">
        <f t="shared" si="48"/>
        <v>-4.9000000000000016E-3</v>
      </c>
      <c r="AN304" s="67"/>
      <c r="AO304" s="75">
        <v>42005</v>
      </c>
      <c r="AP304" s="76">
        <v>690958.4</v>
      </c>
      <c r="AQ304" s="80">
        <f t="shared" si="43"/>
        <v>-6.6573752863785529E-6</v>
      </c>
      <c r="AR304" s="67"/>
      <c r="AS304" s="94">
        <v>42005</v>
      </c>
      <c r="AT304" s="78">
        <v>0.89659999999999995</v>
      </c>
      <c r="AU304" s="67"/>
      <c r="AV304" s="79">
        <v>42005</v>
      </c>
      <c r="AW304" s="76">
        <v>363976</v>
      </c>
      <c r="AX304" s="80">
        <f t="shared" si="44"/>
        <v>3.7344735377711658E-2</v>
      </c>
      <c r="AY304" s="67"/>
      <c r="AZ304" s="81">
        <v>42005</v>
      </c>
      <c r="BA304" s="82">
        <v>111.98569488525391</v>
      </c>
      <c r="BB304" s="82">
        <v>83.50390625</v>
      </c>
      <c r="BC304" s="67"/>
      <c r="BD304" s="83">
        <v>42019</v>
      </c>
      <c r="BE304" s="42">
        <v>9377</v>
      </c>
      <c r="BF304" s="41">
        <f t="shared" si="45"/>
        <v>-1.770375026188975E-2</v>
      </c>
      <c r="BG304" s="67"/>
      <c r="BH304" s="84">
        <v>42005</v>
      </c>
      <c r="BI304" s="85">
        <v>102.8905</v>
      </c>
      <c r="BJ304" s="87">
        <f t="shared" si="46"/>
        <v>-7.8482687330527767E-3</v>
      </c>
      <c r="BK304" s="67"/>
      <c r="BL304" s="84">
        <v>42005</v>
      </c>
      <c r="BM304" s="86">
        <v>-76.266195999999994</v>
      </c>
      <c r="BN304" s="67"/>
      <c r="BO304" s="88">
        <v>42005</v>
      </c>
      <c r="BP304" s="89">
        <v>2.4954999999999998</v>
      </c>
      <c r="BQ304" s="89">
        <v>2.8254999999999999</v>
      </c>
      <c r="BR304" s="90">
        <f t="shared" si="37"/>
        <v>-0.11679348787825161</v>
      </c>
    </row>
    <row r="305" spans="1:70">
      <c r="A305" s="62">
        <v>42036</v>
      </c>
      <c r="B305" s="63">
        <v>42036</v>
      </c>
      <c r="C305" s="39">
        <v>49.76</v>
      </c>
      <c r="D305" s="64">
        <v>47.59</v>
      </c>
      <c r="E305" s="40">
        <f t="shared" si="38"/>
        <v>4.5597814666946679E-2</v>
      </c>
      <c r="F305" s="65"/>
      <c r="G305" s="63">
        <v>42036</v>
      </c>
      <c r="H305" s="39">
        <v>13.34</v>
      </c>
      <c r="I305" s="39">
        <v>20.89</v>
      </c>
      <c r="J305" s="40">
        <f t="shared" si="47"/>
        <v>-0.36141694590713258</v>
      </c>
      <c r="K305" s="67"/>
      <c r="L305" s="68">
        <v>42036</v>
      </c>
      <c r="M305" s="98">
        <v>2104.5</v>
      </c>
      <c r="N305" s="98">
        <v>1996.67</v>
      </c>
      <c r="O305" s="70">
        <f t="shared" si="39"/>
        <v>5.4004918188784279E-2</v>
      </c>
      <c r="P305" s="67"/>
      <c r="Q305" s="38">
        <v>42036</v>
      </c>
      <c r="R305" s="39">
        <v>2.734</v>
      </c>
      <c r="S305" s="39">
        <v>2.6640000000000001</v>
      </c>
      <c r="T305" s="40">
        <f t="shared" si="49"/>
        <v>2.6276276276276267E-2</v>
      </c>
      <c r="U305" s="67"/>
      <c r="V305" s="38">
        <v>42036</v>
      </c>
      <c r="W305" s="39">
        <v>1.9737</v>
      </c>
      <c r="X305" s="39">
        <v>1.6769000000000001</v>
      </c>
      <c r="Y305" s="40">
        <f t="shared" si="40"/>
        <v>0.17699326137515659</v>
      </c>
      <c r="Z305" s="67"/>
      <c r="AA305" s="71">
        <v>42036</v>
      </c>
      <c r="AB305" s="99">
        <v>1213.0999999999999</v>
      </c>
      <c r="AC305" s="99">
        <v>1283</v>
      </c>
      <c r="AD305" s="73">
        <f t="shared" si="41"/>
        <v>-5.4481683554169935E-2</v>
      </c>
      <c r="AE305" s="67"/>
      <c r="AF305" s="71">
        <v>42036</v>
      </c>
      <c r="AG305" s="72">
        <v>95.32</v>
      </c>
      <c r="AH305" s="72">
        <v>94.58</v>
      </c>
      <c r="AI305" s="73">
        <f t="shared" si="42"/>
        <v>7.8240642842037911E-3</v>
      </c>
      <c r="AJ305" s="67"/>
      <c r="AK305" s="74">
        <v>42063</v>
      </c>
      <c r="AL305" s="41">
        <v>2.0299999999999999E-2</v>
      </c>
      <c r="AM305" s="41">
        <f t="shared" si="48"/>
        <v>3.4999999999999996E-3</v>
      </c>
      <c r="AN305" s="67"/>
      <c r="AO305" s="75">
        <v>42036</v>
      </c>
      <c r="AP305" s="76">
        <v>690955.25</v>
      </c>
      <c r="AQ305" s="80">
        <f t="shared" si="43"/>
        <v>-4.5588851659283947E-6</v>
      </c>
      <c r="AR305" s="67"/>
      <c r="AS305" s="94">
        <v>42036</v>
      </c>
      <c r="AT305" s="78">
        <v>0.88174999999999992</v>
      </c>
      <c r="AU305" s="67"/>
      <c r="AV305" s="79">
        <v>42036</v>
      </c>
      <c r="AW305" s="76">
        <v>396376.25</v>
      </c>
      <c r="AX305" s="80">
        <f t="shared" si="44"/>
        <v>8.9017545112864527E-2</v>
      </c>
      <c r="AY305" s="67"/>
      <c r="AZ305" s="81">
        <v>42036</v>
      </c>
      <c r="BA305" s="82">
        <v>111.92469787597656</v>
      </c>
      <c r="BB305" s="82">
        <v>118.22520446777344</v>
      </c>
      <c r="BC305" s="67"/>
      <c r="BD305" s="83">
        <v>42050</v>
      </c>
      <c r="BE305" s="42">
        <v>9485</v>
      </c>
      <c r="BF305" s="41">
        <f t="shared" si="45"/>
        <v>1.1517542924176283E-2</v>
      </c>
      <c r="BG305" s="67"/>
      <c r="BH305" s="84">
        <v>42036</v>
      </c>
      <c r="BI305" s="85">
        <v>102.23350000000001</v>
      </c>
      <c r="BJ305" s="87">
        <f t="shared" si="46"/>
        <v>-6.3854291698455246E-3</v>
      </c>
      <c r="BK305" s="67"/>
      <c r="BL305" s="84">
        <v>42036</v>
      </c>
      <c r="BM305" s="86">
        <v>-105.94965999999999</v>
      </c>
      <c r="BN305" s="67"/>
      <c r="BO305" s="88">
        <v>42036</v>
      </c>
      <c r="BP305" s="89">
        <v>2.6915</v>
      </c>
      <c r="BQ305" s="89">
        <v>2.4744999999999999</v>
      </c>
      <c r="BR305" s="90">
        <f t="shared" si="37"/>
        <v>8.7694483734087836E-2</v>
      </c>
    </row>
    <row r="306" spans="1:70">
      <c r="A306" s="62">
        <v>42064</v>
      </c>
      <c r="B306" s="63">
        <v>42064</v>
      </c>
      <c r="C306" s="39">
        <v>47.6</v>
      </c>
      <c r="D306" s="64">
        <v>49.45</v>
      </c>
      <c r="E306" s="40">
        <f t="shared" si="38"/>
        <v>-3.7411526794742245E-2</v>
      </c>
      <c r="F306" s="65"/>
      <c r="G306" s="63">
        <v>42064</v>
      </c>
      <c r="H306" s="39">
        <v>15.29</v>
      </c>
      <c r="I306" s="39">
        <v>13.9</v>
      </c>
      <c r="J306" s="40">
        <f t="shared" si="47"/>
        <v>9.9999999999999867E-2</v>
      </c>
      <c r="K306" s="67"/>
      <c r="L306" s="68">
        <v>42064</v>
      </c>
      <c r="M306" s="98">
        <v>2067.89</v>
      </c>
      <c r="N306" s="98">
        <v>2105.23</v>
      </c>
      <c r="O306" s="70">
        <f t="shared" si="39"/>
        <v>-1.7736779354274868E-2</v>
      </c>
      <c r="P306" s="67"/>
      <c r="Q306" s="38">
        <v>42064</v>
      </c>
      <c r="R306" s="39">
        <v>2.64</v>
      </c>
      <c r="S306" s="39">
        <v>2.6909999999999998</v>
      </c>
      <c r="T306" s="40">
        <f t="shared" si="49"/>
        <v>-1.8952062430323213E-2</v>
      </c>
      <c r="U306" s="67"/>
      <c r="V306" s="38">
        <v>42064</v>
      </c>
      <c r="W306" s="39">
        <v>1.708</v>
      </c>
      <c r="X306" s="39">
        <v>1.9249000000000001</v>
      </c>
      <c r="Y306" s="40">
        <f t="shared" si="40"/>
        <v>-0.1126811782430257</v>
      </c>
      <c r="Z306" s="67"/>
      <c r="AA306" s="71">
        <v>42064</v>
      </c>
      <c r="AB306" s="99">
        <v>1183.2</v>
      </c>
      <c r="AC306" s="99">
        <v>1213.8</v>
      </c>
      <c r="AD306" s="73">
        <f t="shared" si="41"/>
        <v>-2.5210084033613356E-2</v>
      </c>
      <c r="AE306" s="67"/>
      <c r="AF306" s="71">
        <v>42064</v>
      </c>
      <c r="AG306" s="72">
        <v>98.36</v>
      </c>
      <c r="AH306" s="72">
        <v>95.38</v>
      </c>
      <c r="AI306" s="73">
        <f t="shared" si="42"/>
        <v>3.1243447263577417E-2</v>
      </c>
      <c r="AJ306" s="67"/>
      <c r="AK306" s="74">
        <v>42094</v>
      </c>
      <c r="AL306" s="41">
        <v>1.9400000000000001E-2</v>
      </c>
      <c r="AM306" s="41">
        <f t="shared" si="48"/>
        <v>-8.9999999999999802E-4</v>
      </c>
      <c r="AN306" s="67"/>
      <c r="AO306" s="75">
        <v>42064</v>
      </c>
      <c r="AP306" s="76">
        <v>690952.5</v>
      </c>
      <c r="AQ306" s="80">
        <f t="shared" si="43"/>
        <v>-3.9799972574305897E-6</v>
      </c>
      <c r="AR306" s="67"/>
      <c r="AS306" s="94">
        <v>42064</v>
      </c>
      <c r="AT306" s="78">
        <v>0.88575000000000004</v>
      </c>
      <c r="AU306" s="67"/>
      <c r="AV306" s="79">
        <v>42064</v>
      </c>
      <c r="AW306" s="76">
        <v>427918</v>
      </c>
      <c r="AX306" s="80">
        <f t="shared" si="44"/>
        <v>7.957527727758662E-2</v>
      </c>
      <c r="AY306" s="67"/>
      <c r="AZ306" s="81">
        <v>42064</v>
      </c>
      <c r="BA306" s="82">
        <v>104.23526763916016</v>
      </c>
      <c r="BB306" s="82">
        <v>117.48873138427734</v>
      </c>
      <c r="BC306" s="67"/>
      <c r="BD306" s="83">
        <v>42078</v>
      </c>
      <c r="BE306" s="42">
        <v>9580</v>
      </c>
      <c r="BF306" s="41">
        <f t="shared" si="45"/>
        <v>1.0015814443858684E-2</v>
      </c>
      <c r="BG306" s="67"/>
      <c r="BH306" s="84">
        <v>42064</v>
      </c>
      <c r="BI306" s="85">
        <v>101.8914</v>
      </c>
      <c r="BJ306" s="87">
        <f t="shared" si="46"/>
        <v>-3.3462612548724735E-3</v>
      </c>
      <c r="BK306" s="67"/>
      <c r="BL306" s="84">
        <v>42064</v>
      </c>
      <c r="BM306" s="86">
        <v>-99.494195000000005</v>
      </c>
      <c r="BN306" s="67"/>
      <c r="BO306" s="88">
        <v>42064</v>
      </c>
      <c r="BP306" s="89">
        <v>2.7410000000000001</v>
      </c>
      <c r="BQ306" s="89">
        <v>2.6985000000000001</v>
      </c>
      <c r="BR306" s="90">
        <f t="shared" si="37"/>
        <v>1.5749490457661608E-2</v>
      </c>
    </row>
    <row r="307" spans="1:70">
      <c r="A307" s="62">
        <v>42095</v>
      </c>
      <c r="B307" s="63">
        <v>42095</v>
      </c>
      <c r="C307" s="39">
        <v>59.63</v>
      </c>
      <c r="D307" s="64">
        <v>47.55</v>
      </c>
      <c r="E307" s="40">
        <f t="shared" si="38"/>
        <v>0.25404837013669823</v>
      </c>
      <c r="F307" s="65"/>
      <c r="G307" s="63">
        <v>42095</v>
      </c>
      <c r="H307" s="39">
        <v>14.55</v>
      </c>
      <c r="I307" s="39">
        <v>15.32</v>
      </c>
      <c r="J307" s="40">
        <f t="shared" si="47"/>
        <v>-5.0261096605744071E-2</v>
      </c>
      <c r="K307" s="67"/>
      <c r="L307" s="68">
        <v>42095</v>
      </c>
      <c r="M307" s="98">
        <v>2085.5100000000002</v>
      </c>
      <c r="N307" s="98">
        <v>2067.63</v>
      </c>
      <c r="O307" s="70">
        <f t="shared" si="39"/>
        <v>8.6475820141902471E-3</v>
      </c>
      <c r="P307" s="67"/>
      <c r="Q307" s="38">
        <v>42095</v>
      </c>
      <c r="R307" s="39">
        <v>2.7509999999999999</v>
      </c>
      <c r="S307" s="39">
        <v>2.637</v>
      </c>
      <c r="T307" s="40">
        <f t="shared" si="49"/>
        <v>4.3230944254835091E-2</v>
      </c>
      <c r="U307" s="67"/>
      <c r="V307" s="38">
        <v>42095</v>
      </c>
      <c r="W307" s="39">
        <v>1.9804999999999999</v>
      </c>
      <c r="X307" s="39">
        <v>1.7195</v>
      </c>
      <c r="Y307" s="40">
        <f t="shared" si="40"/>
        <v>0.15178831055539388</v>
      </c>
      <c r="Z307" s="67"/>
      <c r="AA307" s="71">
        <v>42095</v>
      </c>
      <c r="AB307" s="99">
        <v>1182.4000000000001</v>
      </c>
      <c r="AC307" s="99">
        <v>1183.2</v>
      </c>
      <c r="AD307" s="73">
        <f t="shared" si="41"/>
        <v>-6.7613252197429308E-4</v>
      </c>
      <c r="AE307" s="67"/>
      <c r="AF307" s="71">
        <v>42095</v>
      </c>
      <c r="AG307" s="72">
        <v>94.6</v>
      </c>
      <c r="AH307" s="72">
        <v>98.42</v>
      </c>
      <c r="AI307" s="73">
        <f t="shared" si="42"/>
        <v>-3.8813249339565203E-2</v>
      </c>
      <c r="AJ307" s="67"/>
      <c r="AK307" s="74">
        <v>42124</v>
      </c>
      <c r="AL307" s="41">
        <v>2.0499999999999997E-2</v>
      </c>
      <c r="AM307" s="41">
        <f t="shared" si="48"/>
        <v>1.0999999999999968E-3</v>
      </c>
      <c r="AN307" s="67"/>
      <c r="AO307" s="75">
        <v>42095</v>
      </c>
      <c r="AP307" s="76">
        <v>690950</v>
      </c>
      <c r="AQ307" s="80">
        <f t="shared" si="43"/>
        <v>-3.6181937252965923E-6</v>
      </c>
      <c r="AR307" s="67"/>
      <c r="AS307" s="94">
        <v>42095</v>
      </c>
      <c r="AT307" s="78">
        <v>0.91224999999999989</v>
      </c>
      <c r="AU307" s="67"/>
      <c r="AV307" s="79">
        <v>42095</v>
      </c>
      <c r="AW307" s="76">
        <v>453767.5</v>
      </c>
      <c r="AX307" s="80">
        <f t="shared" si="44"/>
        <v>6.040760145635371E-2</v>
      </c>
      <c r="AY307" s="67"/>
      <c r="AZ307" s="81">
        <v>42095</v>
      </c>
      <c r="BA307" s="82">
        <v>102.19049072265625</v>
      </c>
      <c r="BB307" s="82">
        <v>110.18872833251953</v>
      </c>
      <c r="BC307" s="67"/>
      <c r="BD307" s="83">
        <v>42109</v>
      </c>
      <c r="BE307" s="42">
        <v>9652</v>
      </c>
      <c r="BF307" s="41">
        <f t="shared" si="45"/>
        <v>7.5156576200416936E-3</v>
      </c>
      <c r="BG307" s="67"/>
      <c r="BH307" s="84">
        <v>42095</v>
      </c>
      <c r="BI307" s="85">
        <v>101.3355</v>
      </c>
      <c r="BJ307" s="87">
        <f t="shared" si="46"/>
        <v>-5.4558088317562259E-3</v>
      </c>
      <c r="BK307" s="67"/>
      <c r="BL307" s="84">
        <v>42095</v>
      </c>
      <c r="BM307" s="86">
        <v>-96.793088999999995</v>
      </c>
      <c r="BN307" s="67"/>
      <c r="BO307" s="88">
        <v>42095</v>
      </c>
      <c r="BP307" s="89">
        <v>2.8864999999999998</v>
      </c>
      <c r="BQ307" s="89">
        <v>2.7570000000000001</v>
      </c>
      <c r="BR307" s="90">
        <f t="shared" si="37"/>
        <v>4.6971345665578479E-2</v>
      </c>
    </row>
    <row r="308" spans="1:70">
      <c r="A308" s="62">
        <v>42125</v>
      </c>
      <c r="B308" s="63">
        <v>42125</v>
      </c>
      <c r="C308" s="39">
        <v>60.3</v>
      </c>
      <c r="D308" s="64">
        <v>59.79</v>
      </c>
      <c r="E308" s="40">
        <f t="shared" si="38"/>
        <v>8.5298544907175256E-3</v>
      </c>
      <c r="F308" s="65"/>
      <c r="G308" s="63">
        <v>42125</v>
      </c>
      <c r="H308" s="39">
        <v>13.84</v>
      </c>
      <c r="I308" s="39">
        <v>13.98</v>
      </c>
      <c r="J308" s="40">
        <f t="shared" si="47"/>
        <v>-1.0014306151645225E-2</v>
      </c>
      <c r="K308" s="67"/>
      <c r="L308" s="68">
        <v>42125</v>
      </c>
      <c r="M308" s="98">
        <v>2107.39</v>
      </c>
      <c r="N308" s="98">
        <v>2087.38</v>
      </c>
      <c r="O308" s="70">
        <f t="shared" si="39"/>
        <v>9.5861798043479496E-3</v>
      </c>
      <c r="P308" s="67"/>
      <c r="Q308" s="38">
        <v>42125</v>
      </c>
      <c r="R308" s="39">
        <v>2.6419999999999999</v>
      </c>
      <c r="S308" s="39">
        <v>2.7370000000000001</v>
      </c>
      <c r="T308" s="40">
        <f t="shared" si="49"/>
        <v>-3.4709535988308393E-2</v>
      </c>
      <c r="U308" s="67"/>
      <c r="V308" s="38">
        <v>42125</v>
      </c>
      <c r="W308" s="39">
        <v>1.9497</v>
      </c>
      <c r="X308" s="39">
        <v>1.9872000000000001</v>
      </c>
      <c r="Y308" s="40">
        <f t="shared" si="40"/>
        <v>-1.8870772946859904E-2</v>
      </c>
      <c r="Z308" s="67"/>
      <c r="AA308" s="71">
        <v>42125</v>
      </c>
      <c r="AB308" s="99">
        <v>1189.8</v>
      </c>
      <c r="AC308" s="99">
        <v>1183.7</v>
      </c>
      <c r="AD308" s="73">
        <f t="shared" si="41"/>
        <v>5.1533327701274168E-3</v>
      </c>
      <c r="AE308" s="67"/>
      <c r="AF308" s="71">
        <v>42125</v>
      </c>
      <c r="AG308" s="72">
        <v>96.91</v>
      </c>
      <c r="AH308" s="72">
        <v>94.83</v>
      </c>
      <c r="AI308" s="73">
        <f t="shared" si="42"/>
        <v>2.1933987134872934E-2</v>
      </c>
      <c r="AJ308" s="67"/>
      <c r="AK308" s="74">
        <v>42155</v>
      </c>
      <c r="AL308" s="41">
        <v>2.12E-2</v>
      </c>
      <c r="AM308" s="41">
        <f t="shared" si="48"/>
        <v>7.000000000000027E-4</v>
      </c>
      <c r="AN308" s="67"/>
      <c r="AO308" s="92">
        <v>42125</v>
      </c>
      <c r="AP308" s="76">
        <v>691469.6</v>
      </c>
      <c r="AQ308" s="80">
        <f t="shared" si="43"/>
        <v>7.5200810478315283E-4</v>
      </c>
      <c r="AR308" s="67"/>
      <c r="AS308" s="97">
        <v>42125</v>
      </c>
      <c r="AT308" s="78">
        <v>0.92680000000000007</v>
      </c>
      <c r="AU308" s="67"/>
      <c r="AV308" s="93">
        <v>42125</v>
      </c>
      <c r="AW308" s="76">
        <v>449211.4</v>
      </c>
      <c r="AX308" s="80">
        <f t="shared" si="44"/>
        <v>-1.0040604494592431E-2</v>
      </c>
      <c r="AY308" s="67"/>
      <c r="AZ308" s="81">
        <v>42125</v>
      </c>
      <c r="BA308" s="82">
        <v>76.2623291015625</v>
      </c>
      <c r="BB308" s="82">
        <v>77.668731689453125</v>
      </c>
      <c r="BC308" s="67"/>
      <c r="BD308" s="83">
        <v>42139</v>
      </c>
      <c r="BE308" s="42">
        <v>9466</v>
      </c>
      <c r="BF308" s="41">
        <f t="shared" si="45"/>
        <v>-1.927061748860337E-2</v>
      </c>
      <c r="BG308" s="67"/>
      <c r="BH308" s="84">
        <v>42125</v>
      </c>
      <c r="BI308" s="85">
        <v>100.8883</v>
      </c>
      <c r="BJ308" s="87">
        <f t="shared" si="46"/>
        <v>-4.4130635364704185E-3</v>
      </c>
      <c r="BK308" s="67"/>
      <c r="BL308" s="84">
        <v>42125</v>
      </c>
      <c r="BM308" s="86">
        <v>-96.004047</v>
      </c>
      <c r="BN308" s="67"/>
      <c r="BO308" s="88">
        <v>42125</v>
      </c>
      <c r="BP308" s="89">
        <v>2.7330000000000001</v>
      </c>
      <c r="BQ308" s="89">
        <v>2.8849999999999998</v>
      </c>
      <c r="BR308" s="90">
        <f t="shared" si="37"/>
        <v>-5.2686308492200906E-2</v>
      </c>
    </row>
    <row r="309" spans="1:70">
      <c r="A309" s="62">
        <v>42156</v>
      </c>
      <c r="B309" s="63">
        <v>42156</v>
      </c>
      <c r="C309" s="39">
        <v>59.47</v>
      </c>
      <c r="D309" s="64">
        <v>60.29</v>
      </c>
      <c r="E309" s="40">
        <f t="shared" si="38"/>
        <v>-1.3600928843921056E-2</v>
      </c>
      <c r="F309" s="65"/>
      <c r="G309" s="63">
        <v>42156</v>
      </c>
      <c r="H309" s="39">
        <v>18.23</v>
      </c>
      <c r="I309" s="39">
        <v>13.92</v>
      </c>
      <c r="J309" s="40">
        <f t="shared" si="47"/>
        <v>0.30962643678160928</v>
      </c>
      <c r="K309" s="67"/>
      <c r="L309" s="68">
        <v>42156</v>
      </c>
      <c r="M309" s="98">
        <v>2063.11</v>
      </c>
      <c r="N309" s="98">
        <v>2108.64</v>
      </c>
      <c r="O309" s="70">
        <f t="shared" si="39"/>
        <v>-2.1592116245542026E-2</v>
      </c>
      <c r="P309" s="67"/>
      <c r="Q309" s="38">
        <v>42156</v>
      </c>
      <c r="R309" s="39">
        <v>2.8319999999999999</v>
      </c>
      <c r="S309" s="39">
        <v>2.6150000000000002</v>
      </c>
      <c r="T309" s="40">
        <f t="shared" si="49"/>
        <v>8.2982791586997839E-2</v>
      </c>
      <c r="U309" s="67"/>
      <c r="V309" s="38">
        <v>42156</v>
      </c>
      <c r="W309" s="39">
        <v>1.8898999999999999</v>
      </c>
      <c r="X309" s="39">
        <v>1.9575</v>
      </c>
      <c r="Y309" s="40">
        <f t="shared" si="40"/>
        <v>-3.4533844189016616E-2</v>
      </c>
      <c r="Z309" s="67"/>
      <c r="AA309" s="71">
        <v>42156</v>
      </c>
      <c r="AB309" s="99">
        <v>1171.8</v>
      </c>
      <c r="AC309" s="99">
        <v>1189.8</v>
      </c>
      <c r="AD309" s="73">
        <f t="shared" si="41"/>
        <v>-1.5128593040847238E-2</v>
      </c>
      <c r="AE309" s="67"/>
      <c r="AF309" s="71">
        <v>42156</v>
      </c>
      <c r="AG309" s="72">
        <v>95.48</v>
      </c>
      <c r="AH309" s="72">
        <v>96.9</v>
      </c>
      <c r="AI309" s="73">
        <f t="shared" si="42"/>
        <v>-1.465428276573788E-2</v>
      </c>
      <c r="AJ309" s="67"/>
      <c r="AK309" s="74">
        <v>42185</v>
      </c>
      <c r="AL309" s="41">
        <v>2.35E-2</v>
      </c>
      <c r="AM309" s="41">
        <f t="shared" si="48"/>
        <v>2.3E-3</v>
      </c>
      <c r="AN309" s="67"/>
      <c r="AO309" s="75">
        <v>42156</v>
      </c>
      <c r="AP309" s="76">
        <v>693068.75</v>
      </c>
      <c r="AQ309" s="80">
        <f t="shared" si="43"/>
        <v>2.3126830159996281E-3</v>
      </c>
      <c r="AR309" s="67"/>
      <c r="AS309" s="94">
        <v>42156</v>
      </c>
      <c r="AT309" s="78">
        <v>0.94174999999999998</v>
      </c>
      <c r="AU309" s="67"/>
      <c r="AV309" s="79">
        <v>42156</v>
      </c>
      <c r="AW309" s="76">
        <v>434569.5</v>
      </c>
      <c r="AX309" s="80">
        <f t="shared" si="44"/>
        <v>-3.2594675914280002E-2</v>
      </c>
      <c r="AY309" s="67"/>
      <c r="AZ309" s="81">
        <v>42156</v>
      </c>
      <c r="BA309" s="82">
        <v>85.905967712402344</v>
      </c>
      <c r="BB309" s="82">
        <v>81.066085815429688</v>
      </c>
      <c r="BC309" s="67"/>
      <c r="BD309" s="83">
        <v>42170</v>
      </c>
      <c r="BE309" s="42">
        <v>9350</v>
      </c>
      <c r="BF309" s="41">
        <f t="shared" si="45"/>
        <v>-1.2254384111557104E-2</v>
      </c>
      <c r="BG309" s="67"/>
      <c r="BH309" s="84">
        <v>42156</v>
      </c>
      <c r="BI309" s="85">
        <v>100.571</v>
      </c>
      <c r="BJ309" s="87">
        <f t="shared" si="46"/>
        <v>-3.145062410606636E-3</v>
      </c>
      <c r="BK309" s="67"/>
      <c r="BL309" s="84">
        <v>42156</v>
      </c>
      <c r="BM309" s="86">
        <v>-80.333223000000004</v>
      </c>
      <c r="BN309" s="67"/>
      <c r="BO309" s="88">
        <v>42156</v>
      </c>
      <c r="BP309" s="89">
        <v>2.6150000000000002</v>
      </c>
      <c r="BQ309" s="89">
        <v>2.7254999999999998</v>
      </c>
      <c r="BR309" s="90">
        <f t="shared" si="37"/>
        <v>-4.0543019629425636E-2</v>
      </c>
    </row>
    <row r="310" spans="1:70">
      <c r="A310" s="62">
        <v>42186</v>
      </c>
      <c r="B310" s="63">
        <v>42186</v>
      </c>
      <c r="C310" s="39">
        <v>47.12</v>
      </c>
      <c r="D310" s="64">
        <v>58.98</v>
      </c>
      <c r="E310" s="40">
        <f t="shared" si="38"/>
        <v>-0.20108511359782977</v>
      </c>
      <c r="F310" s="65"/>
      <c r="G310" s="63">
        <v>42186</v>
      </c>
      <c r="H310" s="39">
        <v>12.12</v>
      </c>
      <c r="I310" s="39">
        <v>16.63</v>
      </c>
      <c r="J310" s="40">
        <f t="shared" si="47"/>
        <v>-0.27119663259170179</v>
      </c>
      <c r="K310" s="67"/>
      <c r="L310" s="68">
        <v>42186</v>
      </c>
      <c r="M310" s="98">
        <v>2103.84</v>
      </c>
      <c r="N310" s="98">
        <v>2067</v>
      </c>
      <c r="O310" s="70">
        <f t="shared" si="39"/>
        <v>1.7822931785196117E-2</v>
      </c>
      <c r="P310" s="67"/>
      <c r="Q310" s="38">
        <v>42186</v>
      </c>
      <c r="R310" s="39">
        <v>2.7160000000000002</v>
      </c>
      <c r="S310" s="39">
        <v>2.8159999999999998</v>
      </c>
      <c r="T310" s="40">
        <f t="shared" si="49"/>
        <v>-3.5511363636363535E-2</v>
      </c>
      <c r="U310" s="67"/>
      <c r="V310" s="38">
        <v>42186</v>
      </c>
      <c r="W310" s="39">
        <v>1.5889</v>
      </c>
      <c r="X310" s="39">
        <v>1.8904000000000001</v>
      </c>
      <c r="Y310" s="40">
        <f t="shared" si="40"/>
        <v>-0.15949005501481173</v>
      </c>
      <c r="Z310" s="67"/>
      <c r="AA310" s="71">
        <v>42186</v>
      </c>
      <c r="AB310" s="99">
        <v>1095.0999999999999</v>
      </c>
      <c r="AC310" s="99">
        <v>1172.4000000000001</v>
      </c>
      <c r="AD310" s="73">
        <f t="shared" si="41"/>
        <v>-6.5933128625042747E-2</v>
      </c>
      <c r="AE310" s="67"/>
      <c r="AF310" s="71">
        <v>42186</v>
      </c>
      <c r="AG310" s="72">
        <v>97.34</v>
      </c>
      <c r="AH310" s="72">
        <v>95.58</v>
      </c>
      <c r="AI310" s="73">
        <f t="shared" si="42"/>
        <v>1.8413894120108854E-2</v>
      </c>
      <c r="AJ310" s="67"/>
      <c r="AK310" s="74">
        <v>42216</v>
      </c>
      <c r="AL310" s="41">
        <v>2.2000000000000002E-2</v>
      </c>
      <c r="AM310" s="41">
        <f t="shared" si="48"/>
        <v>-1.4999999999999979E-3</v>
      </c>
      <c r="AN310" s="67"/>
      <c r="AO310" s="75">
        <v>42186</v>
      </c>
      <c r="AP310" s="76">
        <v>694849.6</v>
      </c>
      <c r="AQ310" s="80">
        <f t="shared" si="43"/>
        <v>2.5695142076453958E-3</v>
      </c>
      <c r="AR310" s="67"/>
      <c r="AS310" s="94">
        <v>42186</v>
      </c>
      <c r="AT310" s="78">
        <v>0.95340000000000003</v>
      </c>
      <c r="AU310" s="67"/>
      <c r="AV310" s="79">
        <v>42186</v>
      </c>
      <c r="AW310" s="76">
        <v>429155.4</v>
      </c>
      <c r="AX310" s="80">
        <f t="shared" si="44"/>
        <v>-1.2458536551690713E-2</v>
      </c>
      <c r="AY310" s="67"/>
      <c r="AZ310" s="81">
        <v>42186</v>
      </c>
      <c r="BA310" s="82">
        <v>106.80866241455078</v>
      </c>
      <c r="BB310" s="82">
        <v>120.84297180175781</v>
      </c>
      <c r="BC310" s="67"/>
      <c r="BD310" s="83">
        <v>42200</v>
      </c>
      <c r="BE310" s="42">
        <v>9436</v>
      </c>
      <c r="BF310" s="41">
        <f t="shared" si="45"/>
        <v>9.1978609625669172E-3</v>
      </c>
      <c r="BG310" s="67"/>
      <c r="BH310" s="84">
        <v>42186</v>
      </c>
      <c r="BI310" s="85">
        <v>101.22280000000001</v>
      </c>
      <c r="BJ310" s="87">
        <f t="shared" si="46"/>
        <v>6.4809935269611874E-3</v>
      </c>
      <c r="BK310" s="67"/>
      <c r="BL310" s="84">
        <v>42186</v>
      </c>
      <c r="BM310" s="86">
        <v>-47.016522000000002</v>
      </c>
      <c r="BN310" s="67"/>
      <c r="BO310" s="88">
        <v>42186</v>
      </c>
      <c r="BP310" s="89">
        <v>2.3690000000000002</v>
      </c>
      <c r="BQ310" s="89">
        <v>2.6145</v>
      </c>
      <c r="BR310" s="90">
        <f t="shared" si="37"/>
        <v>-9.3899407152419179E-2</v>
      </c>
    </row>
    <row r="311" spans="1:70">
      <c r="A311" s="62">
        <v>42217</v>
      </c>
      <c r="B311" s="63">
        <v>42217</v>
      </c>
      <c r="C311" s="39">
        <v>49.2</v>
      </c>
      <c r="D311" s="64">
        <v>46.86</v>
      </c>
      <c r="E311" s="40">
        <f t="shared" si="38"/>
        <v>4.9935979513444417E-2</v>
      </c>
      <c r="F311" s="65"/>
      <c r="G311" s="63">
        <v>42217</v>
      </c>
      <c r="H311" s="39">
        <v>28.43</v>
      </c>
      <c r="I311" s="39">
        <v>12.85</v>
      </c>
      <c r="J311" s="40">
        <f t="shared" si="47"/>
        <v>1.2124513618677044</v>
      </c>
      <c r="K311" s="67"/>
      <c r="L311" s="68">
        <v>42217</v>
      </c>
      <c r="M311" s="98">
        <v>1972.18</v>
      </c>
      <c r="N311" s="98">
        <v>2104.4899999999998</v>
      </c>
      <c r="O311" s="70">
        <f t="shared" si="39"/>
        <v>-6.2870339132046094E-2</v>
      </c>
      <c r="P311" s="67"/>
      <c r="Q311" s="38">
        <v>42217</v>
      </c>
      <c r="R311" s="39">
        <v>2.6890000000000001</v>
      </c>
      <c r="S311" s="39">
        <v>2.7250000000000001</v>
      </c>
      <c r="T311" s="40">
        <f t="shared" si="49"/>
        <v>-1.321100917431195E-2</v>
      </c>
      <c r="U311" s="67"/>
      <c r="V311" s="38">
        <v>42217</v>
      </c>
      <c r="W311" s="39">
        <v>1.7012</v>
      </c>
      <c r="X311" s="39">
        <v>1.5944</v>
      </c>
      <c r="Y311" s="40">
        <f t="shared" si="40"/>
        <v>6.698444555945815E-2</v>
      </c>
      <c r="Z311" s="67"/>
      <c r="AA311" s="71">
        <v>42217</v>
      </c>
      <c r="AB311" s="99">
        <v>1132.5</v>
      </c>
      <c r="AC311" s="99">
        <v>1095.0999999999999</v>
      </c>
      <c r="AD311" s="73">
        <f t="shared" si="41"/>
        <v>3.4152132225367726E-2</v>
      </c>
      <c r="AE311" s="67"/>
      <c r="AF311" s="71">
        <v>42217</v>
      </c>
      <c r="AG311" s="72">
        <v>95.82</v>
      </c>
      <c r="AH311" s="72">
        <v>97.22</v>
      </c>
      <c r="AI311" s="73">
        <f t="shared" si="42"/>
        <v>-1.4400329150380586E-2</v>
      </c>
      <c r="AJ311" s="67"/>
      <c r="AK311" s="74">
        <v>42247</v>
      </c>
      <c r="AL311" s="41">
        <v>2.2099999999999998E-2</v>
      </c>
      <c r="AM311" s="41">
        <f t="shared" si="48"/>
        <v>9.9999999999995925E-5</v>
      </c>
      <c r="AN311" s="67"/>
      <c r="AO311" s="75">
        <v>42217</v>
      </c>
      <c r="AP311" s="76">
        <v>695133.25</v>
      </c>
      <c r="AQ311" s="80">
        <f t="shared" si="43"/>
        <v>4.0821783591726835E-4</v>
      </c>
      <c r="AR311" s="67"/>
      <c r="AS311" s="94">
        <v>42217</v>
      </c>
      <c r="AT311" s="78">
        <v>0.94625000000000004</v>
      </c>
      <c r="AU311" s="67"/>
      <c r="AV311" s="79">
        <v>42217</v>
      </c>
      <c r="AW311" s="76">
        <v>422227.75</v>
      </c>
      <c r="AX311" s="80">
        <f t="shared" si="44"/>
        <v>-1.6142520867732379E-2</v>
      </c>
      <c r="AY311" s="67"/>
      <c r="AZ311" s="81">
        <v>42217</v>
      </c>
      <c r="BA311" s="82">
        <v>82.478530883789063</v>
      </c>
      <c r="BB311" s="82">
        <v>85.338592529296875</v>
      </c>
      <c r="BC311" s="67"/>
      <c r="BD311" s="83">
        <v>42231</v>
      </c>
      <c r="BE311" s="42">
        <v>9400</v>
      </c>
      <c r="BF311" s="41">
        <f t="shared" si="45"/>
        <v>-3.8151759220008685E-3</v>
      </c>
      <c r="BG311" s="67"/>
      <c r="BH311" s="84">
        <v>42217</v>
      </c>
      <c r="BI311" s="85">
        <v>101.0367</v>
      </c>
      <c r="BJ311" s="87">
        <f t="shared" si="46"/>
        <v>-1.8385185946250271E-3</v>
      </c>
      <c r="BK311" s="67"/>
      <c r="BL311" s="84">
        <v>42217</v>
      </c>
      <c r="BM311" s="86">
        <v>-38.003511000000003</v>
      </c>
      <c r="BN311" s="67"/>
      <c r="BO311" s="88">
        <v>42217</v>
      </c>
      <c r="BP311" s="89">
        <v>2.3384999999999998</v>
      </c>
      <c r="BQ311" s="89">
        <v>2.35</v>
      </c>
      <c r="BR311" s="90">
        <f t="shared" si="37"/>
        <v>-4.8936170212766639E-3</v>
      </c>
    </row>
    <row r="312" spans="1:70">
      <c r="A312" s="62">
        <v>42248</v>
      </c>
      <c r="B312" s="63">
        <v>42248</v>
      </c>
      <c r="C312" s="39">
        <v>45.09</v>
      </c>
      <c r="D312" s="64">
        <v>48.1</v>
      </c>
      <c r="E312" s="40">
        <f t="shared" si="38"/>
        <v>-6.2577962577962554E-2</v>
      </c>
      <c r="F312" s="65"/>
      <c r="G312" s="63">
        <v>42248</v>
      </c>
      <c r="H312" s="39">
        <v>24.5</v>
      </c>
      <c r="I312" s="39">
        <v>31.91</v>
      </c>
      <c r="J312" s="40">
        <f t="shared" si="47"/>
        <v>-0.23221560639298022</v>
      </c>
      <c r="K312" s="67"/>
      <c r="L312" s="68">
        <v>42248</v>
      </c>
      <c r="M312" s="98">
        <v>1920.03</v>
      </c>
      <c r="N312" s="98">
        <v>1970.09</v>
      </c>
      <c r="O312" s="70">
        <f t="shared" si="39"/>
        <v>-2.5410006649442374E-2</v>
      </c>
      <c r="P312" s="67"/>
      <c r="Q312" s="38">
        <v>42248</v>
      </c>
      <c r="R312" s="39">
        <v>2.524</v>
      </c>
      <c r="S312" s="39">
        <v>2.6859999999999999</v>
      </c>
      <c r="T312" s="40">
        <f t="shared" si="49"/>
        <v>-6.031273268801185E-2</v>
      </c>
      <c r="U312" s="67"/>
      <c r="V312" s="38">
        <v>42248</v>
      </c>
      <c r="W312" s="39">
        <v>1.5374000000000001</v>
      </c>
      <c r="X312" s="39">
        <v>1.6919999999999999</v>
      </c>
      <c r="Y312" s="40">
        <f t="shared" si="40"/>
        <v>-9.1371158392434926E-2</v>
      </c>
      <c r="Z312" s="67"/>
      <c r="AA312" s="71">
        <v>42248</v>
      </c>
      <c r="AB312" s="99">
        <v>1115.2</v>
      </c>
      <c r="AC312" s="99">
        <v>1133.8</v>
      </c>
      <c r="AD312" s="73">
        <f t="shared" si="41"/>
        <v>-1.6405009701887407E-2</v>
      </c>
      <c r="AE312" s="67"/>
      <c r="AF312" s="71">
        <v>42248</v>
      </c>
      <c r="AG312" s="72">
        <v>96.35</v>
      </c>
      <c r="AH312" s="72">
        <v>95.93</v>
      </c>
      <c r="AI312" s="73">
        <f t="shared" si="42"/>
        <v>4.3781924319814536E-3</v>
      </c>
      <c r="AJ312" s="67"/>
      <c r="AK312" s="74">
        <v>42277</v>
      </c>
      <c r="AL312" s="41">
        <v>2.06E-2</v>
      </c>
      <c r="AM312" s="41">
        <f t="shared" si="48"/>
        <v>-1.4999999999999979E-3</v>
      </c>
      <c r="AN312" s="67"/>
      <c r="AO312" s="75">
        <v>42248</v>
      </c>
      <c r="AP312" s="76">
        <v>695129.5</v>
      </c>
      <c r="AQ312" s="80">
        <f t="shared" si="43"/>
        <v>-5.3946491553880094E-6</v>
      </c>
      <c r="AR312" s="67"/>
      <c r="AS312" s="94">
        <v>42248</v>
      </c>
      <c r="AT312" s="78">
        <v>0.91174999999999995</v>
      </c>
      <c r="AU312" s="67"/>
      <c r="AV312" s="79">
        <v>42248</v>
      </c>
      <c r="AW312" s="76">
        <v>424510.25</v>
      </c>
      <c r="AX312" s="80">
        <f t="shared" si="44"/>
        <v>5.4058502786706875E-3</v>
      </c>
      <c r="AY312" s="67"/>
      <c r="AZ312" s="81">
        <v>42248</v>
      </c>
      <c r="BA312" s="82">
        <v>98.7674560546875</v>
      </c>
      <c r="BB312" s="82">
        <v>115.88518524169922</v>
      </c>
      <c r="BC312" s="67"/>
      <c r="BD312" s="83">
        <v>42262</v>
      </c>
      <c r="BE312" s="42">
        <v>9471</v>
      </c>
      <c r="BF312" s="41">
        <f t="shared" si="45"/>
        <v>7.5531914893616214E-3</v>
      </c>
      <c r="BG312" s="67"/>
      <c r="BH312" s="84">
        <v>42248</v>
      </c>
      <c r="BI312" s="85">
        <v>100.7547</v>
      </c>
      <c r="BJ312" s="87">
        <f t="shared" si="46"/>
        <v>-2.7910650288459626E-3</v>
      </c>
      <c r="BK312" s="67"/>
      <c r="BL312" s="84">
        <v>42248</v>
      </c>
      <c r="BM312" s="86">
        <v>-55.761842000000001</v>
      </c>
      <c r="BN312" s="67"/>
      <c r="BO312" s="88">
        <v>42248</v>
      </c>
      <c r="BP312" s="89">
        <v>2.3410000000000002</v>
      </c>
      <c r="BQ312" s="89">
        <v>2.3344999999999998</v>
      </c>
      <c r="BR312" s="90">
        <f t="shared" si="37"/>
        <v>2.7843221246521832E-3</v>
      </c>
    </row>
    <row r="313" spans="1:70">
      <c r="A313" s="62">
        <v>42278</v>
      </c>
      <c r="B313" s="63">
        <v>42278</v>
      </c>
      <c r="C313" s="39">
        <v>46.59</v>
      </c>
      <c r="D313" s="64">
        <v>45.38</v>
      </c>
      <c r="E313" s="40">
        <f t="shared" si="38"/>
        <v>2.6663728514764173E-2</v>
      </c>
      <c r="F313" s="65"/>
      <c r="G313" s="63">
        <v>42278</v>
      </c>
      <c r="H313" s="39">
        <v>15.07</v>
      </c>
      <c r="I313" s="39">
        <v>23.14</v>
      </c>
      <c r="J313" s="40">
        <f t="shared" si="47"/>
        <v>-0.34874675885911843</v>
      </c>
      <c r="K313" s="67"/>
      <c r="L313" s="68">
        <v>42278</v>
      </c>
      <c r="M313" s="98">
        <v>2079.36</v>
      </c>
      <c r="N313" s="98">
        <v>1919.65</v>
      </c>
      <c r="O313" s="70">
        <f t="shared" si="39"/>
        <v>8.3197457869924163E-2</v>
      </c>
      <c r="P313" s="67"/>
      <c r="Q313" s="38">
        <v>42278</v>
      </c>
      <c r="R313" s="39">
        <v>2.3210000000000002</v>
      </c>
      <c r="S313" s="39">
        <v>2.5219999999999998</v>
      </c>
      <c r="T313" s="40">
        <f t="shared" si="49"/>
        <v>-7.9698651863600145E-2</v>
      </c>
      <c r="U313" s="67"/>
      <c r="V313" s="38">
        <v>42278</v>
      </c>
      <c r="W313" s="39">
        <v>1.5166999999999999</v>
      </c>
      <c r="X313" s="39">
        <v>1.5623</v>
      </c>
      <c r="Y313" s="40">
        <f t="shared" si="40"/>
        <v>-2.9187736030211964E-2</v>
      </c>
      <c r="Z313" s="67"/>
      <c r="AA313" s="71">
        <v>42278</v>
      </c>
      <c r="AB313" s="99">
        <v>1141.4000000000001</v>
      </c>
      <c r="AC313" s="99">
        <v>1114.5</v>
      </c>
      <c r="AD313" s="73">
        <f t="shared" si="41"/>
        <v>2.4136384028712543E-2</v>
      </c>
      <c r="AE313" s="67"/>
      <c r="AF313" s="71">
        <v>42278</v>
      </c>
      <c r="AG313" s="72">
        <v>96.95</v>
      </c>
      <c r="AH313" s="72">
        <v>96.27</v>
      </c>
      <c r="AI313" s="73">
        <f t="shared" si="42"/>
        <v>7.0634673314635688E-3</v>
      </c>
      <c r="AJ313" s="67"/>
      <c r="AK313" s="74">
        <v>42308</v>
      </c>
      <c r="AL313" s="41">
        <v>2.1600000000000001E-2</v>
      </c>
      <c r="AM313" s="41">
        <f t="shared" si="48"/>
        <v>1.0000000000000009E-3</v>
      </c>
      <c r="AN313" s="67"/>
      <c r="AO313" s="75">
        <v>42278</v>
      </c>
      <c r="AP313" s="76">
        <v>695127.4</v>
      </c>
      <c r="AQ313" s="80">
        <f t="shared" si="43"/>
        <v>-3.021019824300808E-6</v>
      </c>
      <c r="AR313" s="67"/>
      <c r="AS313" s="94">
        <v>42278</v>
      </c>
      <c r="AT313" s="78">
        <v>0.87239999999999995</v>
      </c>
      <c r="AU313" s="67"/>
      <c r="AV313" s="79">
        <v>42278</v>
      </c>
      <c r="AW313" s="76">
        <v>441814.2</v>
      </c>
      <c r="AX313" s="80">
        <f t="shared" si="44"/>
        <v>4.0762148852707458E-2</v>
      </c>
      <c r="AY313" s="67"/>
      <c r="AZ313" s="81">
        <v>42278</v>
      </c>
      <c r="BA313" s="82">
        <v>91.931884765625</v>
      </c>
      <c r="BB313" s="82">
        <v>79.726318359375</v>
      </c>
      <c r="BC313" s="67"/>
      <c r="BD313" s="83">
        <v>42292</v>
      </c>
      <c r="BE313" s="42">
        <v>9394</v>
      </c>
      <c r="BF313" s="41">
        <f t="shared" si="45"/>
        <v>-8.1300813008130524E-3</v>
      </c>
      <c r="BG313" s="67"/>
      <c r="BH313" s="84">
        <v>42278</v>
      </c>
      <c r="BI313" s="85">
        <v>100.2675</v>
      </c>
      <c r="BJ313" s="87">
        <f t="shared" si="46"/>
        <v>-4.8355064329504982E-3</v>
      </c>
      <c r="BK313" s="67"/>
      <c r="BL313" s="84">
        <v>42278</v>
      </c>
      <c r="BM313" s="86">
        <v>-67.084976999999995</v>
      </c>
      <c r="BN313" s="67"/>
      <c r="BO313" s="88">
        <v>42278</v>
      </c>
      <c r="BP313" s="89">
        <v>2.3235000000000001</v>
      </c>
      <c r="BQ313" s="89">
        <v>2.3380000000000001</v>
      </c>
      <c r="BR313" s="90">
        <f t="shared" si="37"/>
        <v>-6.2018819503849576E-3</v>
      </c>
    </row>
    <row r="314" spans="1:70">
      <c r="A314" s="62">
        <v>42309</v>
      </c>
      <c r="B314" s="63">
        <v>42309</v>
      </c>
      <c r="C314" s="39">
        <v>41.65</v>
      </c>
      <c r="D314" s="64">
        <v>46.43</v>
      </c>
      <c r="E314" s="40">
        <f t="shared" si="38"/>
        <v>-0.10295067844066341</v>
      </c>
      <c r="F314" s="65"/>
      <c r="G314" s="63">
        <v>42309</v>
      </c>
      <c r="H314" s="39">
        <v>16.13</v>
      </c>
      <c r="I314" s="39">
        <v>15.41</v>
      </c>
      <c r="J314" s="40">
        <f t="shared" si="47"/>
        <v>4.6722907203114783E-2</v>
      </c>
      <c r="K314" s="67"/>
      <c r="L314" s="68">
        <v>42309</v>
      </c>
      <c r="M314" s="98">
        <v>2080.41</v>
      </c>
      <c r="N314" s="98">
        <v>2080.7600000000002</v>
      </c>
      <c r="O314" s="70">
        <f t="shared" si="39"/>
        <v>-1.682077702379603E-4</v>
      </c>
      <c r="P314" s="67"/>
      <c r="Q314" s="38">
        <v>42309</v>
      </c>
      <c r="R314" s="39">
        <v>2.2349999999999999</v>
      </c>
      <c r="S314" s="39">
        <v>2.2679999999999998</v>
      </c>
      <c r="T314" s="40">
        <f t="shared" si="49"/>
        <v>-1.4550264550264536E-2</v>
      </c>
      <c r="U314" s="67"/>
      <c r="V314" s="38">
        <v>42309</v>
      </c>
      <c r="W314" s="39">
        <v>1.3542000000000001</v>
      </c>
      <c r="X314" s="39">
        <v>1.5405</v>
      </c>
      <c r="Y314" s="40">
        <f t="shared" si="40"/>
        <v>-0.1209347614410905</v>
      </c>
      <c r="Z314" s="67"/>
      <c r="AA314" s="71">
        <v>42309</v>
      </c>
      <c r="AB314" s="99">
        <v>1065.3</v>
      </c>
      <c r="AC314" s="99">
        <v>1141.3</v>
      </c>
      <c r="AD314" s="73">
        <f t="shared" si="41"/>
        <v>-6.6590729869447141E-2</v>
      </c>
      <c r="AE314" s="67"/>
      <c r="AF314" s="71">
        <v>42309</v>
      </c>
      <c r="AG314" s="72">
        <v>100.17</v>
      </c>
      <c r="AH314" s="72">
        <v>96.69</v>
      </c>
      <c r="AI314" s="73">
        <f t="shared" si="42"/>
        <v>3.5991312441824519E-2</v>
      </c>
      <c r="AJ314" s="67"/>
      <c r="AK314" s="74">
        <v>42338</v>
      </c>
      <c r="AL314" s="41">
        <v>2.2099999999999998E-2</v>
      </c>
      <c r="AM314" s="41">
        <f t="shared" si="48"/>
        <v>4.9999999999999697E-4</v>
      </c>
      <c r="AN314" s="67"/>
      <c r="AO314" s="75">
        <v>42309</v>
      </c>
      <c r="AP314" s="76">
        <v>695125.5</v>
      </c>
      <c r="AQ314" s="80">
        <f t="shared" si="43"/>
        <v>-2.7333119080319435E-6</v>
      </c>
      <c r="AR314" s="67"/>
      <c r="AS314" s="94">
        <v>42309</v>
      </c>
      <c r="AT314" s="78">
        <v>0.91575000000000006</v>
      </c>
      <c r="AU314" s="67"/>
      <c r="AV314" s="79">
        <v>42309</v>
      </c>
      <c r="AW314" s="76">
        <v>455785.75</v>
      </c>
      <c r="AX314" s="80">
        <f t="shared" si="44"/>
        <v>3.162313479286083E-2</v>
      </c>
      <c r="AY314" s="67"/>
      <c r="AZ314" s="81">
        <v>42309</v>
      </c>
      <c r="BA314" s="82">
        <v>150.71588134765625</v>
      </c>
      <c r="BB314" s="82">
        <v>113.04398345947266</v>
      </c>
      <c r="BC314" s="67"/>
      <c r="BD314" s="83">
        <v>42323</v>
      </c>
      <c r="BE314" s="42">
        <v>9328</v>
      </c>
      <c r="BF314" s="41">
        <f t="shared" si="45"/>
        <v>-7.0257611241217877E-3</v>
      </c>
      <c r="BG314" s="67"/>
      <c r="BH314" s="84">
        <v>42309</v>
      </c>
      <c r="BI314" s="85">
        <v>99.529799999999994</v>
      </c>
      <c r="BJ314" s="87">
        <f t="shared" si="46"/>
        <v>-7.3573191712170694E-3</v>
      </c>
      <c r="BK314" s="67"/>
      <c r="BL314" s="84">
        <v>42309</v>
      </c>
      <c r="BM314" s="86">
        <v>-97.931375000000003</v>
      </c>
      <c r="BN314" s="67"/>
      <c r="BO314" s="88">
        <v>42309</v>
      </c>
      <c r="BP314" s="89">
        <v>2.0459999999999998</v>
      </c>
      <c r="BQ314" s="89">
        <v>2.3065000000000002</v>
      </c>
      <c r="BR314" s="90">
        <f t="shared" si="37"/>
        <v>-0.11294168653804482</v>
      </c>
    </row>
    <row r="315" spans="1:70">
      <c r="A315" s="62">
        <v>42339</v>
      </c>
      <c r="B315" s="63">
        <v>42339</v>
      </c>
      <c r="C315" s="39">
        <v>37.04</v>
      </c>
      <c r="D315" s="64">
        <v>41.73</v>
      </c>
      <c r="E315" s="40">
        <f t="shared" si="38"/>
        <v>-0.11238916846393476</v>
      </c>
      <c r="F315" s="65"/>
      <c r="G315" s="63">
        <v>42339</v>
      </c>
      <c r="H315" s="39">
        <v>18.21</v>
      </c>
      <c r="I315" s="39">
        <v>15.61</v>
      </c>
      <c r="J315" s="40">
        <f t="shared" si="47"/>
        <v>0.16655989750160161</v>
      </c>
      <c r="K315" s="67"/>
      <c r="L315" s="68">
        <v>42339</v>
      </c>
      <c r="M315" s="98">
        <v>2043.94</v>
      </c>
      <c r="N315" s="98">
        <v>2082.9299999999998</v>
      </c>
      <c r="O315" s="70">
        <f t="shared" si="39"/>
        <v>-1.8718823964319342E-2</v>
      </c>
      <c r="P315" s="67"/>
      <c r="Q315" s="38">
        <v>42339</v>
      </c>
      <c r="R315" s="39">
        <v>2.3370000000000002</v>
      </c>
      <c r="S315" s="39">
        <v>2.23</v>
      </c>
      <c r="T315" s="40">
        <f t="shared" si="49"/>
        <v>4.7982062780269175E-2</v>
      </c>
      <c r="U315" s="67"/>
      <c r="V315" s="38">
        <v>42339</v>
      </c>
      <c r="W315" s="39">
        <v>1.1238999999999999</v>
      </c>
      <c r="X315" s="39">
        <v>1.3837999999999999</v>
      </c>
      <c r="Y315" s="40">
        <f t="shared" si="40"/>
        <v>-0.1878161584043937</v>
      </c>
      <c r="Z315" s="67"/>
      <c r="AA315" s="71">
        <v>42339</v>
      </c>
      <c r="AB315" s="99">
        <v>1060.2</v>
      </c>
      <c r="AC315" s="99">
        <v>1064.5999999999999</v>
      </c>
      <c r="AD315" s="73">
        <f t="shared" si="41"/>
        <v>-4.1330077024233081E-3</v>
      </c>
      <c r="AE315" s="67"/>
      <c r="AF315" s="71">
        <v>42339</v>
      </c>
      <c r="AG315" s="72">
        <v>98.63</v>
      </c>
      <c r="AH315" s="72">
        <v>100.23</v>
      </c>
      <c r="AI315" s="73">
        <f t="shared" si="42"/>
        <v>-1.5963284445774772E-2</v>
      </c>
      <c r="AJ315" s="67"/>
      <c r="AK315" s="74">
        <v>42369</v>
      </c>
      <c r="AL315" s="41">
        <v>2.2700000000000001E-2</v>
      </c>
      <c r="AM315" s="41">
        <f t="shared" si="48"/>
        <v>6.0000000000000331E-4</v>
      </c>
      <c r="AN315" s="67"/>
      <c r="AO315" s="75">
        <v>42339</v>
      </c>
      <c r="AP315" s="76">
        <v>695122.25</v>
      </c>
      <c r="AQ315" s="80">
        <f t="shared" si="43"/>
        <v>-4.6754147272620727E-6</v>
      </c>
      <c r="AR315" s="67"/>
      <c r="AS315" s="94">
        <v>42339</v>
      </c>
      <c r="AT315" s="78">
        <v>0.9222499999999999</v>
      </c>
      <c r="AU315" s="67"/>
      <c r="AV315" s="79">
        <v>42339</v>
      </c>
      <c r="AW315" s="76">
        <v>454872.5</v>
      </c>
      <c r="AX315" s="80">
        <f t="shared" si="44"/>
        <v>-2.0036826513334383E-3</v>
      </c>
      <c r="AY315" s="67"/>
      <c r="AZ315" s="81">
        <v>42339</v>
      </c>
      <c r="BA315" s="82">
        <v>148.23687744140625</v>
      </c>
      <c r="BB315" s="82">
        <v>115.224365234375</v>
      </c>
      <c r="BC315" s="67"/>
      <c r="BD315" s="83">
        <v>42353</v>
      </c>
      <c r="BE315" s="42">
        <v>9270</v>
      </c>
      <c r="BF315" s="41">
        <f t="shared" si="45"/>
        <v>-6.2178387650085876E-3</v>
      </c>
      <c r="BG315" s="67"/>
      <c r="BH315" s="84">
        <v>42339</v>
      </c>
      <c r="BI315" s="85">
        <v>99.041700000000006</v>
      </c>
      <c r="BJ315" s="87">
        <f t="shared" si="46"/>
        <v>-4.9040588848765498E-3</v>
      </c>
      <c r="BK315" s="67"/>
      <c r="BL315" s="84">
        <v>42339</v>
      </c>
      <c r="BM315" s="86">
        <v>-109.12184000000001</v>
      </c>
      <c r="BN315" s="67"/>
      <c r="BO315" s="88">
        <v>42339</v>
      </c>
      <c r="BP315" s="89">
        <v>2.1349999999999998</v>
      </c>
      <c r="BQ315" s="89">
        <v>2.0699999999999998</v>
      </c>
      <c r="BR315" s="90">
        <f t="shared" si="37"/>
        <v>3.1400966183574797E-2</v>
      </c>
    </row>
    <row r="316" spans="1:70">
      <c r="A316" s="62">
        <v>42370</v>
      </c>
      <c r="B316" s="63">
        <v>42370</v>
      </c>
      <c r="C316" s="39">
        <v>33.619999999999997</v>
      </c>
      <c r="D316" s="64">
        <v>37.6</v>
      </c>
      <c r="E316" s="40">
        <f t="shared" si="38"/>
        <v>-0.10585106382978737</v>
      </c>
      <c r="F316" s="65"/>
      <c r="G316" s="63">
        <v>42370</v>
      </c>
      <c r="H316" s="39">
        <v>20.2</v>
      </c>
      <c r="I316" s="39">
        <v>22.48</v>
      </c>
      <c r="J316" s="40">
        <f t="shared" si="47"/>
        <v>-0.10142348754448405</v>
      </c>
      <c r="K316" s="67"/>
      <c r="L316" s="68">
        <v>42370</v>
      </c>
      <c r="M316" s="98">
        <v>1940.24</v>
      </c>
      <c r="N316" s="98">
        <v>2038.2</v>
      </c>
      <c r="O316" s="70">
        <f t="shared" si="39"/>
        <v>-4.806201550387601E-2</v>
      </c>
      <c r="P316" s="67"/>
      <c r="Q316" s="38">
        <v>42370</v>
      </c>
      <c r="R316" s="39">
        <v>2.298</v>
      </c>
      <c r="S316" s="39">
        <v>2.3660000000000001</v>
      </c>
      <c r="T316" s="40">
        <f t="shared" si="49"/>
        <v>-2.8740490278951869E-2</v>
      </c>
      <c r="U316" s="67"/>
      <c r="V316" s="38">
        <v>42370</v>
      </c>
      <c r="W316" s="39">
        <v>1.0787</v>
      </c>
      <c r="X316" s="39">
        <v>1.1684000000000001</v>
      </c>
      <c r="Y316" s="40">
        <f t="shared" si="40"/>
        <v>-7.6771653543307172E-2</v>
      </c>
      <c r="Z316" s="67"/>
      <c r="AA316" s="71">
        <v>42370</v>
      </c>
      <c r="AB316" s="99">
        <v>1116.4000000000001</v>
      </c>
      <c r="AC316" s="99">
        <v>1061.5</v>
      </c>
      <c r="AD316" s="73">
        <f t="shared" si="41"/>
        <v>5.171926519076786E-2</v>
      </c>
      <c r="AE316" s="67"/>
      <c r="AF316" s="71">
        <v>42370</v>
      </c>
      <c r="AG316" s="72">
        <v>99.61</v>
      </c>
      <c r="AH316" s="72">
        <v>98.59</v>
      </c>
      <c r="AI316" s="73">
        <f t="shared" si="42"/>
        <v>1.0345876863779191E-2</v>
      </c>
      <c r="AJ316" s="67"/>
      <c r="AK316" s="74">
        <v>42400</v>
      </c>
      <c r="AL316" s="41">
        <v>1.9400000000000001E-2</v>
      </c>
      <c r="AM316" s="41">
        <f t="shared" si="48"/>
        <v>-3.3000000000000008E-3</v>
      </c>
      <c r="AN316" s="67"/>
      <c r="AO316" s="75">
        <v>42370</v>
      </c>
      <c r="AP316" s="76">
        <v>695118.4</v>
      </c>
      <c r="AQ316" s="80">
        <f t="shared" si="43"/>
        <v>-5.5385941105656755E-6</v>
      </c>
      <c r="AR316" s="67"/>
      <c r="AS316" s="94">
        <v>42370</v>
      </c>
      <c r="AT316" s="78">
        <v>0.89659999999999995</v>
      </c>
      <c r="AU316" s="67"/>
      <c r="AV316" s="79">
        <v>42370</v>
      </c>
      <c r="AW316" s="76">
        <v>458442.2</v>
      </c>
      <c r="AX316" s="80">
        <f t="shared" si="44"/>
        <v>7.8476935844660201E-3</v>
      </c>
      <c r="AY316" s="67"/>
      <c r="AZ316" s="81">
        <v>42370</v>
      </c>
      <c r="BA316" s="82">
        <v>118.21114349365234</v>
      </c>
      <c r="BB316" s="82">
        <v>124.23914337158203</v>
      </c>
      <c r="BC316" s="67"/>
      <c r="BD316" s="83">
        <v>42384</v>
      </c>
      <c r="BE316" s="42">
        <v>9209</v>
      </c>
      <c r="BF316" s="41">
        <f t="shared" si="45"/>
        <v>-6.5803667745415462E-3</v>
      </c>
      <c r="BG316" s="67"/>
      <c r="BH316" s="84">
        <v>42370</v>
      </c>
      <c r="BI316" s="85">
        <v>99.560699999999997</v>
      </c>
      <c r="BJ316" s="87">
        <f t="shared" si="46"/>
        <v>5.2402169995062753E-3</v>
      </c>
      <c r="BK316" s="67"/>
      <c r="BL316" s="84">
        <v>42370</v>
      </c>
      <c r="BM316" s="86">
        <v>-138.46969000000001</v>
      </c>
      <c r="BN316" s="67"/>
      <c r="BO316" s="88">
        <v>42370</v>
      </c>
      <c r="BP316" s="89">
        <v>2.0705</v>
      </c>
      <c r="BQ316" s="89">
        <v>2.1335000000000002</v>
      </c>
      <c r="BR316" s="90">
        <f t="shared" si="37"/>
        <v>-2.9528943051324141E-2</v>
      </c>
    </row>
    <row r="317" spans="1:70">
      <c r="A317" s="62">
        <v>42401</v>
      </c>
      <c r="B317" s="63">
        <v>42401</v>
      </c>
      <c r="C317" s="39">
        <v>33.75</v>
      </c>
      <c r="D317" s="64">
        <v>33.83</v>
      </c>
      <c r="E317" s="40">
        <f t="shared" si="38"/>
        <v>-2.3647650014779753E-3</v>
      </c>
      <c r="F317" s="65"/>
      <c r="G317" s="63">
        <v>42401</v>
      </c>
      <c r="H317" s="39">
        <v>20.55</v>
      </c>
      <c r="I317" s="39">
        <v>21.32</v>
      </c>
      <c r="J317" s="40">
        <f t="shared" si="47"/>
        <v>-3.6116322701688519E-2</v>
      </c>
      <c r="K317" s="67"/>
      <c r="L317" s="68">
        <v>42401</v>
      </c>
      <c r="M317" s="98">
        <v>1932.23</v>
      </c>
      <c r="N317" s="98">
        <v>1936.94</v>
      </c>
      <c r="O317" s="70">
        <f t="shared" si="39"/>
        <v>-2.4316705731721733E-3</v>
      </c>
      <c r="P317" s="67"/>
      <c r="Q317" s="38">
        <v>42401</v>
      </c>
      <c r="R317" s="39">
        <v>1.7110000000000001</v>
      </c>
      <c r="S317" s="39">
        <v>2.2130000000000001</v>
      </c>
      <c r="T317" s="40">
        <f t="shared" si="49"/>
        <v>-0.22684139177586982</v>
      </c>
      <c r="U317" s="67"/>
      <c r="V317" s="38">
        <v>42401</v>
      </c>
      <c r="W317" s="39">
        <v>1.0936999999999999</v>
      </c>
      <c r="X317" s="39">
        <v>1.0880000000000001</v>
      </c>
      <c r="Y317" s="40">
        <f t="shared" si="40"/>
        <v>5.2389705882351922E-3</v>
      </c>
      <c r="Z317" s="67"/>
      <c r="AA317" s="71">
        <v>42401</v>
      </c>
      <c r="AB317" s="99">
        <v>1234.4000000000001</v>
      </c>
      <c r="AC317" s="99">
        <v>1118</v>
      </c>
      <c r="AD317" s="73">
        <f t="shared" si="41"/>
        <v>0.10411449016100183</v>
      </c>
      <c r="AE317" s="67"/>
      <c r="AF317" s="71">
        <v>42401</v>
      </c>
      <c r="AG317" s="72">
        <v>98.21</v>
      </c>
      <c r="AH317" s="72">
        <v>99.55</v>
      </c>
      <c r="AI317" s="73">
        <f t="shared" si="42"/>
        <v>-1.346057257659472E-2</v>
      </c>
      <c r="AJ317" s="67"/>
      <c r="AK317" s="74">
        <v>42429</v>
      </c>
      <c r="AL317" s="41">
        <v>1.7399999999999999E-2</v>
      </c>
      <c r="AM317" s="41">
        <f t="shared" si="48"/>
        <v>-2.0000000000000018E-3</v>
      </c>
      <c r="AN317" s="67"/>
      <c r="AO317" s="75">
        <v>42401</v>
      </c>
      <c r="AP317" s="76">
        <v>695115.5</v>
      </c>
      <c r="AQ317" s="80">
        <f t="shared" si="43"/>
        <v>-4.171951138109975E-6</v>
      </c>
      <c r="AR317" s="67"/>
      <c r="AS317" s="94">
        <v>42401</v>
      </c>
      <c r="AT317" s="78">
        <v>0.875</v>
      </c>
      <c r="AU317" s="67"/>
      <c r="AV317" s="79">
        <v>42401</v>
      </c>
      <c r="AW317" s="76">
        <v>476630.75</v>
      </c>
      <c r="AX317" s="80">
        <f t="shared" si="44"/>
        <v>3.967468527112028E-2</v>
      </c>
      <c r="AY317" s="67"/>
      <c r="AZ317" s="81">
        <v>42401</v>
      </c>
      <c r="BA317" s="82">
        <v>103.74964904785156</v>
      </c>
      <c r="BB317" s="82">
        <v>91.322021484375</v>
      </c>
      <c r="BC317" s="67"/>
      <c r="BD317" s="83">
        <v>42415</v>
      </c>
      <c r="BE317" s="42">
        <v>9067</v>
      </c>
      <c r="BF317" s="41">
        <f t="shared" si="45"/>
        <v>-1.541969812140298E-2</v>
      </c>
      <c r="BG317" s="67"/>
      <c r="BH317" s="84">
        <v>42401</v>
      </c>
      <c r="BI317" s="85">
        <v>99.044499999999999</v>
      </c>
      <c r="BJ317" s="87">
        <f t="shared" si="46"/>
        <v>-5.1847767241491871E-3</v>
      </c>
      <c r="BK317" s="67"/>
      <c r="BL317" s="84">
        <v>42401</v>
      </c>
      <c r="BM317" s="86">
        <v>-161.17694</v>
      </c>
      <c r="BN317" s="67"/>
      <c r="BO317" s="88">
        <v>42401</v>
      </c>
      <c r="BP317" s="89">
        <v>2.1324999999999998</v>
      </c>
      <c r="BQ317" s="89">
        <v>2.06</v>
      </c>
      <c r="BR317" s="90">
        <f t="shared" si="37"/>
        <v>3.5194174757281482E-2</v>
      </c>
    </row>
    <row r="318" spans="1:70">
      <c r="A318" s="62">
        <v>42430</v>
      </c>
      <c r="B318" s="63">
        <v>42430</v>
      </c>
      <c r="C318" s="39">
        <v>38.340000000000003</v>
      </c>
      <c r="D318" s="64">
        <v>33.9</v>
      </c>
      <c r="E318" s="40">
        <f t="shared" si="38"/>
        <v>0.13097345132743388</v>
      </c>
      <c r="F318" s="65"/>
      <c r="G318" s="63">
        <v>42430</v>
      </c>
      <c r="H318" s="39">
        <v>13.95</v>
      </c>
      <c r="I318" s="39">
        <v>19.84</v>
      </c>
      <c r="J318" s="40">
        <f t="shared" si="47"/>
        <v>-0.296875</v>
      </c>
      <c r="K318" s="67"/>
      <c r="L318" s="68">
        <v>42430</v>
      </c>
      <c r="M318" s="98">
        <v>2059.7399999999998</v>
      </c>
      <c r="N318" s="98">
        <v>1937.09</v>
      </c>
      <c r="O318" s="70">
        <f t="shared" si="39"/>
        <v>6.3316624421167811E-2</v>
      </c>
      <c r="P318" s="67"/>
      <c r="Q318" s="38">
        <v>42430</v>
      </c>
      <c r="R318" s="39">
        <v>1.9590000000000001</v>
      </c>
      <c r="S318" s="39">
        <v>1.7070000000000001</v>
      </c>
      <c r="T318" s="40">
        <f t="shared" si="49"/>
        <v>0.14762741652021094</v>
      </c>
      <c r="U318" s="67"/>
      <c r="V318" s="38">
        <v>42430</v>
      </c>
      <c r="W318" s="39">
        <v>1.1855</v>
      </c>
      <c r="X318" s="39">
        <v>1.1166</v>
      </c>
      <c r="Y318" s="40">
        <f t="shared" si="40"/>
        <v>6.1705176428443531E-2</v>
      </c>
      <c r="Z318" s="67"/>
      <c r="AA318" s="71">
        <v>42430</v>
      </c>
      <c r="AB318" s="99">
        <v>1235.5999999999999</v>
      </c>
      <c r="AC318" s="99">
        <v>1238.9000000000001</v>
      </c>
      <c r="AD318" s="73">
        <f t="shared" si="41"/>
        <v>-2.6636532407782187E-3</v>
      </c>
      <c r="AE318" s="67"/>
      <c r="AF318" s="71">
        <v>42430</v>
      </c>
      <c r="AG318" s="72">
        <v>94.59</v>
      </c>
      <c r="AH318" s="72">
        <v>98.18</v>
      </c>
      <c r="AI318" s="73">
        <f t="shared" si="42"/>
        <v>-3.6565491953554741E-2</v>
      </c>
      <c r="AJ318" s="67"/>
      <c r="AK318" s="74">
        <v>42460</v>
      </c>
      <c r="AL318" s="41">
        <v>1.78E-2</v>
      </c>
      <c r="AM318" s="41">
        <f t="shared" si="48"/>
        <v>4.0000000000000105E-4</v>
      </c>
      <c r="AN318" s="67"/>
      <c r="AO318" s="75">
        <v>42430</v>
      </c>
      <c r="AP318" s="76">
        <v>695113</v>
      </c>
      <c r="AQ318" s="80">
        <f t="shared" si="43"/>
        <v>-3.5965246063529577E-6</v>
      </c>
      <c r="AR318" s="67"/>
      <c r="AS318" s="94">
        <v>42430</v>
      </c>
      <c r="AT318" s="78">
        <v>0.89224999999999999</v>
      </c>
      <c r="AU318" s="67"/>
      <c r="AV318" s="79">
        <v>42430</v>
      </c>
      <c r="AW318" s="76">
        <v>497084</v>
      </c>
      <c r="AX318" s="80">
        <f t="shared" si="44"/>
        <v>4.2912149499376717E-2</v>
      </c>
      <c r="AY318" s="67"/>
      <c r="AZ318" s="81">
        <v>42430</v>
      </c>
      <c r="BA318" s="82">
        <v>109.72029113769531</v>
      </c>
      <c r="BB318" s="82">
        <v>98.026931762695313</v>
      </c>
      <c r="BC318" s="67"/>
      <c r="BD318" s="83">
        <v>42444</v>
      </c>
      <c r="BE318" s="42">
        <v>9109</v>
      </c>
      <c r="BF318" s="41">
        <f t="shared" si="45"/>
        <v>4.6321826403441513E-3</v>
      </c>
      <c r="BG318" s="67"/>
      <c r="BH318" s="84">
        <v>42430</v>
      </c>
      <c r="BI318" s="85">
        <v>98.309600000000003</v>
      </c>
      <c r="BJ318" s="87">
        <f t="shared" si="46"/>
        <v>-7.4198971169524564E-3</v>
      </c>
      <c r="BK318" s="67"/>
      <c r="BL318" s="84">
        <v>42430</v>
      </c>
      <c r="BM318" s="86">
        <v>-139.08582000000001</v>
      </c>
      <c r="BN318" s="67"/>
      <c r="BO318" s="88">
        <v>42430</v>
      </c>
      <c r="BP318" s="89">
        <v>2.1880000000000002</v>
      </c>
      <c r="BQ318" s="89">
        <v>2.129</v>
      </c>
      <c r="BR318" s="90">
        <f t="shared" si="37"/>
        <v>2.7712541099107701E-2</v>
      </c>
    </row>
    <row r="319" spans="1:70">
      <c r="A319" s="62">
        <v>42461</v>
      </c>
      <c r="B319" s="63">
        <v>42461</v>
      </c>
      <c r="C319" s="39">
        <v>45.92</v>
      </c>
      <c r="D319" s="64">
        <v>38.14</v>
      </c>
      <c r="E319" s="40">
        <f t="shared" si="38"/>
        <v>0.20398531725222857</v>
      </c>
      <c r="F319" s="65"/>
      <c r="G319" s="63">
        <v>42461</v>
      </c>
      <c r="H319" s="39">
        <v>15.7</v>
      </c>
      <c r="I319" s="39">
        <v>15.23</v>
      </c>
      <c r="J319" s="40">
        <f t="shared" si="47"/>
        <v>3.0860144451740013E-2</v>
      </c>
      <c r="K319" s="67"/>
      <c r="L319" s="68">
        <v>42461</v>
      </c>
      <c r="M319" s="98">
        <v>2065.3000000000002</v>
      </c>
      <c r="N319" s="98">
        <v>2056.62</v>
      </c>
      <c r="O319" s="70">
        <f t="shared" si="39"/>
        <v>4.2205171592224477E-3</v>
      </c>
      <c r="P319" s="67"/>
      <c r="Q319" s="38">
        <v>42461</v>
      </c>
      <c r="R319" s="39">
        <v>2.1779999999999999</v>
      </c>
      <c r="S319" s="39">
        <v>1.9630000000000001</v>
      </c>
      <c r="T319" s="40">
        <f t="shared" si="49"/>
        <v>0.10952623535404982</v>
      </c>
      <c r="U319" s="67"/>
      <c r="V319" s="38">
        <v>42461</v>
      </c>
      <c r="W319" s="39">
        <v>1.3859999999999999</v>
      </c>
      <c r="X319" s="39">
        <v>1.1963999999999999</v>
      </c>
      <c r="Y319" s="40">
        <f t="shared" si="40"/>
        <v>0.1584754262788366</v>
      </c>
      <c r="Z319" s="67"/>
      <c r="AA319" s="71">
        <v>42461</v>
      </c>
      <c r="AB319" s="99">
        <v>1290.5</v>
      </c>
      <c r="AC319" s="99">
        <v>1234.0999999999999</v>
      </c>
      <c r="AD319" s="73">
        <f t="shared" si="41"/>
        <v>4.5701320800583423E-2</v>
      </c>
      <c r="AE319" s="67"/>
      <c r="AF319" s="71">
        <v>42461</v>
      </c>
      <c r="AG319" s="72">
        <v>93.08</v>
      </c>
      <c r="AH319" s="72">
        <v>94.64</v>
      </c>
      <c r="AI319" s="73">
        <f t="shared" si="42"/>
        <v>-1.6483516483516536E-2</v>
      </c>
      <c r="AJ319" s="67"/>
      <c r="AK319" s="74">
        <v>42490</v>
      </c>
      <c r="AL319" s="41">
        <v>1.83E-2</v>
      </c>
      <c r="AM319" s="41">
        <f t="shared" si="48"/>
        <v>5.0000000000000044E-4</v>
      </c>
      <c r="AN319" s="67"/>
      <c r="AO319" s="75">
        <v>42461</v>
      </c>
      <c r="AP319" s="76">
        <v>695111</v>
      </c>
      <c r="AQ319" s="80">
        <f t="shared" si="43"/>
        <v>-2.8772300331159073E-6</v>
      </c>
      <c r="AR319" s="67"/>
      <c r="AS319" s="94">
        <v>42461</v>
      </c>
      <c r="AT319" s="78">
        <v>0.89560000000000006</v>
      </c>
      <c r="AU319" s="67"/>
      <c r="AV319" s="79">
        <v>42461</v>
      </c>
      <c r="AW319" s="76">
        <v>506509.6</v>
      </c>
      <c r="AX319" s="80">
        <f t="shared" si="44"/>
        <v>1.8961785130883202E-2</v>
      </c>
      <c r="AY319" s="67"/>
      <c r="AZ319" s="81">
        <v>42461</v>
      </c>
      <c r="BA319" s="82">
        <v>85.221450805664063</v>
      </c>
      <c r="BB319" s="82">
        <v>80.822441101074219</v>
      </c>
      <c r="BC319" s="67"/>
      <c r="BD319" s="83">
        <v>42475</v>
      </c>
      <c r="BE319" s="42">
        <v>8880</v>
      </c>
      <c r="BF319" s="41">
        <f t="shared" si="45"/>
        <v>-2.5139971456800914E-2</v>
      </c>
      <c r="BG319" s="67"/>
      <c r="BH319" s="84">
        <v>42461</v>
      </c>
      <c r="BI319" s="85">
        <v>98.642099999999999</v>
      </c>
      <c r="BJ319" s="87">
        <f t="shared" si="46"/>
        <v>3.3821722395370735E-3</v>
      </c>
      <c r="BK319" s="67"/>
      <c r="BL319" s="84">
        <v>42461</v>
      </c>
      <c r="BM319" s="86">
        <v>-93.259978000000004</v>
      </c>
      <c r="BN319" s="67"/>
      <c r="BO319" s="88">
        <v>42461</v>
      </c>
      <c r="BP319" s="89">
        <v>2.2835000000000001</v>
      </c>
      <c r="BQ319" s="89">
        <v>2.19</v>
      </c>
      <c r="BR319" s="90">
        <f t="shared" si="37"/>
        <v>4.269406392694064E-2</v>
      </c>
    </row>
    <row r="320" spans="1:70">
      <c r="A320" s="62">
        <v>42491</v>
      </c>
      <c r="B320" s="63">
        <v>42491</v>
      </c>
      <c r="C320" s="39">
        <v>49.1</v>
      </c>
      <c r="D320" s="64">
        <v>45.9</v>
      </c>
      <c r="E320" s="40">
        <f t="shared" si="38"/>
        <v>6.9716775599128589E-2</v>
      </c>
      <c r="F320" s="65"/>
      <c r="G320" s="63">
        <v>42491</v>
      </c>
      <c r="H320" s="39">
        <v>14.19</v>
      </c>
      <c r="I320" s="39">
        <v>16.329999999999998</v>
      </c>
      <c r="J320" s="40">
        <f t="shared" si="47"/>
        <v>-0.13104715248009791</v>
      </c>
      <c r="K320" s="67"/>
      <c r="L320" s="68">
        <v>42491</v>
      </c>
      <c r="M320" s="98">
        <v>2096.96</v>
      </c>
      <c r="N320" s="98">
        <v>2067.17</v>
      </c>
      <c r="O320" s="70">
        <f t="shared" si="39"/>
        <v>1.4411006351678912E-2</v>
      </c>
      <c r="P320" s="67"/>
      <c r="Q320" s="38">
        <v>42491</v>
      </c>
      <c r="R320" s="39">
        <v>2.2879999999999998</v>
      </c>
      <c r="S320" s="39">
        <v>2.1320000000000001</v>
      </c>
      <c r="T320" s="40">
        <f t="shared" si="49"/>
        <v>7.3170731707316916E-2</v>
      </c>
      <c r="U320" s="67"/>
      <c r="V320" s="38">
        <v>42491</v>
      </c>
      <c r="W320" s="39">
        <v>1.4971000000000001</v>
      </c>
      <c r="X320" s="39">
        <v>1.3884000000000001</v>
      </c>
      <c r="Y320" s="40">
        <f t="shared" si="40"/>
        <v>7.8291558628637237E-2</v>
      </c>
      <c r="Z320" s="67"/>
      <c r="AA320" s="71">
        <v>42491</v>
      </c>
      <c r="AB320" s="99">
        <v>1217.5</v>
      </c>
      <c r="AC320" s="99">
        <v>1293.2</v>
      </c>
      <c r="AD320" s="73">
        <f t="shared" si="41"/>
        <v>-5.8536962573461193E-2</v>
      </c>
      <c r="AE320" s="67"/>
      <c r="AF320" s="71">
        <v>42491</v>
      </c>
      <c r="AG320" s="72">
        <v>95.89</v>
      </c>
      <c r="AH320" s="72">
        <v>93.02</v>
      </c>
      <c r="AI320" s="73">
        <f t="shared" si="42"/>
        <v>3.0853579875295578E-2</v>
      </c>
      <c r="AJ320" s="67"/>
      <c r="AK320" s="74">
        <v>42521</v>
      </c>
      <c r="AL320" s="41">
        <v>1.84E-2</v>
      </c>
      <c r="AM320" s="41">
        <f t="shared" si="48"/>
        <v>9.9999999999999395E-5</v>
      </c>
      <c r="AN320" s="67"/>
      <c r="AO320" s="92">
        <v>42491</v>
      </c>
      <c r="AP320" s="76">
        <v>695106.5</v>
      </c>
      <c r="AQ320" s="80">
        <f t="shared" si="43"/>
        <v>-6.4737862010000313E-6</v>
      </c>
      <c r="AR320" s="67"/>
      <c r="AS320" s="97">
        <v>42491</v>
      </c>
      <c r="AT320" s="78">
        <v>0.89775000000000005</v>
      </c>
      <c r="AU320" s="67"/>
      <c r="AV320" s="93">
        <v>42491</v>
      </c>
      <c r="AW320" s="76">
        <v>507015</v>
      </c>
      <c r="AX320" s="80">
        <f t="shared" si="44"/>
        <v>9.9780932088955332E-4</v>
      </c>
      <c r="AY320" s="67"/>
      <c r="AZ320" s="81">
        <v>42491</v>
      </c>
      <c r="BA320" s="82">
        <v>88.332420349121094</v>
      </c>
      <c r="BB320" s="82">
        <v>84.46136474609375</v>
      </c>
      <c r="BC320" s="67"/>
      <c r="BD320" s="83">
        <v>42505</v>
      </c>
      <c r="BE320" s="42">
        <v>8839</v>
      </c>
      <c r="BF320" s="41">
        <f t="shared" si="45"/>
        <v>-4.6171171171170977E-3</v>
      </c>
      <c r="BG320" s="67"/>
      <c r="BH320" s="84">
        <v>42491</v>
      </c>
      <c r="BI320" s="85">
        <v>98.418400000000005</v>
      </c>
      <c r="BJ320" s="87">
        <f t="shared" si="46"/>
        <v>-2.2677943798843359E-3</v>
      </c>
      <c r="BK320" s="67"/>
      <c r="BL320" s="84">
        <v>42491</v>
      </c>
      <c r="BM320" s="86">
        <v>-91.304220999999998</v>
      </c>
      <c r="BN320" s="67"/>
      <c r="BO320" s="88">
        <v>42491</v>
      </c>
      <c r="BP320" s="89">
        <v>2.1</v>
      </c>
      <c r="BQ320" s="89">
        <v>2.2869999999999999</v>
      </c>
      <c r="BR320" s="90">
        <f t="shared" si="37"/>
        <v>-8.1766506340183565E-2</v>
      </c>
    </row>
    <row r="321" spans="1:70">
      <c r="A321" s="62">
        <v>42522</v>
      </c>
      <c r="B321" s="63">
        <v>42522</v>
      </c>
      <c r="C321" s="39">
        <v>48.33</v>
      </c>
      <c r="D321" s="64">
        <v>48.82</v>
      </c>
      <c r="E321" s="40">
        <f t="shared" si="38"/>
        <v>-1.0036870135190501E-2</v>
      </c>
      <c r="F321" s="65"/>
      <c r="G321" s="63">
        <v>42522</v>
      </c>
      <c r="H321" s="39">
        <v>15.63</v>
      </c>
      <c r="I321" s="39">
        <v>14.45</v>
      </c>
      <c r="J321" s="40">
        <f t="shared" si="47"/>
        <v>8.166089965397938E-2</v>
      </c>
      <c r="K321" s="67"/>
      <c r="L321" s="68">
        <v>42522</v>
      </c>
      <c r="M321" s="98">
        <v>2098.86</v>
      </c>
      <c r="N321" s="98">
        <v>2093.94</v>
      </c>
      <c r="O321" s="70">
        <f t="shared" si="39"/>
        <v>2.3496375254306034E-3</v>
      </c>
      <c r="P321" s="67"/>
      <c r="Q321" s="38">
        <v>42522</v>
      </c>
      <c r="R321" s="39">
        <v>2.9239999999999999</v>
      </c>
      <c r="S321" s="39">
        <v>2.2869999999999999</v>
      </c>
      <c r="T321" s="40">
        <f t="shared" si="49"/>
        <v>0.27853082641014426</v>
      </c>
      <c r="U321" s="67"/>
      <c r="V321" s="38">
        <v>42522</v>
      </c>
      <c r="W321" s="39">
        <v>1.4886999999999999</v>
      </c>
      <c r="X321" s="39">
        <v>1.4970000000000001</v>
      </c>
      <c r="Y321" s="40">
        <f t="shared" si="40"/>
        <v>-5.5444221776888014E-3</v>
      </c>
      <c r="Z321" s="67"/>
      <c r="AA321" s="71">
        <v>42522</v>
      </c>
      <c r="AB321" s="99">
        <v>1320.6</v>
      </c>
      <c r="AC321" s="99">
        <v>1217.9000000000001</v>
      </c>
      <c r="AD321" s="73">
        <f t="shared" si="41"/>
        <v>8.432547828228909E-2</v>
      </c>
      <c r="AE321" s="67"/>
      <c r="AF321" s="71">
        <v>42522</v>
      </c>
      <c r="AG321" s="72">
        <v>96.14</v>
      </c>
      <c r="AH321" s="72">
        <v>95.81</v>
      </c>
      <c r="AI321" s="73">
        <f t="shared" si="42"/>
        <v>3.4443168771527422E-3</v>
      </c>
      <c r="AJ321" s="67"/>
      <c r="AK321" s="74">
        <v>42551</v>
      </c>
      <c r="AL321" s="41">
        <v>1.49E-2</v>
      </c>
      <c r="AM321" s="41">
        <f t="shared" si="48"/>
        <v>-3.4999999999999996E-3</v>
      </c>
      <c r="AN321" s="67"/>
      <c r="AO321" s="75">
        <v>42522</v>
      </c>
      <c r="AP321" s="76">
        <v>695104</v>
      </c>
      <c r="AQ321" s="80">
        <f t="shared" si="43"/>
        <v>-3.5965711728813687E-6</v>
      </c>
      <c r="AR321" s="67"/>
      <c r="AS321" s="94">
        <v>42522</v>
      </c>
      <c r="AT321" s="78">
        <v>0.91349999999999998</v>
      </c>
      <c r="AU321" s="67"/>
      <c r="AV321" s="79">
        <v>42522</v>
      </c>
      <c r="AW321" s="76">
        <v>499672.5</v>
      </c>
      <c r="AX321" s="80">
        <f t="shared" si="44"/>
        <v>-1.4481820064495166E-2</v>
      </c>
      <c r="AY321" s="67"/>
      <c r="AZ321" s="81">
        <v>42522</v>
      </c>
      <c r="BA321" s="82">
        <v>90.168128967285156</v>
      </c>
      <c r="BB321" s="82">
        <v>80.512863159179688</v>
      </c>
      <c r="BC321" s="67"/>
      <c r="BD321" s="83">
        <v>42536</v>
      </c>
      <c r="BE321" s="42">
        <v>8679</v>
      </c>
      <c r="BF321" s="41">
        <f t="shared" si="45"/>
        <v>-1.8101595203077303E-2</v>
      </c>
      <c r="BG321" s="67"/>
      <c r="BH321" s="84">
        <v>42522</v>
      </c>
      <c r="BI321" s="85">
        <v>98.883300000000006</v>
      </c>
      <c r="BJ321" s="87">
        <f t="shared" si="46"/>
        <v>4.7237102005315279E-3</v>
      </c>
      <c r="BK321" s="67"/>
      <c r="BL321" s="84">
        <v>42522</v>
      </c>
      <c r="BM321" s="86">
        <v>-93.374823000000006</v>
      </c>
      <c r="BN321" s="67"/>
      <c r="BO321" s="88">
        <v>42522</v>
      </c>
      <c r="BP321" s="89">
        <v>2.1955</v>
      </c>
      <c r="BQ321" s="89">
        <v>2.0895000000000001</v>
      </c>
      <c r="BR321" s="90">
        <f t="shared" si="37"/>
        <v>5.0729839674563237E-2</v>
      </c>
    </row>
    <row r="322" spans="1:70">
      <c r="A322" s="62">
        <v>42552</v>
      </c>
      <c r="B322" s="63">
        <v>42552</v>
      </c>
      <c r="C322" s="39">
        <v>41.6</v>
      </c>
      <c r="D322" s="64">
        <v>48.38</v>
      </c>
      <c r="E322" s="40">
        <f t="shared" si="38"/>
        <v>-0.14014055394791236</v>
      </c>
      <c r="F322" s="65"/>
      <c r="G322" s="63">
        <v>42552</v>
      </c>
      <c r="H322" s="39">
        <v>11.87</v>
      </c>
      <c r="I322" s="39">
        <v>15.59</v>
      </c>
      <c r="J322" s="40">
        <f t="shared" si="47"/>
        <v>-0.23861449647209754</v>
      </c>
      <c r="K322" s="67"/>
      <c r="L322" s="68">
        <v>42552</v>
      </c>
      <c r="M322" s="98">
        <v>2173.6</v>
      </c>
      <c r="N322" s="98">
        <v>2099.34</v>
      </c>
      <c r="O322" s="70">
        <f t="shared" si="39"/>
        <v>3.5373021997389564E-2</v>
      </c>
      <c r="P322" s="67"/>
      <c r="Q322" s="38">
        <v>42552</v>
      </c>
      <c r="R322" s="39">
        <v>2.8759999999999999</v>
      </c>
      <c r="S322" s="39">
        <v>2.931</v>
      </c>
      <c r="T322" s="40">
        <f t="shared" si="49"/>
        <v>-1.876492664619589E-2</v>
      </c>
      <c r="U322" s="67"/>
      <c r="V322" s="38">
        <v>42552</v>
      </c>
      <c r="W322" s="39">
        <v>1.3075000000000001</v>
      </c>
      <c r="X322" s="39">
        <v>1.5116000000000001</v>
      </c>
      <c r="Y322" s="40">
        <f t="shared" si="40"/>
        <v>-0.13502249272294253</v>
      </c>
      <c r="Z322" s="67"/>
      <c r="AA322" s="71">
        <v>42552</v>
      </c>
      <c r="AB322" s="99">
        <v>1357.5</v>
      </c>
      <c r="AC322" s="99">
        <v>1324.8</v>
      </c>
      <c r="AD322" s="73">
        <f t="shared" si="41"/>
        <v>2.4682971014492683E-2</v>
      </c>
      <c r="AE322" s="67"/>
      <c r="AF322" s="71">
        <v>42552</v>
      </c>
      <c r="AG322" s="72">
        <v>95.53</v>
      </c>
      <c r="AH322" s="72">
        <v>95.89</v>
      </c>
      <c r="AI322" s="73">
        <f t="shared" si="42"/>
        <v>-3.7543018041505949E-3</v>
      </c>
      <c r="AJ322" s="67"/>
      <c r="AK322" s="74">
        <v>42582</v>
      </c>
      <c r="AL322" s="41">
        <v>1.46E-2</v>
      </c>
      <c r="AM322" s="41">
        <f t="shared" si="48"/>
        <v>-2.9999999999999992E-4</v>
      </c>
      <c r="AN322" s="67"/>
      <c r="AO322" s="75">
        <v>42552</v>
      </c>
      <c r="AP322" s="76">
        <v>695099.8</v>
      </c>
      <c r="AQ322" s="80">
        <f t="shared" si="43"/>
        <v>-6.0422613018529248E-6</v>
      </c>
      <c r="AR322" s="67"/>
      <c r="AS322" s="94">
        <v>42552</v>
      </c>
      <c r="AT322" s="78">
        <v>0.9274</v>
      </c>
      <c r="AU322" s="67"/>
      <c r="AV322" s="79">
        <v>42552</v>
      </c>
      <c r="AW322" s="76">
        <v>491227</v>
      </c>
      <c r="AX322" s="80">
        <f t="shared" si="44"/>
        <v>-1.6902070856410933E-2</v>
      </c>
      <c r="AY322" s="67"/>
      <c r="AZ322" s="81">
        <v>42552</v>
      </c>
      <c r="BA322" s="82">
        <v>114.61045074462891</v>
      </c>
      <c r="BB322" s="82">
        <v>97.098045349121094</v>
      </c>
      <c r="BC322" s="67"/>
      <c r="BD322" s="83">
        <v>42566</v>
      </c>
      <c r="BE322" s="42">
        <v>8669</v>
      </c>
      <c r="BF322" s="41">
        <f t="shared" si="45"/>
        <v>-1.1522064754003747E-3</v>
      </c>
      <c r="BG322" s="67"/>
      <c r="BH322" s="84">
        <v>42552</v>
      </c>
      <c r="BI322" s="85">
        <v>98.999200000000002</v>
      </c>
      <c r="BJ322" s="87">
        <f t="shared" si="46"/>
        <v>1.1720887146766668E-3</v>
      </c>
      <c r="BK322" s="67"/>
      <c r="BL322" s="84">
        <v>42552</v>
      </c>
      <c r="BM322" s="86">
        <v>-77.988462999999996</v>
      </c>
      <c r="BN322" s="67"/>
      <c r="BO322" s="88">
        <v>42552</v>
      </c>
      <c r="BP322" s="89">
        <v>2.2250000000000001</v>
      </c>
      <c r="BQ322" s="89">
        <v>2.2014999999999998</v>
      </c>
      <c r="BR322" s="90">
        <f t="shared" si="37"/>
        <v>1.0674540086304862E-2</v>
      </c>
    </row>
    <row r="323" spans="1:70">
      <c r="A323" s="62">
        <v>42583</v>
      </c>
      <c r="B323" s="63">
        <v>42583</v>
      </c>
      <c r="C323" s="39">
        <v>44.7</v>
      </c>
      <c r="D323" s="64">
        <v>41.35</v>
      </c>
      <c r="E323" s="40">
        <f t="shared" si="38"/>
        <v>8.1015719467956604E-2</v>
      </c>
      <c r="F323" s="65"/>
      <c r="G323" s="63">
        <v>42583</v>
      </c>
      <c r="H323" s="39">
        <v>13.42</v>
      </c>
      <c r="I323" s="39">
        <v>11.89</v>
      </c>
      <c r="J323" s="40">
        <f t="shared" si="47"/>
        <v>0.12867956265769553</v>
      </c>
      <c r="K323" s="67"/>
      <c r="L323" s="68">
        <v>42583</v>
      </c>
      <c r="M323" s="98">
        <v>2170.9499999999998</v>
      </c>
      <c r="N323" s="98">
        <v>2173.15</v>
      </c>
      <c r="O323" s="70">
        <f t="shared" si="39"/>
        <v>-1.0123553367232807E-3</v>
      </c>
      <c r="P323" s="67"/>
      <c r="Q323" s="38">
        <v>42583</v>
      </c>
      <c r="R323" s="39">
        <v>2.887</v>
      </c>
      <c r="S323" s="39">
        <v>2.84</v>
      </c>
      <c r="T323" s="40">
        <f t="shared" si="49"/>
        <v>1.6549295774648032E-2</v>
      </c>
      <c r="U323" s="67"/>
      <c r="V323" s="38">
        <v>42583</v>
      </c>
      <c r="W323" s="39">
        <v>1.4257</v>
      </c>
      <c r="X323" s="39">
        <v>1.3272999999999999</v>
      </c>
      <c r="Y323" s="40">
        <f t="shared" si="40"/>
        <v>7.4135462969939114E-2</v>
      </c>
      <c r="Z323" s="67"/>
      <c r="AA323" s="71">
        <v>42583</v>
      </c>
      <c r="AB323" s="99">
        <v>1311.4</v>
      </c>
      <c r="AC323" s="99">
        <v>1357.2</v>
      </c>
      <c r="AD323" s="73">
        <f t="shared" si="41"/>
        <v>-3.3745947539050913E-2</v>
      </c>
      <c r="AE323" s="67"/>
      <c r="AF323" s="71">
        <v>42583</v>
      </c>
      <c r="AG323" s="72">
        <v>96.02</v>
      </c>
      <c r="AH323" s="72">
        <v>95.59</v>
      </c>
      <c r="AI323" s="73">
        <f t="shared" si="42"/>
        <v>4.4983784914738312E-3</v>
      </c>
      <c r="AJ323" s="67"/>
      <c r="AK323" s="74">
        <v>42613</v>
      </c>
      <c r="AL323" s="41">
        <v>1.5800000000000002E-2</v>
      </c>
      <c r="AM323" s="41">
        <f t="shared" si="48"/>
        <v>1.2000000000000014E-3</v>
      </c>
      <c r="AN323" s="67"/>
      <c r="AO323" s="75">
        <v>42583</v>
      </c>
      <c r="AP323" s="76">
        <v>695095.25</v>
      </c>
      <c r="AQ323" s="80">
        <f t="shared" si="43"/>
        <v>-6.5458226287118393E-6</v>
      </c>
      <c r="AR323" s="67"/>
      <c r="AS323" s="94">
        <v>42583</v>
      </c>
      <c r="AT323" s="78">
        <v>0.92749999999999999</v>
      </c>
      <c r="AU323" s="67"/>
      <c r="AV323" s="79">
        <v>42583</v>
      </c>
      <c r="AW323" s="76">
        <v>492907.5</v>
      </c>
      <c r="AX323" s="80">
        <f t="shared" si="44"/>
        <v>3.4210253100908083E-3</v>
      </c>
      <c r="AY323" s="67"/>
      <c r="AZ323" s="81">
        <v>42583</v>
      </c>
      <c r="BA323" s="82">
        <v>98.738487243652344</v>
      </c>
      <c r="BB323" s="82">
        <v>82.440467834472656</v>
      </c>
      <c r="BC323" s="67"/>
      <c r="BD323" s="83">
        <v>42597</v>
      </c>
      <c r="BE323" s="42">
        <v>8695</v>
      </c>
      <c r="BF323" s="41">
        <f t="shared" si="45"/>
        <v>2.9991925250894003E-3</v>
      </c>
      <c r="BG323" s="67"/>
      <c r="BH323" s="84">
        <v>42583</v>
      </c>
      <c r="BI323" s="85">
        <v>98.85</v>
      </c>
      <c r="BJ323" s="87">
        <f t="shared" si="46"/>
        <v>-1.5070828855183738E-3</v>
      </c>
      <c r="BK323" s="67"/>
      <c r="BL323" s="84">
        <v>42583</v>
      </c>
      <c r="BM323" s="86">
        <v>-83.008488</v>
      </c>
      <c r="BN323" s="67"/>
      <c r="BO323" s="88">
        <v>42583</v>
      </c>
      <c r="BP323" s="89">
        <v>2.0750000000000002</v>
      </c>
      <c r="BQ323" s="89">
        <v>2.2290000000000001</v>
      </c>
      <c r="BR323" s="90">
        <f t="shared" si="37"/>
        <v>-6.9089277703005769E-2</v>
      </c>
    </row>
    <row r="324" spans="1:70">
      <c r="A324" s="62">
        <v>42614</v>
      </c>
      <c r="B324" s="63">
        <v>42614</v>
      </c>
      <c r="C324" s="39">
        <v>48.24</v>
      </c>
      <c r="D324" s="64">
        <v>44.85</v>
      </c>
      <c r="E324" s="40">
        <f t="shared" ref="E324:E387" si="50">C324/D324-1</f>
        <v>7.558528428093636E-2</v>
      </c>
      <c r="F324" s="65"/>
      <c r="G324" s="63">
        <v>42614</v>
      </c>
      <c r="H324" s="39">
        <v>13.29</v>
      </c>
      <c r="I324" s="39">
        <v>13.07</v>
      </c>
      <c r="J324" s="40">
        <f t="shared" si="47"/>
        <v>1.6832440703901996E-2</v>
      </c>
      <c r="K324" s="67"/>
      <c r="L324" s="68">
        <v>42614</v>
      </c>
      <c r="M324" s="98">
        <v>2168.27</v>
      </c>
      <c r="N324" s="98">
        <v>2171.33</v>
      </c>
      <c r="O324" s="70">
        <f t="shared" ref="O324:O387" si="51">M324/N324-1</f>
        <v>-1.4092744999608664E-3</v>
      </c>
      <c r="P324" s="67"/>
      <c r="Q324" s="38">
        <v>42614</v>
      </c>
      <c r="R324" s="39">
        <v>2.9060000000000001</v>
      </c>
      <c r="S324" s="39">
        <v>2.879</v>
      </c>
      <c r="T324" s="40">
        <f t="shared" si="49"/>
        <v>9.3782563390065743E-3</v>
      </c>
      <c r="U324" s="67"/>
      <c r="V324" s="38">
        <v>42614</v>
      </c>
      <c r="W324" s="39">
        <v>1.5383</v>
      </c>
      <c r="X324" s="39">
        <v>1.4503999999999999</v>
      </c>
      <c r="Y324" s="40">
        <f t="shared" ref="Y324:Y387" si="52">W324/X324-1</f>
        <v>6.0603971318257122E-2</v>
      </c>
      <c r="Z324" s="67"/>
      <c r="AA324" s="71">
        <v>42614</v>
      </c>
      <c r="AB324" s="99">
        <v>1317.1</v>
      </c>
      <c r="AC324" s="99">
        <v>1311.7</v>
      </c>
      <c r="AD324" s="73">
        <f t="shared" ref="AD324:AD387" si="53">AB324/AC324-1</f>
        <v>4.1167949988563102E-3</v>
      </c>
      <c r="AE324" s="67"/>
      <c r="AF324" s="71">
        <v>42614</v>
      </c>
      <c r="AG324" s="72">
        <v>95.46</v>
      </c>
      <c r="AH324" s="72">
        <v>95.98</v>
      </c>
      <c r="AI324" s="73">
        <f t="shared" ref="AI324:AI387" si="54">AG324/AH324-1</f>
        <v>-5.417795374036416E-3</v>
      </c>
      <c r="AJ324" s="67"/>
      <c r="AK324" s="74">
        <v>42643</v>
      </c>
      <c r="AL324" s="41">
        <v>1.6E-2</v>
      </c>
      <c r="AM324" s="41">
        <f t="shared" si="48"/>
        <v>1.9999999999999879E-4</v>
      </c>
      <c r="AN324" s="67"/>
      <c r="AO324" s="75">
        <v>42614</v>
      </c>
      <c r="AP324" s="76">
        <v>695092.2</v>
      </c>
      <c r="AQ324" s="80">
        <f t="shared" si="43"/>
        <v>-4.3878878470682281E-6</v>
      </c>
      <c r="AR324" s="67"/>
      <c r="AS324" s="94">
        <v>42614</v>
      </c>
      <c r="AT324" s="78">
        <v>0.91400000000000003</v>
      </c>
      <c r="AU324" s="67"/>
      <c r="AV324" s="79">
        <v>42614</v>
      </c>
      <c r="AW324" s="76">
        <v>475209.8</v>
      </c>
      <c r="AX324" s="80">
        <f t="shared" si="44"/>
        <v>-3.5904708287051834E-2</v>
      </c>
      <c r="AY324" s="67"/>
      <c r="AZ324" s="81">
        <v>42614</v>
      </c>
      <c r="BA324" s="82">
        <v>104.54522705078125</v>
      </c>
      <c r="BB324" s="82">
        <v>95.489593505859375</v>
      </c>
      <c r="BC324" s="67"/>
      <c r="BD324" s="83">
        <v>42628</v>
      </c>
      <c r="BE324" s="42">
        <v>8547</v>
      </c>
      <c r="BF324" s="41">
        <f t="shared" si="45"/>
        <v>-1.7021276595744705E-2</v>
      </c>
      <c r="BG324" s="67"/>
      <c r="BH324" s="84">
        <v>42614</v>
      </c>
      <c r="BI324" s="85">
        <v>98.745699999999999</v>
      </c>
      <c r="BJ324" s="87">
        <f t="shared" si="46"/>
        <v>-1.0551340414769461E-3</v>
      </c>
      <c r="BK324" s="67"/>
      <c r="BL324" s="84">
        <v>42614</v>
      </c>
      <c r="BM324" s="86">
        <v>-62.390258000000003</v>
      </c>
      <c r="BN324" s="67"/>
      <c r="BO324" s="88">
        <v>42614</v>
      </c>
      <c r="BP324" s="89">
        <v>2.2105000000000001</v>
      </c>
      <c r="BQ324" s="89">
        <v>2.0840000000000001</v>
      </c>
      <c r="BR324" s="90">
        <f t="shared" si="37"/>
        <v>6.0700575815739066E-2</v>
      </c>
    </row>
    <row r="325" spans="1:70">
      <c r="A325" s="62">
        <v>42644</v>
      </c>
      <c r="B325" s="63">
        <v>42644</v>
      </c>
      <c r="C325" s="39">
        <v>46.86</v>
      </c>
      <c r="D325" s="64">
        <v>48.04</v>
      </c>
      <c r="E325" s="40">
        <f t="shared" si="50"/>
        <v>-2.4562864279766838E-2</v>
      </c>
      <c r="F325" s="65"/>
      <c r="G325" s="63">
        <v>42644</v>
      </c>
      <c r="H325" s="39">
        <v>17.059999999999999</v>
      </c>
      <c r="I325" s="39">
        <v>13.75</v>
      </c>
      <c r="J325" s="40">
        <f t="shared" ref="J325:J388" si="55">H325/I325-1</f>
        <v>0.24072727272727268</v>
      </c>
      <c r="K325" s="67"/>
      <c r="L325" s="68">
        <v>42644</v>
      </c>
      <c r="M325" s="98">
        <v>2126.15</v>
      </c>
      <c r="N325" s="98">
        <v>2164.33</v>
      </c>
      <c r="O325" s="70">
        <f t="shared" si="51"/>
        <v>-1.7640563130391307E-2</v>
      </c>
      <c r="P325" s="67"/>
      <c r="Q325" s="38">
        <v>42644</v>
      </c>
      <c r="R325" s="39">
        <v>3.0259999999999998</v>
      </c>
      <c r="S325" s="39">
        <v>2.9049999999999998</v>
      </c>
      <c r="T325" s="40">
        <f t="shared" si="49"/>
        <v>4.1652323580034345E-2</v>
      </c>
      <c r="U325" s="67"/>
      <c r="V325" s="38">
        <v>42644</v>
      </c>
      <c r="W325" s="39">
        <v>1.5039</v>
      </c>
      <c r="X325" s="39">
        <v>1.5455000000000001</v>
      </c>
      <c r="Y325" s="40">
        <f t="shared" si="52"/>
        <v>-2.6916855386606375E-2</v>
      </c>
      <c r="Z325" s="67"/>
      <c r="AA325" s="71">
        <v>42644</v>
      </c>
      <c r="AB325" s="99">
        <v>1273.0999999999999</v>
      </c>
      <c r="AC325" s="99">
        <v>1321</v>
      </c>
      <c r="AD325" s="73">
        <f t="shared" si="53"/>
        <v>-3.6260408781226383E-2</v>
      </c>
      <c r="AE325" s="67"/>
      <c r="AF325" s="71">
        <v>42644</v>
      </c>
      <c r="AG325" s="72">
        <v>98.44</v>
      </c>
      <c r="AH325" s="72">
        <v>95.54</v>
      </c>
      <c r="AI325" s="73">
        <f t="shared" si="54"/>
        <v>3.0353778522084873E-2</v>
      </c>
      <c r="AJ325" s="67"/>
      <c r="AK325" s="74">
        <v>42674</v>
      </c>
      <c r="AL325" s="41">
        <v>1.84E-2</v>
      </c>
      <c r="AM325" s="41">
        <f t="shared" si="48"/>
        <v>2.3999999999999994E-3</v>
      </c>
      <c r="AN325" s="67"/>
      <c r="AO325" s="75">
        <v>42644</v>
      </c>
      <c r="AP325" s="76">
        <v>695089</v>
      </c>
      <c r="AQ325" s="80">
        <f t="shared" si="43"/>
        <v>-4.6037058104575479E-6</v>
      </c>
      <c r="AR325" s="67"/>
      <c r="AS325" s="94">
        <v>42644</v>
      </c>
      <c r="AT325" s="78">
        <v>0.85325000000000006</v>
      </c>
      <c r="AU325" s="67"/>
      <c r="AV325" s="79">
        <v>42644</v>
      </c>
      <c r="AW325" s="76">
        <v>473351.25</v>
      </c>
      <c r="AX325" s="80">
        <f t="shared" si="44"/>
        <v>-3.9110094110011984E-3</v>
      </c>
      <c r="AY325" s="67"/>
      <c r="AZ325" s="81">
        <v>42644</v>
      </c>
      <c r="BA325" s="82">
        <v>85.747787475585938</v>
      </c>
      <c r="BB325" s="82">
        <v>79.648086547851563</v>
      </c>
      <c r="BC325" s="67"/>
      <c r="BD325" s="83">
        <v>42658</v>
      </c>
      <c r="BE325" s="42">
        <v>8809</v>
      </c>
      <c r="BF325" s="41">
        <f t="shared" si="45"/>
        <v>3.0654030654030606E-2</v>
      </c>
      <c r="BG325" s="67"/>
      <c r="BH325" s="84">
        <v>42644</v>
      </c>
      <c r="BI325" s="85">
        <v>98.761099999999999</v>
      </c>
      <c r="BJ325" s="87">
        <f t="shared" si="46"/>
        <v>1.5595615809083085E-4</v>
      </c>
      <c r="BK325" s="67"/>
      <c r="BL325" s="84">
        <v>42644</v>
      </c>
      <c r="BM325" s="86">
        <v>-57.656730000000003</v>
      </c>
      <c r="BN325" s="67"/>
      <c r="BO325" s="88">
        <v>42644</v>
      </c>
      <c r="BP325" s="89">
        <v>2.2080000000000002</v>
      </c>
      <c r="BQ325" s="89">
        <v>2.2145000000000001</v>
      </c>
      <c r="BR325" s="90">
        <f t="shared" si="37"/>
        <v>-2.9351998193722917E-3</v>
      </c>
    </row>
    <row r="326" spans="1:70">
      <c r="A326" s="62">
        <v>42675</v>
      </c>
      <c r="B326" s="63">
        <v>42675</v>
      </c>
      <c r="C326" s="39">
        <v>49.44</v>
      </c>
      <c r="D326" s="64">
        <v>46.77</v>
      </c>
      <c r="E326" s="40">
        <f t="shared" si="50"/>
        <v>5.7087876844130747E-2</v>
      </c>
      <c r="F326" s="65"/>
      <c r="G326" s="63">
        <v>42675</v>
      </c>
      <c r="H326" s="39">
        <v>13.33</v>
      </c>
      <c r="I326" s="39">
        <v>16.54</v>
      </c>
      <c r="J326" s="40">
        <f t="shared" si="55"/>
        <v>-0.19407496977025385</v>
      </c>
      <c r="K326" s="67"/>
      <c r="L326" s="68">
        <v>42675</v>
      </c>
      <c r="M326" s="98">
        <v>2198.81</v>
      </c>
      <c r="N326" s="98">
        <v>2128.6799999999998</v>
      </c>
      <c r="O326" s="70">
        <f t="shared" si="51"/>
        <v>3.2945299434391284E-2</v>
      </c>
      <c r="P326" s="67"/>
      <c r="Q326" s="38">
        <v>42675</v>
      </c>
      <c r="R326" s="39">
        <v>3.3519999999999999</v>
      </c>
      <c r="S326" s="39">
        <v>2.9790000000000001</v>
      </c>
      <c r="T326" s="40">
        <f t="shared" si="49"/>
        <v>0.12520980194696207</v>
      </c>
      <c r="U326" s="67"/>
      <c r="V326" s="38">
        <v>42675</v>
      </c>
      <c r="W326" s="39">
        <v>1.5763</v>
      </c>
      <c r="X326" s="39">
        <v>1.5257000000000001</v>
      </c>
      <c r="Y326" s="40">
        <f t="shared" si="52"/>
        <v>3.3165104542177248E-2</v>
      </c>
      <c r="Z326" s="67"/>
      <c r="AA326" s="71">
        <v>42675</v>
      </c>
      <c r="AB326" s="99">
        <v>1173.9000000000001</v>
      </c>
      <c r="AC326" s="99">
        <v>1277.8</v>
      </c>
      <c r="AD326" s="73">
        <f t="shared" si="53"/>
        <v>-8.1311629362967541E-2</v>
      </c>
      <c r="AE326" s="67"/>
      <c r="AF326" s="71">
        <v>42675</v>
      </c>
      <c r="AG326" s="72">
        <v>101.5</v>
      </c>
      <c r="AH326" s="72">
        <v>98.39</v>
      </c>
      <c r="AI326" s="73">
        <f t="shared" si="54"/>
        <v>3.1608903343835815E-2</v>
      </c>
      <c r="AJ326" s="67"/>
      <c r="AK326" s="74">
        <v>42704</v>
      </c>
      <c r="AL326" s="41">
        <v>2.3700000000000002E-2</v>
      </c>
      <c r="AM326" s="41">
        <f t="shared" ref="AM326:AM389" si="56">AL326-AL325</f>
        <v>5.3000000000000026E-3</v>
      </c>
      <c r="AN326" s="67"/>
      <c r="AO326" s="75">
        <v>42675</v>
      </c>
      <c r="AP326" s="76">
        <v>695086.25</v>
      </c>
      <c r="AQ326" s="80">
        <f t="shared" si="43"/>
        <v>-3.9563278947385427E-6</v>
      </c>
      <c r="AR326" s="67"/>
      <c r="AS326" s="94">
        <v>42675</v>
      </c>
      <c r="AT326" s="78">
        <v>0.89224999999999999</v>
      </c>
      <c r="AU326" s="67"/>
      <c r="AV326" s="79">
        <v>42675</v>
      </c>
      <c r="AW326" s="76">
        <v>488117</v>
      </c>
      <c r="AX326" s="80">
        <f t="shared" si="44"/>
        <v>3.1194065717582875E-2</v>
      </c>
      <c r="AY326" s="67"/>
      <c r="AZ326" s="81">
        <v>42675</v>
      </c>
      <c r="BA326" s="82">
        <v>82.918754577636719</v>
      </c>
      <c r="BB326" s="82">
        <v>81.22564697265625</v>
      </c>
      <c r="BC326" s="67"/>
      <c r="BD326" s="83">
        <v>42689</v>
      </c>
      <c r="BE326" s="42">
        <v>8908</v>
      </c>
      <c r="BF326" s="41">
        <f t="shared" si="45"/>
        <v>1.1238506073333987E-2</v>
      </c>
      <c r="BG326" s="67"/>
      <c r="BH326" s="84">
        <v>42675</v>
      </c>
      <c r="BI326" s="85">
        <v>98.349100000000007</v>
      </c>
      <c r="BJ326" s="87">
        <f t="shared" si="46"/>
        <v>-4.1716829804446798E-3</v>
      </c>
      <c r="BK326" s="67"/>
      <c r="BL326" s="84">
        <v>42675</v>
      </c>
      <c r="BM326" s="86">
        <v>-36.570031999999998</v>
      </c>
      <c r="BN326" s="67"/>
      <c r="BO326" s="88">
        <v>42675</v>
      </c>
      <c r="BP326" s="89">
        <v>2.6295000000000002</v>
      </c>
      <c r="BQ326" s="89">
        <v>2.2115</v>
      </c>
      <c r="BR326" s="90">
        <f t="shared" si="37"/>
        <v>0.18901198281709264</v>
      </c>
    </row>
    <row r="327" spans="1:70">
      <c r="A327" s="62">
        <v>42705</v>
      </c>
      <c r="B327" s="63">
        <v>42705</v>
      </c>
      <c r="C327" s="39">
        <v>53.72</v>
      </c>
      <c r="D327" s="64">
        <v>49.07</v>
      </c>
      <c r="E327" s="40">
        <f t="shared" si="50"/>
        <v>9.4762584063582622E-2</v>
      </c>
      <c r="F327" s="65"/>
      <c r="G327" s="63">
        <v>42705</v>
      </c>
      <c r="H327" s="39">
        <v>14.04</v>
      </c>
      <c r="I327" s="39">
        <v>13.4</v>
      </c>
      <c r="J327" s="40">
        <f t="shared" si="55"/>
        <v>4.7761194029850573E-2</v>
      </c>
      <c r="K327" s="67"/>
      <c r="L327" s="68">
        <v>42705</v>
      </c>
      <c r="M327" s="98">
        <v>2238.83</v>
      </c>
      <c r="N327" s="98">
        <v>2200.17</v>
      </c>
      <c r="O327" s="70">
        <f t="shared" si="51"/>
        <v>1.7571369485085198E-2</v>
      </c>
      <c r="P327" s="67"/>
      <c r="Q327" s="38">
        <v>42705</v>
      </c>
      <c r="R327" s="39">
        <v>3.7240000000000002</v>
      </c>
      <c r="S327" s="39">
        <v>3.3479999999999999</v>
      </c>
      <c r="T327" s="40">
        <f t="shared" si="49"/>
        <v>0.11230585424133821</v>
      </c>
      <c r="U327" s="67"/>
      <c r="V327" s="38">
        <v>42705</v>
      </c>
      <c r="W327" s="39">
        <v>1.7282</v>
      </c>
      <c r="X327" s="39">
        <v>1.5821000000000001</v>
      </c>
      <c r="Y327" s="40">
        <f t="shared" si="52"/>
        <v>9.2345616585550738E-2</v>
      </c>
      <c r="Z327" s="67"/>
      <c r="AA327" s="71">
        <v>42705</v>
      </c>
      <c r="AB327" s="99">
        <v>1151.7</v>
      </c>
      <c r="AC327" s="99">
        <v>1175.0999999999999</v>
      </c>
      <c r="AD327" s="73">
        <f t="shared" si="53"/>
        <v>-1.9913198876691185E-2</v>
      </c>
      <c r="AE327" s="67"/>
      <c r="AF327" s="71">
        <v>42705</v>
      </c>
      <c r="AG327" s="72">
        <v>102.21</v>
      </c>
      <c r="AH327" s="72">
        <v>101.52</v>
      </c>
      <c r="AI327" s="73">
        <f t="shared" si="54"/>
        <v>6.7966903073286566E-3</v>
      </c>
      <c r="AJ327" s="67"/>
      <c r="AK327" s="74">
        <v>42735</v>
      </c>
      <c r="AL327" s="41">
        <v>2.4500000000000001E-2</v>
      </c>
      <c r="AM327" s="41">
        <f t="shared" si="56"/>
        <v>7.9999999999999863E-4</v>
      </c>
      <c r="AN327" s="67"/>
      <c r="AO327" s="75">
        <v>42705</v>
      </c>
      <c r="AP327" s="76">
        <v>695083</v>
      </c>
      <c r="AQ327" s="80">
        <f t="shared" si="43"/>
        <v>-4.6756787377422171E-6</v>
      </c>
      <c r="AR327" s="67"/>
      <c r="AS327" s="94">
        <v>42705</v>
      </c>
      <c r="AT327" s="78">
        <v>0.91079999999999994</v>
      </c>
      <c r="AU327" s="67"/>
      <c r="AV327" s="79">
        <v>42705</v>
      </c>
      <c r="AW327" s="76">
        <v>483894.6</v>
      </c>
      <c r="AX327" s="80">
        <f t="shared" si="44"/>
        <v>-8.6503850511250313E-3</v>
      </c>
      <c r="AY327" s="67"/>
      <c r="AZ327" s="81">
        <v>42705</v>
      </c>
      <c r="BA327" s="82">
        <v>102.18046569824219</v>
      </c>
      <c r="BB327" s="82">
        <v>93.936622619628906</v>
      </c>
      <c r="BC327" s="67"/>
      <c r="BD327" s="83">
        <v>42719</v>
      </c>
      <c r="BE327" s="42">
        <v>8820</v>
      </c>
      <c r="BF327" s="41">
        <f t="shared" si="45"/>
        <v>-9.8787606645711623E-3</v>
      </c>
      <c r="BG327" s="67"/>
      <c r="BH327" s="84">
        <v>42705</v>
      </c>
      <c r="BI327" s="85">
        <v>99.0214</v>
      </c>
      <c r="BJ327" s="87">
        <f t="shared" si="46"/>
        <v>6.8358530988081867E-3</v>
      </c>
      <c r="BK327" s="67"/>
      <c r="BL327" s="84">
        <v>42705</v>
      </c>
      <c r="BM327" s="86">
        <v>-38.756253000000001</v>
      </c>
      <c r="BN327" s="67"/>
      <c r="BO327" s="88">
        <v>42705</v>
      </c>
      <c r="BP327" s="89">
        <v>2.5055000000000001</v>
      </c>
      <c r="BQ327" s="89">
        <v>2.6269999999999998</v>
      </c>
      <c r="BR327" s="90">
        <f t="shared" si="37"/>
        <v>-4.6250475827940507E-2</v>
      </c>
    </row>
    <row r="328" spans="1:70">
      <c r="A328" s="62">
        <v>42736</v>
      </c>
      <c r="B328" s="63">
        <v>42736</v>
      </c>
      <c r="C328" s="39">
        <v>52.81</v>
      </c>
      <c r="D328" s="64">
        <v>54.2</v>
      </c>
      <c r="E328" s="40">
        <f t="shared" si="50"/>
        <v>-2.5645756457564617E-2</v>
      </c>
      <c r="F328" s="65"/>
      <c r="G328" s="63">
        <v>42736</v>
      </c>
      <c r="H328" s="39">
        <v>11.99</v>
      </c>
      <c r="I328" s="39">
        <v>14.07</v>
      </c>
      <c r="J328" s="40">
        <f t="shared" si="55"/>
        <v>-0.14783226723525233</v>
      </c>
      <c r="K328" s="67"/>
      <c r="L328" s="68">
        <v>42736</v>
      </c>
      <c r="M328" s="98">
        <v>2278.87</v>
      </c>
      <c r="N328" s="98">
        <v>2251.5700000000002</v>
      </c>
      <c r="O328" s="70">
        <f t="shared" si="51"/>
        <v>1.2124872866488667E-2</v>
      </c>
      <c r="P328" s="67"/>
      <c r="Q328" s="38">
        <v>42736</v>
      </c>
      <c r="R328" s="39">
        <v>3.117</v>
      </c>
      <c r="S328" s="39">
        <v>3.5680000000000001</v>
      </c>
      <c r="T328" s="40">
        <f t="shared" si="49"/>
        <v>-0.12640134529147984</v>
      </c>
      <c r="U328" s="67"/>
      <c r="V328" s="38">
        <v>42736</v>
      </c>
      <c r="W328" s="39">
        <v>1.6308</v>
      </c>
      <c r="X328" s="39">
        <v>1.7425999999999999</v>
      </c>
      <c r="Y328" s="40">
        <f t="shared" si="52"/>
        <v>-6.4157006771490832E-2</v>
      </c>
      <c r="Z328" s="67"/>
      <c r="AA328" s="71">
        <v>42736</v>
      </c>
      <c r="AB328" s="99">
        <v>1211.4000000000001</v>
      </c>
      <c r="AC328" s="99">
        <v>1151.4000000000001</v>
      </c>
      <c r="AD328" s="73">
        <f t="shared" si="53"/>
        <v>5.2110474205315338E-2</v>
      </c>
      <c r="AE328" s="67"/>
      <c r="AF328" s="71">
        <v>42736</v>
      </c>
      <c r="AG328" s="72">
        <v>99.51</v>
      </c>
      <c r="AH328" s="72">
        <v>102.38</v>
      </c>
      <c r="AI328" s="73">
        <f t="shared" si="54"/>
        <v>-2.8032818909943247E-2</v>
      </c>
      <c r="AJ328" s="67"/>
      <c r="AK328" s="74">
        <v>42766</v>
      </c>
      <c r="AL328" s="41">
        <v>2.4500000000000001E-2</v>
      </c>
      <c r="AM328" s="41">
        <f t="shared" si="56"/>
        <v>0</v>
      </c>
      <c r="AN328" s="67"/>
      <c r="AO328" s="75">
        <v>42736</v>
      </c>
      <c r="AP328" s="76">
        <v>695080.75</v>
      </c>
      <c r="AQ328" s="80">
        <f t="shared" si="43"/>
        <v>-3.2370234921419438E-6</v>
      </c>
      <c r="AR328" s="67"/>
      <c r="AS328" s="94">
        <v>42736</v>
      </c>
      <c r="AT328" s="78">
        <v>0.90200000000000002</v>
      </c>
      <c r="AU328" s="67"/>
      <c r="AV328" s="79">
        <v>42736</v>
      </c>
      <c r="AW328" s="76">
        <v>487905.75</v>
      </c>
      <c r="AX328" s="80">
        <f t="shared" si="44"/>
        <v>8.2893051503365456E-3</v>
      </c>
      <c r="AY328" s="67"/>
      <c r="AZ328" s="81">
        <v>42736</v>
      </c>
      <c r="BA328" s="82">
        <v>105.20123291015625</v>
      </c>
      <c r="BB328" s="82">
        <v>108.27700042724609</v>
      </c>
      <c r="BC328" s="67"/>
      <c r="BD328" s="83">
        <v>42750</v>
      </c>
      <c r="BE328" s="42">
        <v>8875</v>
      </c>
      <c r="BF328" s="41">
        <f t="shared" si="45"/>
        <v>6.2358276643990074E-3</v>
      </c>
      <c r="BG328" s="67"/>
      <c r="BH328" s="84">
        <v>42736</v>
      </c>
      <c r="BI328" s="85">
        <v>98.761099999999999</v>
      </c>
      <c r="BJ328" s="87">
        <f t="shared" si="46"/>
        <v>-2.6287246999133762E-3</v>
      </c>
      <c r="BK328" s="67"/>
      <c r="BL328" s="84">
        <v>42736</v>
      </c>
      <c r="BM328" s="86">
        <v>-53.572099000000001</v>
      </c>
      <c r="BN328" s="67"/>
      <c r="BO328" s="88">
        <v>42736</v>
      </c>
      <c r="BP328" s="89">
        <v>2.7334999999999998</v>
      </c>
      <c r="BQ328" s="89">
        <v>2.5070000000000001</v>
      </c>
      <c r="BR328" s="90">
        <f t="shared" si="37"/>
        <v>9.0347028320701961E-2</v>
      </c>
    </row>
    <row r="329" spans="1:70">
      <c r="A329" s="62">
        <v>42767</v>
      </c>
      <c r="B329" s="63">
        <v>42767</v>
      </c>
      <c r="C329" s="39">
        <v>54.01</v>
      </c>
      <c r="D329" s="64">
        <v>52.76</v>
      </c>
      <c r="E329" s="40">
        <f t="shared" si="50"/>
        <v>2.3692191053828582E-2</v>
      </c>
      <c r="F329" s="65"/>
      <c r="G329" s="63">
        <v>42767</v>
      </c>
      <c r="H329" s="39">
        <v>12.92</v>
      </c>
      <c r="I329" s="39">
        <v>11.79</v>
      </c>
      <c r="J329" s="40">
        <f t="shared" si="55"/>
        <v>9.5843935538592051E-2</v>
      </c>
      <c r="K329" s="67"/>
      <c r="L329" s="68">
        <v>42767</v>
      </c>
      <c r="M329" s="98">
        <v>2363.64</v>
      </c>
      <c r="N329" s="98">
        <v>2285.59</v>
      </c>
      <c r="O329" s="70">
        <f t="shared" si="51"/>
        <v>3.41487318372935E-2</v>
      </c>
      <c r="P329" s="67"/>
      <c r="Q329" s="38">
        <v>42767</v>
      </c>
      <c r="R329" s="39">
        <v>2.774</v>
      </c>
      <c r="S329" s="39">
        <v>3.1339999999999999</v>
      </c>
      <c r="T329" s="40">
        <f t="shared" si="49"/>
        <v>-0.11486917677089981</v>
      </c>
      <c r="U329" s="67"/>
      <c r="V329" s="38">
        <v>42767</v>
      </c>
      <c r="W329" s="39">
        <v>1.6398999999999999</v>
      </c>
      <c r="X329" s="39">
        <v>1.6377999999999999</v>
      </c>
      <c r="Y329" s="40">
        <f t="shared" si="52"/>
        <v>1.2822078397851655E-3</v>
      </c>
      <c r="Z329" s="67"/>
      <c r="AA329" s="71">
        <v>42767</v>
      </c>
      <c r="AB329" s="99">
        <v>1253.9000000000001</v>
      </c>
      <c r="AC329" s="99">
        <v>1212.2</v>
      </c>
      <c r="AD329" s="73">
        <f t="shared" si="53"/>
        <v>3.4400263982841128E-2</v>
      </c>
      <c r="AE329" s="67"/>
      <c r="AF329" s="71">
        <v>42767</v>
      </c>
      <c r="AG329" s="72">
        <v>101.12</v>
      </c>
      <c r="AH329" s="72">
        <v>99.56</v>
      </c>
      <c r="AI329" s="73">
        <f t="shared" si="54"/>
        <v>1.5668943350743314E-2</v>
      </c>
      <c r="AJ329" s="67"/>
      <c r="AK329" s="74">
        <v>42794</v>
      </c>
      <c r="AL329" s="41">
        <v>2.3599999999999999E-2</v>
      </c>
      <c r="AM329" s="41">
        <f t="shared" si="56"/>
        <v>-9.0000000000000149E-4</v>
      </c>
      <c r="AN329" s="67"/>
      <c r="AO329" s="75">
        <v>42767</v>
      </c>
      <c r="AP329" s="76">
        <v>695077.5</v>
      </c>
      <c r="AQ329" s="80">
        <f t="shared" si="43"/>
        <v>-4.6757157351473566E-6</v>
      </c>
      <c r="AR329" s="67"/>
      <c r="AS329" s="94">
        <v>42767</v>
      </c>
      <c r="AT329" s="78">
        <v>0.85849999999999993</v>
      </c>
      <c r="AU329" s="67"/>
      <c r="AV329" s="79">
        <v>42767</v>
      </c>
      <c r="AW329" s="76">
        <v>516394.5</v>
      </c>
      <c r="AX329" s="80">
        <f t="shared" si="44"/>
        <v>5.8389863206162351E-2</v>
      </c>
      <c r="AY329" s="67"/>
      <c r="AZ329" s="81">
        <v>42767</v>
      </c>
      <c r="BA329" s="82">
        <v>114.20635986328125</v>
      </c>
      <c r="BB329" s="82">
        <v>125.66468048095703</v>
      </c>
      <c r="BC329" s="67"/>
      <c r="BD329" s="83">
        <v>42781</v>
      </c>
      <c r="BE329" s="42">
        <v>9097</v>
      </c>
      <c r="BF329" s="41">
        <f t="shared" si="45"/>
        <v>2.5014084507042345E-2</v>
      </c>
      <c r="BG329" s="67"/>
      <c r="BH329" s="84">
        <v>42767</v>
      </c>
      <c r="BI329" s="85">
        <v>98.364599999999996</v>
      </c>
      <c r="BJ329" s="87">
        <f t="shared" si="46"/>
        <v>-4.014738596471723E-3</v>
      </c>
      <c r="BK329" s="67"/>
      <c r="BL329" s="84">
        <v>42767</v>
      </c>
      <c r="BM329" s="86">
        <v>-71.334415000000007</v>
      </c>
      <c r="BN329" s="67"/>
      <c r="BO329" s="88">
        <v>42767</v>
      </c>
      <c r="BP329" s="89">
        <v>2.714</v>
      </c>
      <c r="BQ329" s="89">
        <v>2.7374999999999998</v>
      </c>
      <c r="BR329" s="90">
        <f t="shared" si="37"/>
        <v>-8.584474885844684E-3</v>
      </c>
    </row>
    <row r="330" spans="1:70">
      <c r="A330" s="62">
        <v>42795</v>
      </c>
      <c r="B330" s="63">
        <v>42795</v>
      </c>
      <c r="C330" s="39">
        <v>50.6</v>
      </c>
      <c r="D330" s="64">
        <v>53.95</v>
      </c>
      <c r="E330" s="40">
        <f t="shared" si="50"/>
        <v>-6.2094531974050016E-2</v>
      </c>
      <c r="F330" s="65"/>
      <c r="G330" s="63">
        <v>42795</v>
      </c>
      <c r="H330" s="39">
        <v>12.37</v>
      </c>
      <c r="I330" s="39">
        <v>12.31</v>
      </c>
      <c r="J330" s="40">
        <f t="shared" si="55"/>
        <v>4.8740861088545362E-3</v>
      </c>
      <c r="K330" s="67"/>
      <c r="L330" s="68">
        <v>42795</v>
      </c>
      <c r="M330" s="98">
        <v>2362.7199999999998</v>
      </c>
      <c r="N330" s="98">
        <v>2380.13</v>
      </c>
      <c r="O330" s="70">
        <f t="shared" si="51"/>
        <v>-7.3147265065355294E-3</v>
      </c>
      <c r="P330" s="67"/>
      <c r="Q330" s="38">
        <v>42795</v>
      </c>
      <c r="R330" s="39">
        <v>3.19</v>
      </c>
      <c r="S330" s="39">
        <v>2.77</v>
      </c>
      <c r="T330" s="40">
        <f t="shared" si="49"/>
        <v>0.15162454873646203</v>
      </c>
      <c r="U330" s="67"/>
      <c r="V330" s="38">
        <v>42795</v>
      </c>
      <c r="W330" s="39">
        <v>1.5746</v>
      </c>
      <c r="X330" s="39">
        <v>1.6454</v>
      </c>
      <c r="Y330" s="40">
        <f t="shared" si="52"/>
        <v>-4.3029050686763104E-2</v>
      </c>
      <c r="Z330" s="67"/>
      <c r="AA330" s="71">
        <v>42795</v>
      </c>
      <c r="AB330" s="99">
        <v>1251.2</v>
      </c>
      <c r="AC330" s="99">
        <v>1248.5</v>
      </c>
      <c r="AD330" s="73">
        <f t="shared" si="53"/>
        <v>2.1625951141370781E-3</v>
      </c>
      <c r="AE330" s="67"/>
      <c r="AF330" s="71">
        <v>42795</v>
      </c>
      <c r="AG330" s="72">
        <v>100.35</v>
      </c>
      <c r="AH330" s="72">
        <v>101.43</v>
      </c>
      <c r="AI330" s="73">
        <f t="shared" si="54"/>
        <v>-1.0647737355812037E-2</v>
      </c>
      <c r="AJ330" s="67"/>
      <c r="AK330" s="74">
        <v>42825</v>
      </c>
      <c r="AL330" s="41">
        <v>2.4E-2</v>
      </c>
      <c r="AM330" s="41">
        <f t="shared" si="56"/>
        <v>4.0000000000000105E-4</v>
      </c>
      <c r="AN330" s="67"/>
      <c r="AO330" s="75">
        <v>42795</v>
      </c>
      <c r="AP330" s="76">
        <v>693402.2</v>
      </c>
      <c r="AQ330" s="80">
        <f t="shared" si="43"/>
        <v>-2.410234829929081E-3</v>
      </c>
      <c r="AR330" s="67"/>
      <c r="AS330" s="94">
        <v>42795</v>
      </c>
      <c r="AT330" s="78">
        <v>0.877</v>
      </c>
      <c r="AU330" s="67"/>
      <c r="AV330" s="79">
        <v>42795</v>
      </c>
      <c r="AW330" s="76">
        <v>531835.80000000005</v>
      </c>
      <c r="AX330" s="80">
        <f t="shared" si="44"/>
        <v>2.9902138771811249E-2</v>
      </c>
      <c r="AY330" s="67"/>
      <c r="AZ330" s="81">
        <v>42795</v>
      </c>
      <c r="BA330" s="82">
        <v>96.635879516601563</v>
      </c>
      <c r="BB330" s="82">
        <v>95.838424682617188</v>
      </c>
      <c r="BC330" s="67"/>
      <c r="BD330" s="83">
        <v>42809</v>
      </c>
      <c r="BE330" s="42">
        <v>9168</v>
      </c>
      <c r="BF330" s="41">
        <f t="shared" si="45"/>
        <v>7.804770803561567E-3</v>
      </c>
      <c r="BG330" s="67"/>
      <c r="BH330" s="84">
        <v>42795</v>
      </c>
      <c r="BI330" s="85">
        <v>99.0137</v>
      </c>
      <c r="BJ330" s="87">
        <f t="shared" si="46"/>
        <v>6.5989187166928254E-3</v>
      </c>
      <c r="BK330" s="67"/>
      <c r="BL330" s="84">
        <v>42795</v>
      </c>
      <c r="BM330" s="86">
        <v>-30.379441</v>
      </c>
      <c r="BN330" s="67"/>
      <c r="BO330" s="88">
        <v>42795</v>
      </c>
      <c r="BP330" s="89">
        <v>2.66</v>
      </c>
      <c r="BQ330" s="89">
        <v>2.714</v>
      </c>
      <c r="BR330" s="90">
        <f t="shared" si="37"/>
        <v>-1.9896831245394209E-2</v>
      </c>
    </row>
    <row r="331" spans="1:70">
      <c r="A331" s="62">
        <v>42826</v>
      </c>
      <c r="B331" s="63">
        <v>42826</v>
      </c>
      <c r="C331" s="39">
        <v>49.33</v>
      </c>
      <c r="D331" s="64">
        <v>50.69</v>
      </c>
      <c r="E331" s="40">
        <f t="shared" si="50"/>
        <v>-2.6829749457486729E-2</v>
      </c>
      <c r="F331" s="65"/>
      <c r="G331" s="63">
        <v>42826</v>
      </c>
      <c r="H331" s="39">
        <v>10.82</v>
      </c>
      <c r="I331" s="39">
        <v>12.59</v>
      </c>
      <c r="J331" s="40">
        <f t="shared" si="55"/>
        <v>-0.1405877680698967</v>
      </c>
      <c r="K331" s="67"/>
      <c r="L331" s="68">
        <v>42826</v>
      </c>
      <c r="M331" s="98">
        <v>2384.1999999999998</v>
      </c>
      <c r="N331" s="98">
        <v>2362.34</v>
      </c>
      <c r="O331" s="70">
        <f t="shared" si="51"/>
        <v>9.2535367474622099E-3</v>
      </c>
      <c r="P331" s="67"/>
      <c r="Q331" s="38">
        <v>42826</v>
      </c>
      <c r="R331" s="39">
        <v>3.2759999999999998</v>
      </c>
      <c r="S331" s="39">
        <v>3.2170000000000001</v>
      </c>
      <c r="T331" s="40">
        <f t="shared" si="49"/>
        <v>1.8340068386695663E-2</v>
      </c>
      <c r="U331" s="67"/>
      <c r="V331" s="38">
        <v>42826</v>
      </c>
      <c r="W331" s="39">
        <v>1.5072000000000001</v>
      </c>
      <c r="X331" s="39">
        <v>1.5747</v>
      </c>
      <c r="Y331" s="40">
        <f t="shared" si="52"/>
        <v>-4.2865307677652842E-2</v>
      </c>
      <c r="Z331" s="67"/>
      <c r="AA331" s="71">
        <v>42826</v>
      </c>
      <c r="AB331" s="99">
        <v>1268.3</v>
      </c>
      <c r="AC331" s="99">
        <v>1277.2</v>
      </c>
      <c r="AD331" s="73">
        <f t="shared" si="53"/>
        <v>-6.9683683056687151E-3</v>
      </c>
      <c r="AE331" s="67"/>
      <c r="AF331" s="71">
        <v>42826</v>
      </c>
      <c r="AG331" s="72">
        <v>99.05</v>
      </c>
      <c r="AH331" s="72">
        <v>100.5</v>
      </c>
      <c r="AI331" s="73">
        <f t="shared" si="54"/>
        <v>-1.4427860696517469E-2</v>
      </c>
      <c r="AJ331" s="67"/>
      <c r="AK331" s="74">
        <v>42855</v>
      </c>
      <c r="AL331" s="41">
        <v>2.29E-2</v>
      </c>
      <c r="AM331" s="41">
        <f t="shared" si="56"/>
        <v>-1.1000000000000003E-3</v>
      </c>
      <c r="AN331" s="67"/>
      <c r="AO331" s="75">
        <v>42826</v>
      </c>
      <c r="AP331" s="76">
        <v>690742.25</v>
      </c>
      <c r="AQ331" s="80">
        <f t="shared" si="43"/>
        <v>-3.8360853196023337E-3</v>
      </c>
      <c r="AR331" s="67"/>
      <c r="AS331" s="94">
        <v>42826</v>
      </c>
      <c r="AT331" s="78">
        <v>0.92825000000000002</v>
      </c>
      <c r="AU331" s="67"/>
      <c r="AV331" s="79">
        <v>42826</v>
      </c>
      <c r="AW331" s="76">
        <v>530548.5</v>
      </c>
      <c r="AX331" s="80">
        <f t="shared" si="44"/>
        <v>-2.4204839162764724E-3</v>
      </c>
      <c r="AY331" s="67"/>
      <c r="AZ331" s="81">
        <v>42826</v>
      </c>
      <c r="BA331" s="82">
        <v>119.45992279052734</v>
      </c>
      <c r="BB331" s="82">
        <v>127.44654846191406</v>
      </c>
      <c r="BC331" s="67"/>
      <c r="BD331" s="83">
        <v>42840</v>
      </c>
      <c r="BE331" s="42">
        <v>9105</v>
      </c>
      <c r="BF331" s="41">
        <f t="shared" si="45"/>
        <v>-6.8717277486910477E-3</v>
      </c>
      <c r="BG331" s="67"/>
      <c r="BH331" s="84">
        <v>42826</v>
      </c>
      <c r="BI331" s="85">
        <v>100.0224</v>
      </c>
      <c r="BJ331" s="87">
        <f t="shared" si="46"/>
        <v>1.01874791064267E-2</v>
      </c>
      <c r="BK331" s="67"/>
      <c r="BL331" s="84">
        <v>42826</v>
      </c>
      <c r="BM331" s="86">
        <v>-23.524961000000001</v>
      </c>
      <c r="BN331" s="67"/>
      <c r="BO331" s="88">
        <v>42826</v>
      </c>
      <c r="BP331" s="89">
        <v>2.6074999999999999</v>
      </c>
      <c r="BQ331" s="89">
        <v>2.6579999999999999</v>
      </c>
      <c r="BR331" s="90">
        <f t="shared" si="37"/>
        <v>-1.899924755455229E-2</v>
      </c>
    </row>
    <row r="332" spans="1:70">
      <c r="A332" s="62">
        <v>42856</v>
      </c>
      <c r="B332" s="63">
        <v>42856</v>
      </c>
      <c r="C332" s="39">
        <v>48.32</v>
      </c>
      <c r="D332" s="64">
        <v>49.17</v>
      </c>
      <c r="E332" s="40">
        <f t="shared" si="50"/>
        <v>-1.7286963595688487E-2</v>
      </c>
      <c r="F332" s="65"/>
      <c r="G332" s="63">
        <v>42856</v>
      </c>
      <c r="H332" s="39">
        <v>10.41</v>
      </c>
      <c r="I332" s="39">
        <v>10.92</v>
      </c>
      <c r="J332" s="40">
        <f t="shared" si="55"/>
        <v>-4.6703296703296648E-2</v>
      </c>
      <c r="K332" s="67"/>
      <c r="L332" s="68">
        <v>42856</v>
      </c>
      <c r="M332" s="98">
        <v>2411.8000000000002</v>
      </c>
      <c r="N332" s="98">
        <v>2388.5</v>
      </c>
      <c r="O332" s="70">
        <f t="shared" si="51"/>
        <v>9.7550764077873886E-3</v>
      </c>
      <c r="P332" s="67"/>
      <c r="Q332" s="38">
        <v>42856</v>
      </c>
      <c r="R332" s="39">
        <v>3.0710000000000002</v>
      </c>
      <c r="S332" s="39">
        <v>3.2490000000000001</v>
      </c>
      <c r="T332" s="40">
        <f t="shared" si="49"/>
        <v>-5.4786088027085289E-2</v>
      </c>
      <c r="U332" s="67"/>
      <c r="V332" s="38">
        <v>42856</v>
      </c>
      <c r="W332" s="39">
        <v>1.5179</v>
      </c>
      <c r="X332" s="39">
        <v>1.5134000000000001</v>
      </c>
      <c r="Y332" s="40">
        <f t="shared" si="52"/>
        <v>2.973437293511294E-3</v>
      </c>
      <c r="Z332" s="67"/>
      <c r="AA332" s="71">
        <v>42856</v>
      </c>
      <c r="AB332" s="99">
        <v>1270.0999999999999</v>
      </c>
      <c r="AC332" s="99">
        <v>1257.4000000000001</v>
      </c>
      <c r="AD332" s="73">
        <f t="shared" si="53"/>
        <v>1.0100206775886633E-2</v>
      </c>
      <c r="AE332" s="67"/>
      <c r="AF332" s="71">
        <v>42856</v>
      </c>
      <c r="AG332" s="72">
        <v>96.92</v>
      </c>
      <c r="AH332" s="72">
        <v>98.93</v>
      </c>
      <c r="AI332" s="73">
        <f t="shared" si="54"/>
        <v>-2.0317396138683996E-2</v>
      </c>
      <c r="AJ332" s="67"/>
      <c r="AK332" s="74">
        <v>42886</v>
      </c>
      <c r="AL332" s="41">
        <v>2.2099999999999998E-2</v>
      </c>
      <c r="AM332" s="41">
        <f t="shared" si="56"/>
        <v>-8.000000000000021E-4</v>
      </c>
      <c r="AN332" s="67"/>
      <c r="AO332" s="92">
        <v>42856</v>
      </c>
      <c r="AP332" s="76">
        <v>687797.25</v>
      </c>
      <c r="AQ332" s="80">
        <f t="shared" si="43"/>
        <v>-4.2635295582397204E-3</v>
      </c>
      <c r="AR332" s="67"/>
      <c r="AS332" s="97">
        <v>42856</v>
      </c>
      <c r="AT332" s="78">
        <v>0.9335</v>
      </c>
      <c r="AU332" s="67"/>
      <c r="AV332" s="93">
        <v>42856</v>
      </c>
      <c r="AW332" s="76">
        <v>517387.25</v>
      </c>
      <c r="AX332" s="80">
        <f t="shared" si="44"/>
        <v>-2.4806874395083556E-2</v>
      </c>
      <c r="AY332" s="67"/>
      <c r="AZ332" s="81">
        <v>42856</v>
      </c>
      <c r="BA332" s="82">
        <v>102.57996368408203</v>
      </c>
      <c r="BB332" s="82">
        <v>102.35460662841797</v>
      </c>
      <c r="BC332" s="67"/>
      <c r="BD332" s="83">
        <v>42870</v>
      </c>
      <c r="BE332" s="42">
        <v>9189</v>
      </c>
      <c r="BF332" s="41">
        <f t="shared" si="45"/>
        <v>9.2257001647446657E-3</v>
      </c>
      <c r="BG332" s="67"/>
      <c r="BH332" s="84">
        <v>42856</v>
      </c>
      <c r="BI332" s="85">
        <v>100.1408</v>
      </c>
      <c r="BJ332" s="87">
        <f t="shared" si="46"/>
        <v>1.1837348433949568E-3</v>
      </c>
      <c r="BK332" s="67"/>
      <c r="BL332" s="84">
        <v>42856</v>
      </c>
      <c r="BM332" s="86">
        <v>-46.037849999999999</v>
      </c>
      <c r="BN332" s="67"/>
      <c r="BO332" s="88">
        <v>42856</v>
      </c>
      <c r="BP332" s="89">
        <v>2.5865</v>
      </c>
      <c r="BQ332" s="89">
        <v>2.5990000000000002</v>
      </c>
      <c r="BR332" s="90">
        <f t="shared" si="37"/>
        <v>-4.8095421315891285E-3</v>
      </c>
    </row>
    <row r="333" spans="1:70">
      <c r="A333" s="62">
        <v>42887</v>
      </c>
      <c r="B333" s="63">
        <v>42887</v>
      </c>
      <c r="C333" s="39">
        <v>46.04</v>
      </c>
      <c r="D333" s="64">
        <v>48.63</v>
      </c>
      <c r="E333" s="40">
        <f t="shared" si="50"/>
        <v>-5.3259304955788678E-2</v>
      </c>
      <c r="F333" s="65"/>
      <c r="G333" s="63">
        <v>42887</v>
      </c>
      <c r="H333" s="39">
        <v>11.18</v>
      </c>
      <c r="I333" s="39">
        <v>10.42</v>
      </c>
      <c r="J333" s="40">
        <f t="shared" si="55"/>
        <v>7.2936660268714038E-2</v>
      </c>
      <c r="K333" s="67"/>
      <c r="L333" s="68">
        <v>42887</v>
      </c>
      <c r="M333" s="98">
        <v>2423.41</v>
      </c>
      <c r="N333" s="98">
        <v>2415.65</v>
      </c>
      <c r="O333" s="70">
        <f t="shared" si="51"/>
        <v>3.212385900275283E-3</v>
      </c>
      <c r="P333" s="67"/>
      <c r="Q333" s="38">
        <v>42887</v>
      </c>
      <c r="R333" s="39">
        <v>3.0350000000000001</v>
      </c>
      <c r="S333" s="39">
        <v>3.08</v>
      </c>
      <c r="T333" s="40">
        <f t="shared" si="49"/>
        <v>-1.4610389610389629E-2</v>
      </c>
      <c r="U333" s="67"/>
      <c r="V333" s="38">
        <v>42887</v>
      </c>
      <c r="W333" s="39">
        <v>1.4831000000000001</v>
      </c>
      <c r="X333" s="39">
        <v>1.5295000000000001</v>
      </c>
      <c r="Y333" s="40">
        <f t="shared" si="52"/>
        <v>-3.0336711343576295E-2</v>
      </c>
      <c r="Z333" s="67"/>
      <c r="AA333" s="71">
        <v>42887</v>
      </c>
      <c r="AB333" s="99">
        <v>1242.3</v>
      </c>
      <c r="AC333" s="99">
        <v>1268</v>
      </c>
      <c r="AD333" s="73">
        <f t="shared" si="53"/>
        <v>-2.0268138801261881E-2</v>
      </c>
      <c r="AE333" s="67"/>
      <c r="AF333" s="71">
        <v>42887</v>
      </c>
      <c r="AG333" s="72">
        <v>95.63</v>
      </c>
      <c r="AH333" s="72">
        <v>96.99</v>
      </c>
      <c r="AI333" s="73">
        <f t="shared" si="54"/>
        <v>-1.4022064130322698E-2</v>
      </c>
      <c r="AJ333" s="67"/>
      <c r="AK333" s="74">
        <v>42916</v>
      </c>
      <c r="AL333" s="41">
        <v>2.3099999999999999E-2</v>
      </c>
      <c r="AM333" s="41">
        <f t="shared" si="56"/>
        <v>1.0000000000000009E-3</v>
      </c>
      <c r="AN333" s="67"/>
      <c r="AO333" s="75">
        <v>42887</v>
      </c>
      <c r="AP333" s="76">
        <v>683593.2</v>
      </c>
      <c r="AQ333" s="80">
        <f t="shared" si="43"/>
        <v>-6.1123390650370535E-3</v>
      </c>
      <c r="AR333" s="67"/>
      <c r="AS333" s="94">
        <v>42887</v>
      </c>
      <c r="AT333" s="78">
        <v>0.93720000000000003</v>
      </c>
      <c r="AU333" s="67"/>
      <c r="AV333" s="79">
        <v>42887</v>
      </c>
      <c r="AW333" s="76">
        <v>509195</v>
      </c>
      <c r="AX333" s="80">
        <f t="shared" si="44"/>
        <v>-1.5833884580650159E-2</v>
      </c>
      <c r="AY333" s="67"/>
      <c r="AZ333" s="81">
        <v>42887</v>
      </c>
      <c r="BA333" s="82">
        <v>126.78901672363281</v>
      </c>
      <c r="BB333" s="82">
        <v>113.16846466064453</v>
      </c>
      <c r="BC333" s="67"/>
      <c r="BD333" s="83">
        <v>42901</v>
      </c>
      <c r="BE333" s="42">
        <v>9113</v>
      </c>
      <c r="BF333" s="41">
        <f t="shared" si="45"/>
        <v>-8.2707585156165386E-3</v>
      </c>
      <c r="BG333" s="67"/>
      <c r="BH333" s="84">
        <v>42887</v>
      </c>
      <c r="BI333" s="85">
        <v>100.3471</v>
      </c>
      <c r="BJ333" s="87">
        <f t="shared" si="46"/>
        <v>2.0600993800727885E-3</v>
      </c>
      <c r="BK333" s="67"/>
      <c r="BL333" s="84">
        <v>42887</v>
      </c>
      <c r="BM333" s="86">
        <v>-58.269049000000003</v>
      </c>
      <c r="BN333" s="67"/>
      <c r="BO333" s="88">
        <v>42887</v>
      </c>
      <c r="BP333" s="89">
        <v>2.7109999999999999</v>
      </c>
      <c r="BQ333" s="89">
        <v>2.589</v>
      </c>
      <c r="BR333" s="90">
        <f t="shared" si="37"/>
        <v>4.7122441096948631E-2</v>
      </c>
    </row>
    <row r="334" spans="1:70">
      <c r="A334" s="62">
        <v>42917</v>
      </c>
      <c r="B334" s="63">
        <v>42917</v>
      </c>
      <c r="C334" s="39">
        <v>50.17</v>
      </c>
      <c r="D334" s="64">
        <v>46.28</v>
      </c>
      <c r="E334" s="40">
        <f t="shared" si="50"/>
        <v>8.405358686257558E-2</v>
      </c>
      <c r="F334" s="65"/>
      <c r="G334" s="63">
        <v>42917</v>
      </c>
      <c r="H334" s="39">
        <v>10.26</v>
      </c>
      <c r="I334" s="39">
        <v>11.07</v>
      </c>
      <c r="J334" s="40">
        <f t="shared" si="55"/>
        <v>-7.3170731707317138E-2</v>
      </c>
      <c r="K334" s="67"/>
      <c r="L334" s="68">
        <v>42917</v>
      </c>
      <c r="M334" s="98">
        <v>2470.3000000000002</v>
      </c>
      <c r="N334" s="98">
        <v>2431.39</v>
      </c>
      <c r="O334" s="70">
        <f t="shared" si="51"/>
        <v>1.600319158999608E-2</v>
      </c>
      <c r="P334" s="67"/>
      <c r="Q334" s="38">
        <v>42917</v>
      </c>
      <c r="R334" s="39">
        <v>2.794</v>
      </c>
      <c r="S334" s="39">
        <v>2.9489999999999998</v>
      </c>
      <c r="T334" s="40">
        <f t="shared" si="49"/>
        <v>-5.2560189894879539E-2</v>
      </c>
      <c r="U334" s="67"/>
      <c r="V334" s="38">
        <v>42917</v>
      </c>
      <c r="W334" s="39">
        <v>1.6674</v>
      </c>
      <c r="X334" s="39">
        <v>1.496</v>
      </c>
      <c r="Y334" s="40">
        <f t="shared" si="52"/>
        <v>0.11457219251336892</v>
      </c>
      <c r="Z334" s="67"/>
      <c r="AA334" s="71">
        <v>42917</v>
      </c>
      <c r="AB334" s="99">
        <v>1279.4000000000001</v>
      </c>
      <c r="AC334" s="99">
        <v>1220.0999999999999</v>
      </c>
      <c r="AD334" s="73">
        <f t="shared" si="53"/>
        <v>4.860257355954456E-2</v>
      </c>
      <c r="AE334" s="67"/>
      <c r="AF334" s="71">
        <v>42917</v>
      </c>
      <c r="AG334" s="72">
        <v>92.86</v>
      </c>
      <c r="AH334" s="72">
        <v>95.65</v>
      </c>
      <c r="AI334" s="73">
        <f t="shared" si="54"/>
        <v>-2.9168844746471523E-2</v>
      </c>
      <c r="AJ334" s="67"/>
      <c r="AK334" s="74">
        <v>42947</v>
      </c>
      <c r="AL334" s="41">
        <v>2.3E-2</v>
      </c>
      <c r="AM334" s="41">
        <f t="shared" si="56"/>
        <v>-9.9999999999999395E-5</v>
      </c>
      <c r="AN334" s="67"/>
      <c r="AO334" s="75">
        <v>42917</v>
      </c>
      <c r="AP334" s="76">
        <v>678885.25</v>
      </c>
      <c r="AQ334" s="80">
        <f t="shared" si="43"/>
        <v>-6.8870638268490048E-3</v>
      </c>
      <c r="AR334" s="67"/>
      <c r="AS334" s="94">
        <v>42917</v>
      </c>
      <c r="AT334" s="78">
        <v>0.94550000000000001</v>
      </c>
      <c r="AU334" s="67"/>
      <c r="AV334" s="79">
        <v>42917</v>
      </c>
      <c r="AW334" s="76">
        <v>487819</v>
      </c>
      <c r="AX334" s="80">
        <f t="shared" si="44"/>
        <v>-4.1979988020306558E-2</v>
      </c>
      <c r="AY334" s="67"/>
      <c r="AZ334" s="81">
        <v>42917</v>
      </c>
      <c r="BA334" s="82">
        <v>102.81346130371094</v>
      </c>
      <c r="BB334" s="82">
        <v>125.59920501708984</v>
      </c>
      <c r="BC334" s="67"/>
      <c r="BD334" s="83">
        <v>42931</v>
      </c>
      <c r="BE334" s="42">
        <v>9260</v>
      </c>
      <c r="BF334" s="41">
        <f t="shared" si="45"/>
        <v>1.613080215077356E-2</v>
      </c>
      <c r="BG334" s="67"/>
      <c r="BH334" s="84">
        <v>42917</v>
      </c>
      <c r="BI334" s="85">
        <v>100.10680000000001</v>
      </c>
      <c r="BJ334" s="87">
        <f t="shared" si="46"/>
        <v>-2.3946880378206137E-3</v>
      </c>
      <c r="BK334" s="67"/>
      <c r="BL334" s="84">
        <v>42917</v>
      </c>
      <c r="BM334" s="86">
        <v>-52.944916999999997</v>
      </c>
      <c r="BN334" s="67"/>
      <c r="BO334" s="88">
        <v>42917</v>
      </c>
      <c r="BP334" s="89">
        <v>2.9</v>
      </c>
      <c r="BQ334" s="89">
        <v>2.7109999999999999</v>
      </c>
      <c r="BR334" s="90">
        <f t="shared" si="37"/>
        <v>6.9715971966064272E-2</v>
      </c>
    </row>
    <row r="335" spans="1:70">
      <c r="A335" s="62">
        <v>42948</v>
      </c>
      <c r="B335" s="63">
        <v>42948</v>
      </c>
      <c r="C335" s="39">
        <v>47.23</v>
      </c>
      <c r="D335" s="64">
        <v>50.21</v>
      </c>
      <c r="E335" s="40">
        <f t="shared" si="50"/>
        <v>-5.9350726946823418E-2</v>
      </c>
      <c r="F335" s="65"/>
      <c r="G335" s="63">
        <v>42948</v>
      </c>
      <c r="H335" s="39">
        <v>10.59</v>
      </c>
      <c r="I335" s="39">
        <v>10.19</v>
      </c>
      <c r="J335" s="40">
        <f t="shared" si="55"/>
        <v>3.9254170755642859E-2</v>
      </c>
      <c r="K335" s="67"/>
      <c r="L335" s="68">
        <v>42948</v>
      </c>
      <c r="M335" s="98">
        <v>2471.65</v>
      </c>
      <c r="N335" s="98">
        <v>2477.1</v>
      </c>
      <c r="O335" s="70">
        <f t="shared" si="51"/>
        <v>-2.2001534051915295E-3</v>
      </c>
      <c r="P335" s="67"/>
      <c r="Q335" s="38">
        <v>42948</v>
      </c>
      <c r="R335" s="39">
        <v>3.04</v>
      </c>
      <c r="S335" s="39">
        <v>2.81</v>
      </c>
      <c r="T335" s="40">
        <f t="shared" si="49"/>
        <v>8.1850533807829251E-2</v>
      </c>
      <c r="U335" s="67"/>
      <c r="V335" s="38">
        <v>42948</v>
      </c>
      <c r="W335" s="39">
        <v>1.7419</v>
      </c>
      <c r="X335" s="39">
        <v>1.6720999999999999</v>
      </c>
      <c r="Y335" s="40">
        <f t="shared" si="52"/>
        <v>4.1743914837629292E-2</v>
      </c>
      <c r="Z335" s="67"/>
      <c r="AA335" s="71">
        <v>42948</v>
      </c>
      <c r="AB335" s="99">
        <v>1330.4</v>
      </c>
      <c r="AC335" s="99">
        <v>1275.2</v>
      </c>
      <c r="AD335" s="73">
        <f t="shared" si="53"/>
        <v>4.3287327478042759E-2</v>
      </c>
      <c r="AE335" s="67"/>
      <c r="AF335" s="71">
        <v>42948</v>
      </c>
      <c r="AG335" s="72">
        <v>92.67</v>
      </c>
      <c r="AH335" s="72">
        <v>92.89</v>
      </c>
      <c r="AI335" s="73">
        <f t="shared" si="54"/>
        <v>-2.3683927225750523E-3</v>
      </c>
      <c r="AJ335" s="67"/>
      <c r="AK335" s="74">
        <v>42978</v>
      </c>
      <c r="AL335" s="41">
        <v>2.12E-2</v>
      </c>
      <c r="AM335" s="41">
        <f t="shared" si="56"/>
        <v>-1.7999999999999995E-3</v>
      </c>
      <c r="AN335" s="67"/>
      <c r="AO335" s="75">
        <v>42948</v>
      </c>
      <c r="AP335" s="76">
        <v>678882.25</v>
      </c>
      <c r="AQ335" s="80">
        <f t="shared" si="43"/>
        <v>-4.4190089562023971E-6</v>
      </c>
      <c r="AR335" s="67"/>
      <c r="AS335" s="94">
        <v>42948</v>
      </c>
      <c r="AT335" s="78">
        <v>0.96099999999999997</v>
      </c>
      <c r="AU335" s="67"/>
      <c r="AV335" s="79">
        <v>42948</v>
      </c>
      <c r="AW335" s="76">
        <v>465716.75</v>
      </c>
      <c r="AX335" s="80">
        <f t="shared" si="44"/>
        <v>-4.5308300824691172E-2</v>
      </c>
      <c r="AY335" s="67"/>
      <c r="AZ335" s="81">
        <v>42948</v>
      </c>
      <c r="BA335" s="82">
        <v>138.5316162109375</v>
      </c>
      <c r="BB335" s="82">
        <v>160.02310180664063</v>
      </c>
      <c r="BC335" s="67"/>
      <c r="BD335" s="83">
        <v>42962</v>
      </c>
      <c r="BE335" s="42">
        <v>9262</v>
      </c>
      <c r="BF335" s="41">
        <f t="shared" si="45"/>
        <v>2.159827213823462E-4</v>
      </c>
      <c r="BG335" s="67"/>
      <c r="BH335" s="84">
        <v>42948</v>
      </c>
      <c r="BI335" s="85">
        <v>99.692499999999995</v>
      </c>
      <c r="BJ335" s="87">
        <f t="shared" si="46"/>
        <v>-4.1385799965637515E-3</v>
      </c>
      <c r="BK335" s="67"/>
      <c r="BL335" s="84">
        <v>42948</v>
      </c>
      <c r="BM335" s="86">
        <v>-30.037123000000001</v>
      </c>
      <c r="BN335" s="67"/>
      <c r="BO335" s="88">
        <v>42948</v>
      </c>
      <c r="BP335" s="89">
        <v>3.0939999999999999</v>
      </c>
      <c r="BQ335" s="89">
        <v>2.8904999999999998</v>
      </c>
      <c r="BR335" s="90">
        <f t="shared" si="37"/>
        <v>7.0403044455976449E-2</v>
      </c>
    </row>
    <row r="336" spans="1:70">
      <c r="A336" s="62">
        <v>42979</v>
      </c>
      <c r="B336" s="63">
        <v>42979</v>
      </c>
      <c r="C336" s="39">
        <v>51.67</v>
      </c>
      <c r="D336" s="64">
        <v>47.08</v>
      </c>
      <c r="E336" s="40">
        <f t="shared" si="50"/>
        <v>9.7493627867459631E-2</v>
      </c>
      <c r="F336" s="65"/>
      <c r="G336" s="63">
        <v>42979</v>
      </c>
      <c r="H336" s="39">
        <v>9.51</v>
      </c>
      <c r="I336" s="39">
        <v>10.33</v>
      </c>
      <c r="J336" s="40">
        <f t="shared" si="55"/>
        <v>-7.9380445304937153E-2</v>
      </c>
      <c r="K336" s="67"/>
      <c r="L336" s="68">
        <v>42979</v>
      </c>
      <c r="M336" s="98">
        <v>2519.36</v>
      </c>
      <c r="N336" s="98">
        <v>2474.42</v>
      </c>
      <c r="O336" s="70">
        <f t="shared" si="51"/>
        <v>1.8161831863628741E-2</v>
      </c>
      <c r="P336" s="67"/>
      <c r="Q336" s="38">
        <v>42979</v>
      </c>
      <c r="R336" s="39">
        <v>3.0070000000000001</v>
      </c>
      <c r="S336" s="39">
        <v>3.0270000000000001</v>
      </c>
      <c r="T336" s="40">
        <f t="shared" si="49"/>
        <v>-6.6072018500165086E-3</v>
      </c>
      <c r="U336" s="67"/>
      <c r="V336" s="38">
        <v>42979</v>
      </c>
      <c r="W336" s="39">
        <v>1.81</v>
      </c>
      <c r="X336" s="39">
        <v>1.724</v>
      </c>
      <c r="Y336" s="40">
        <f t="shared" si="52"/>
        <v>4.9883990719257643E-2</v>
      </c>
      <c r="Z336" s="67"/>
      <c r="AA336" s="71">
        <v>42979</v>
      </c>
      <c r="AB336" s="99">
        <v>1284.8</v>
      </c>
      <c r="AC336" s="99">
        <v>1345</v>
      </c>
      <c r="AD336" s="73">
        <f t="shared" si="53"/>
        <v>-4.4758364312267651E-2</v>
      </c>
      <c r="AE336" s="67"/>
      <c r="AF336" s="71">
        <v>42979</v>
      </c>
      <c r="AG336" s="72">
        <v>93.08</v>
      </c>
      <c r="AH336" s="72">
        <v>92.61</v>
      </c>
      <c r="AI336" s="73">
        <f t="shared" si="54"/>
        <v>5.0750458913724206E-3</v>
      </c>
      <c r="AJ336" s="67"/>
      <c r="AK336" s="74">
        <v>43008</v>
      </c>
      <c r="AL336" s="41">
        <v>2.3300000000000001E-2</v>
      </c>
      <c r="AM336" s="41">
        <f t="shared" si="56"/>
        <v>2.1000000000000012E-3</v>
      </c>
      <c r="AN336" s="67"/>
      <c r="AO336" s="75">
        <v>42979</v>
      </c>
      <c r="AP336" s="76">
        <v>675850.8</v>
      </c>
      <c r="AQ336" s="80">
        <f t="shared" si="43"/>
        <v>-4.4653546325595928E-3</v>
      </c>
      <c r="AR336" s="67"/>
      <c r="AS336" s="94">
        <v>42979</v>
      </c>
      <c r="AT336" s="78">
        <v>0.8345999999999999</v>
      </c>
      <c r="AU336" s="67"/>
      <c r="AV336" s="79">
        <v>42979</v>
      </c>
      <c r="AW336" s="76">
        <v>467875</v>
      </c>
      <c r="AX336" s="80">
        <f t="shared" si="44"/>
        <v>4.6342546193582912E-3</v>
      </c>
      <c r="AY336" s="67"/>
      <c r="AZ336" s="81">
        <v>42979</v>
      </c>
      <c r="BA336" s="82">
        <v>115.53444671630859</v>
      </c>
      <c r="BB336" s="82">
        <v>142.1448974609375</v>
      </c>
      <c r="BC336" s="67"/>
      <c r="BD336" s="83">
        <v>42993</v>
      </c>
      <c r="BE336" s="42">
        <v>9513</v>
      </c>
      <c r="BF336" s="41">
        <f t="shared" si="45"/>
        <v>2.7099978406391667E-2</v>
      </c>
      <c r="BG336" s="67"/>
      <c r="BH336" s="84">
        <v>42979</v>
      </c>
      <c r="BI336" s="85">
        <v>99.795400000000001</v>
      </c>
      <c r="BJ336" s="87">
        <f t="shared" si="46"/>
        <v>1.0321739348497783E-3</v>
      </c>
      <c r="BK336" s="67"/>
      <c r="BL336" s="84">
        <v>42979</v>
      </c>
      <c r="BM336" s="86">
        <v>-12.630063</v>
      </c>
      <c r="BN336" s="67"/>
      <c r="BO336" s="88">
        <v>42979</v>
      </c>
      <c r="BP336" s="89">
        <v>2.9550000000000001</v>
      </c>
      <c r="BQ336" s="89">
        <v>3.1004999999999998</v>
      </c>
      <c r="BR336" s="90">
        <f t="shared" si="37"/>
        <v>-4.6927914852443076E-2</v>
      </c>
    </row>
    <row r="337" spans="1:70">
      <c r="A337" s="62">
        <v>43009</v>
      </c>
      <c r="B337" s="63">
        <v>43009</v>
      </c>
      <c r="C337" s="39">
        <v>54.38</v>
      </c>
      <c r="D337" s="64">
        <v>51.64</v>
      </c>
      <c r="E337" s="40">
        <f t="shared" si="50"/>
        <v>5.3059643687064284E-2</v>
      </c>
      <c r="F337" s="65"/>
      <c r="G337" s="63">
        <v>43009</v>
      </c>
      <c r="H337" s="39">
        <v>10.18</v>
      </c>
      <c r="I337" s="39">
        <v>9.59</v>
      </c>
      <c r="J337" s="40">
        <f t="shared" si="55"/>
        <v>6.1522419186652799E-2</v>
      </c>
      <c r="K337" s="67"/>
      <c r="L337" s="68">
        <v>43009</v>
      </c>
      <c r="M337" s="98">
        <v>2575.2600000000002</v>
      </c>
      <c r="N337" s="98">
        <v>2521.1999999999998</v>
      </c>
      <c r="O337" s="70">
        <f t="shared" si="51"/>
        <v>2.1442170395050031E-2</v>
      </c>
      <c r="P337" s="67"/>
      <c r="Q337" s="38">
        <v>43009</v>
      </c>
      <c r="R337" s="39">
        <v>2.8959999999999999</v>
      </c>
      <c r="S337" s="39">
        <v>3.0179999999999998</v>
      </c>
      <c r="T337" s="40">
        <f t="shared" si="49"/>
        <v>-4.042412193505629E-2</v>
      </c>
      <c r="U337" s="67"/>
      <c r="V337" s="38">
        <v>43009</v>
      </c>
      <c r="W337" s="39">
        <v>1.8805000000000001</v>
      </c>
      <c r="X337" s="39">
        <v>1.8080000000000001</v>
      </c>
      <c r="Y337" s="40">
        <f t="shared" si="52"/>
        <v>4.0099557522123908E-2</v>
      </c>
      <c r="Z337" s="67"/>
      <c r="AA337" s="71">
        <v>43009</v>
      </c>
      <c r="AB337" s="99">
        <v>1277.3</v>
      </c>
      <c r="AC337" s="99">
        <v>1273.0999999999999</v>
      </c>
      <c r="AD337" s="73">
        <f t="shared" si="53"/>
        <v>3.2990338543712472E-3</v>
      </c>
      <c r="AE337" s="67"/>
      <c r="AF337" s="71">
        <v>43009</v>
      </c>
      <c r="AG337" s="72">
        <v>94.55</v>
      </c>
      <c r="AH337" s="72">
        <v>93.22</v>
      </c>
      <c r="AI337" s="73">
        <f t="shared" si="54"/>
        <v>1.4267324608453036E-2</v>
      </c>
      <c r="AJ337" s="67"/>
      <c r="AK337" s="74">
        <v>43039</v>
      </c>
      <c r="AL337" s="41">
        <v>2.3799999999999998E-2</v>
      </c>
      <c r="AM337" s="41">
        <f t="shared" si="56"/>
        <v>4.9999999999999697E-4</v>
      </c>
      <c r="AN337" s="67"/>
      <c r="AO337" s="75">
        <v>43009</v>
      </c>
      <c r="AP337" s="76">
        <v>671526</v>
      </c>
      <c r="AQ337" s="80">
        <f t="shared" si="43"/>
        <v>-6.3990454697989696E-3</v>
      </c>
      <c r="AR337" s="67"/>
      <c r="AS337" s="94">
        <v>43009</v>
      </c>
      <c r="AT337" s="78">
        <v>0.87400000000000011</v>
      </c>
      <c r="AU337" s="67"/>
      <c r="AV337" s="79">
        <v>43009</v>
      </c>
      <c r="AW337" s="76">
        <v>457737</v>
      </c>
      <c r="AX337" s="80">
        <f t="shared" si="44"/>
        <v>-2.1668180603793719E-2</v>
      </c>
      <c r="AY337" s="67"/>
      <c r="AZ337" s="81">
        <v>43009</v>
      </c>
      <c r="BA337" s="82">
        <v>91.461570739746094</v>
      </c>
      <c r="BB337" s="82">
        <v>109.23060607910156</v>
      </c>
      <c r="BC337" s="67"/>
      <c r="BD337" s="83">
        <v>43023</v>
      </c>
      <c r="BE337" s="42">
        <v>9667</v>
      </c>
      <c r="BF337" s="41">
        <f t="shared" si="45"/>
        <v>1.6188373804267853E-2</v>
      </c>
      <c r="BG337" s="67"/>
      <c r="BH337" s="84">
        <v>43009</v>
      </c>
      <c r="BI337" s="85">
        <v>101.0247</v>
      </c>
      <c r="BJ337" s="87">
        <f t="shared" si="46"/>
        <v>1.231820304342679E-2</v>
      </c>
      <c r="BK337" s="67"/>
      <c r="BL337" s="84">
        <v>43009</v>
      </c>
      <c r="BM337" s="86">
        <v>-4.0579801</v>
      </c>
      <c r="BN337" s="67"/>
      <c r="BO337" s="88">
        <v>43009</v>
      </c>
      <c r="BP337" s="89">
        <v>3.1080000000000001</v>
      </c>
      <c r="BQ337" s="89">
        <v>2.9584999999999999</v>
      </c>
      <c r="BR337" s="90">
        <f t="shared" si="37"/>
        <v>5.0532364373838234E-2</v>
      </c>
    </row>
    <row r="338" spans="1:70">
      <c r="A338" s="62">
        <v>43040</v>
      </c>
      <c r="B338" s="63">
        <v>43040</v>
      </c>
      <c r="C338" s="39">
        <v>57.4</v>
      </c>
      <c r="D338" s="64">
        <v>54.65</v>
      </c>
      <c r="E338" s="40">
        <f t="shared" si="50"/>
        <v>5.0320219579139902E-2</v>
      </c>
      <c r="F338" s="65"/>
      <c r="G338" s="63">
        <v>43040</v>
      </c>
      <c r="H338" s="39">
        <v>11.28</v>
      </c>
      <c r="I338" s="39">
        <v>9.7899999999999991</v>
      </c>
      <c r="J338" s="40">
        <f t="shared" si="55"/>
        <v>0.15219611848825343</v>
      </c>
      <c r="K338" s="67"/>
      <c r="L338" s="68">
        <v>43040</v>
      </c>
      <c r="M338" s="98">
        <v>2647.58</v>
      </c>
      <c r="N338" s="98">
        <v>2583.21</v>
      </c>
      <c r="O338" s="70">
        <f t="shared" si="51"/>
        <v>2.4918609017462678E-2</v>
      </c>
      <c r="P338" s="67"/>
      <c r="Q338" s="38">
        <v>43040</v>
      </c>
      <c r="R338" s="39">
        <v>3.0249999999999999</v>
      </c>
      <c r="S338" s="39">
        <v>2.9060000000000001</v>
      </c>
      <c r="T338" s="40">
        <f t="shared" si="49"/>
        <v>4.0949759119063955E-2</v>
      </c>
      <c r="U338" s="67"/>
      <c r="V338" s="38">
        <v>43040</v>
      </c>
      <c r="W338" s="39">
        <v>1.8976</v>
      </c>
      <c r="X338" s="39">
        <v>1.8872</v>
      </c>
      <c r="Y338" s="40">
        <f t="shared" si="52"/>
        <v>5.510809665112415E-3</v>
      </c>
      <c r="Z338" s="67"/>
      <c r="AA338" s="71">
        <v>43040</v>
      </c>
      <c r="AB338" s="99">
        <v>1282.3</v>
      </c>
      <c r="AC338" s="99">
        <v>1275.2</v>
      </c>
      <c r="AD338" s="73">
        <f t="shared" si="53"/>
        <v>5.5677540777916423E-3</v>
      </c>
      <c r="AE338" s="67"/>
      <c r="AF338" s="71">
        <v>43040</v>
      </c>
      <c r="AG338" s="72">
        <v>93.05</v>
      </c>
      <c r="AH338" s="72">
        <v>94.55</v>
      </c>
      <c r="AI338" s="73">
        <f t="shared" si="54"/>
        <v>-1.5864621893178166E-2</v>
      </c>
      <c r="AJ338" s="67"/>
      <c r="AK338" s="74">
        <v>43069</v>
      </c>
      <c r="AL338" s="41">
        <v>2.4199999999999999E-2</v>
      </c>
      <c r="AM338" s="41">
        <f t="shared" si="56"/>
        <v>4.0000000000000105E-4</v>
      </c>
      <c r="AN338" s="67"/>
      <c r="AO338" s="75">
        <v>43040</v>
      </c>
      <c r="AP338" s="76">
        <v>667923</v>
      </c>
      <c r="AQ338" s="80">
        <f t="shared" si="43"/>
        <v>-5.3653916601889007E-3</v>
      </c>
      <c r="AR338" s="67"/>
      <c r="AS338" s="94">
        <v>43040</v>
      </c>
      <c r="AT338" s="78">
        <v>0.91125</v>
      </c>
      <c r="AU338" s="67"/>
      <c r="AV338" s="79">
        <v>43040</v>
      </c>
      <c r="AW338" s="76">
        <v>456748.75</v>
      </c>
      <c r="AX338" s="80">
        <f t="shared" si="44"/>
        <v>-2.1589908615645692E-3</v>
      </c>
      <c r="AY338" s="67"/>
      <c r="AZ338" s="81">
        <v>43040</v>
      </c>
      <c r="BA338" s="82">
        <v>92.596015930175781</v>
      </c>
      <c r="BB338" s="82">
        <v>103.94397735595703</v>
      </c>
      <c r="BC338" s="67"/>
      <c r="BD338" s="83">
        <v>43054</v>
      </c>
      <c r="BE338" s="42">
        <v>10086</v>
      </c>
      <c r="BF338" s="41">
        <f t="shared" si="45"/>
        <v>4.3343332988517558E-2</v>
      </c>
      <c r="BG338" s="67"/>
      <c r="BH338" s="84">
        <v>43040</v>
      </c>
      <c r="BI338" s="85">
        <v>101.2664</v>
      </c>
      <c r="BJ338" s="87">
        <f t="shared" si="46"/>
        <v>2.3924842142566405E-3</v>
      </c>
      <c r="BK338" s="67"/>
      <c r="BL338" s="84">
        <v>43040</v>
      </c>
      <c r="BM338" s="86">
        <v>-6.2240262</v>
      </c>
      <c r="BN338" s="67"/>
      <c r="BO338" s="88">
        <v>43040</v>
      </c>
      <c r="BP338" s="89">
        <v>3.0554999999999999</v>
      </c>
      <c r="BQ338" s="89">
        <v>3.15</v>
      </c>
      <c r="BR338" s="90">
        <f t="shared" si="37"/>
        <v>-3.0000000000000027E-2</v>
      </c>
    </row>
    <row r="339" spans="1:70">
      <c r="A339" s="62">
        <v>43070</v>
      </c>
      <c r="B339" s="63">
        <v>43070</v>
      </c>
      <c r="C339" s="39">
        <v>60.42</v>
      </c>
      <c r="D339" s="64">
        <v>57.42</v>
      </c>
      <c r="E339" s="40">
        <f t="shared" si="50"/>
        <v>5.2246603970741878E-2</v>
      </c>
      <c r="F339" s="65"/>
      <c r="G339" s="63">
        <v>43070</v>
      </c>
      <c r="H339" s="39">
        <v>11.04</v>
      </c>
      <c r="I339" s="39">
        <v>11.19</v>
      </c>
      <c r="J339" s="40">
        <f t="shared" si="55"/>
        <v>-1.3404825737265424E-2</v>
      </c>
      <c r="K339" s="67"/>
      <c r="L339" s="68">
        <v>43070</v>
      </c>
      <c r="M339" s="98">
        <v>2673.61</v>
      </c>
      <c r="N339" s="98">
        <v>2645.1</v>
      </c>
      <c r="O339" s="70">
        <f t="shared" si="51"/>
        <v>1.0778420475596517E-2</v>
      </c>
      <c r="P339" s="67"/>
      <c r="Q339" s="38">
        <v>43070</v>
      </c>
      <c r="R339" s="39">
        <v>2.9529999999999998</v>
      </c>
      <c r="S339" s="39">
        <v>3.032</v>
      </c>
      <c r="T339" s="40">
        <f t="shared" si="49"/>
        <v>-2.6055408970976357E-2</v>
      </c>
      <c r="U339" s="67"/>
      <c r="V339" s="38">
        <v>43070</v>
      </c>
      <c r="W339" s="39">
        <v>2.0680999999999998</v>
      </c>
      <c r="X339" s="39">
        <v>1.9038999999999999</v>
      </c>
      <c r="Y339" s="40">
        <f t="shared" si="52"/>
        <v>8.6244025421503112E-2</v>
      </c>
      <c r="Z339" s="67"/>
      <c r="AA339" s="71">
        <v>43070</v>
      </c>
      <c r="AB339" s="99">
        <v>1309.3</v>
      </c>
      <c r="AC339" s="99">
        <v>1279.0999999999999</v>
      </c>
      <c r="AD339" s="73">
        <f t="shared" si="53"/>
        <v>2.3610351028066745E-2</v>
      </c>
      <c r="AE339" s="67"/>
      <c r="AF339" s="71">
        <v>43070</v>
      </c>
      <c r="AG339" s="72">
        <v>92.12</v>
      </c>
      <c r="AH339" s="72">
        <v>93.03</v>
      </c>
      <c r="AI339" s="73">
        <f t="shared" si="54"/>
        <v>-9.7817908201655035E-3</v>
      </c>
      <c r="AJ339" s="67"/>
      <c r="AK339" s="74">
        <v>43100</v>
      </c>
      <c r="AL339" s="41">
        <v>2.4E-2</v>
      </c>
      <c r="AM339" s="41">
        <f t="shared" si="56"/>
        <v>-1.9999999999999879E-4</v>
      </c>
      <c r="AN339" s="67"/>
      <c r="AO339" s="75">
        <v>43070</v>
      </c>
      <c r="AP339" s="76">
        <v>663201.6</v>
      </c>
      <c r="AQ339" s="80">
        <f t="shared" si="43"/>
        <v>-7.0687788861890644E-3</v>
      </c>
      <c r="AR339" s="67"/>
      <c r="AS339" s="94">
        <v>43070</v>
      </c>
      <c r="AT339" s="78">
        <v>0.94739999999999991</v>
      </c>
      <c r="AU339" s="67"/>
      <c r="AV339" s="79">
        <v>43070</v>
      </c>
      <c r="AW339" s="76">
        <v>436785</v>
      </c>
      <c r="AX339" s="80">
        <f t="shared" si="44"/>
        <v>-4.370838453307202E-2</v>
      </c>
      <c r="AY339" s="67"/>
      <c r="AZ339" s="81">
        <v>43070</v>
      </c>
      <c r="BA339" s="82">
        <v>82.718254089355469</v>
      </c>
      <c r="BB339" s="82">
        <v>95.908447265625</v>
      </c>
      <c r="BC339" s="67"/>
      <c r="BD339" s="83">
        <v>43084</v>
      </c>
      <c r="BE339" s="42">
        <v>9987</v>
      </c>
      <c r="BF339" s="41">
        <f t="shared" si="45"/>
        <v>-9.8155859607376161E-3</v>
      </c>
      <c r="BG339" s="67"/>
      <c r="BH339" s="84">
        <v>43070</v>
      </c>
      <c r="BI339" s="85">
        <v>101.4644</v>
      </c>
      <c r="BJ339" s="87">
        <f t="shared" si="46"/>
        <v>1.9552388551384858E-3</v>
      </c>
      <c r="BK339" s="67"/>
      <c r="BL339" s="84">
        <v>43070</v>
      </c>
      <c r="BM339" s="86">
        <v>4.4719797000000003</v>
      </c>
      <c r="BN339" s="67"/>
      <c r="BO339" s="88">
        <v>43070</v>
      </c>
      <c r="BP339" s="89">
        <v>3.3005</v>
      </c>
      <c r="BQ339" s="89">
        <v>3.0590000000000002</v>
      </c>
      <c r="BR339" s="90">
        <f t="shared" si="37"/>
        <v>7.8947368421052655E-2</v>
      </c>
    </row>
    <row r="340" spans="1:70">
      <c r="A340" s="62">
        <v>43101</v>
      </c>
      <c r="B340" s="63">
        <v>43101</v>
      </c>
      <c r="C340" s="39">
        <v>64.73</v>
      </c>
      <c r="D340" s="64">
        <v>60.2</v>
      </c>
      <c r="E340" s="40">
        <f t="shared" si="50"/>
        <v>7.5249169435215979E-2</v>
      </c>
      <c r="F340" s="65"/>
      <c r="G340" s="63">
        <v>43101</v>
      </c>
      <c r="H340" s="39">
        <v>13.54</v>
      </c>
      <c r="I340" s="39">
        <v>10.95</v>
      </c>
      <c r="J340" s="40">
        <f t="shared" si="55"/>
        <v>0.23652968036529676</v>
      </c>
      <c r="K340" s="67"/>
      <c r="L340" s="68">
        <v>43101</v>
      </c>
      <c r="M340" s="98">
        <v>2823.81</v>
      </c>
      <c r="N340" s="98">
        <v>2683.73</v>
      </c>
      <c r="O340" s="70">
        <f t="shared" si="51"/>
        <v>5.2196010776046853E-2</v>
      </c>
      <c r="P340" s="67"/>
      <c r="Q340" s="38">
        <v>43101</v>
      </c>
      <c r="R340" s="39">
        <v>2.9950000000000001</v>
      </c>
      <c r="S340" s="39">
        <v>3.03</v>
      </c>
      <c r="T340" s="40">
        <f t="shared" si="49"/>
        <v>-1.1551155115511413E-2</v>
      </c>
      <c r="U340" s="67"/>
      <c r="V340" s="38">
        <v>43101</v>
      </c>
      <c r="W340" s="39">
        <v>2.0663999999999998</v>
      </c>
      <c r="X340" s="39">
        <v>2.0432999999999999</v>
      </c>
      <c r="Y340" s="40">
        <f t="shared" si="52"/>
        <v>1.1305241521068821E-2</v>
      </c>
      <c r="Z340" s="67"/>
      <c r="AA340" s="71">
        <v>43101</v>
      </c>
      <c r="AB340" s="99">
        <v>1347.9</v>
      </c>
      <c r="AC340" s="99">
        <v>1319</v>
      </c>
      <c r="AD340" s="73">
        <f t="shared" si="53"/>
        <v>2.1910538286580739E-2</v>
      </c>
      <c r="AE340" s="67"/>
      <c r="AF340" s="71">
        <v>43101</v>
      </c>
      <c r="AG340" s="72">
        <v>89.13</v>
      </c>
      <c r="AH340" s="72">
        <v>92.24</v>
      </c>
      <c r="AI340" s="73">
        <f t="shared" si="54"/>
        <v>-3.3716392020815222E-2</v>
      </c>
      <c r="AJ340" s="67"/>
      <c r="AK340" s="74">
        <v>43131</v>
      </c>
      <c r="AL340" s="41">
        <v>2.7200000000000002E-2</v>
      </c>
      <c r="AM340" s="41">
        <f t="shared" si="56"/>
        <v>3.2000000000000015E-3</v>
      </c>
      <c r="AN340" s="67"/>
      <c r="AO340" s="75">
        <v>43101</v>
      </c>
      <c r="AP340" s="76">
        <v>664276.25</v>
      </c>
      <c r="AQ340" s="80">
        <f t="shared" si="43"/>
        <v>1.6203971763639746E-3</v>
      </c>
      <c r="AR340" s="67"/>
      <c r="AS340" s="94">
        <v>43101</v>
      </c>
      <c r="AT340" s="78">
        <v>0.91825000000000001</v>
      </c>
      <c r="AU340" s="67"/>
      <c r="AV340" s="79">
        <v>43101</v>
      </c>
      <c r="AW340" s="76">
        <v>415527.75</v>
      </c>
      <c r="AX340" s="80">
        <f t="shared" si="44"/>
        <v>-4.8667536659912747E-2</v>
      </c>
      <c r="AY340" s="67"/>
      <c r="AZ340" s="81">
        <v>43101</v>
      </c>
      <c r="BA340" s="82">
        <v>92.426788330078125</v>
      </c>
      <c r="BB340" s="82">
        <v>107.64431762695313</v>
      </c>
      <c r="BC340" s="67"/>
      <c r="BD340" s="83">
        <v>43115</v>
      </c>
      <c r="BE340" s="42">
        <v>10000</v>
      </c>
      <c r="BF340" s="41">
        <f t="shared" si="45"/>
        <v>1.3016921998598718E-3</v>
      </c>
      <c r="BG340" s="67"/>
      <c r="BH340" s="84">
        <v>43101</v>
      </c>
      <c r="BI340" s="85">
        <v>101.46250000000001</v>
      </c>
      <c r="BJ340" s="87">
        <f t="shared" si="46"/>
        <v>-1.8725779682204902E-5</v>
      </c>
      <c r="BK340" s="67"/>
      <c r="BL340" s="84">
        <v>43101</v>
      </c>
      <c r="BM340" s="86">
        <v>-22.274349000000001</v>
      </c>
      <c r="BN340" s="67"/>
      <c r="BO340" s="88">
        <v>43101</v>
      </c>
      <c r="BP340" s="89">
        <v>3.2065000000000001</v>
      </c>
      <c r="BQ340" s="89">
        <v>3.2965</v>
      </c>
      <c r="BR340" s="90">
        <f t="shared" si="37"/>
        <v>-2.7301683603822235E-2</v>
      </c>
    </row>
    <row r="341" spans="1:70">
      <c r="A341" s="62">
        <v>43132</v>
      </c>
      <c r="B341" s="63">
        <v>43132</v>
      </c>
      <c r="C341" s="39">
        <v>61.64</v>
      </c>
      <c r="D341" s="64">
        <v>64.760000000000005</v>
      </c>
      <c r="E341" s="40">
        <f t="shared" si="50"/>
        <v>-4.8177887584929024E-2</v>
      </c>
      <c r="F341" s="65"/>
      <c r="G341" s="63">
        <v>43132</v>
      </c>
      <c r="H341" s="39">
        <v>19.850000000000001</v>
      </c>
      <c r="I341" s="39">
        <v>13.05</v>
      </c>
      <c r="J341" s="40">
        <f t="shared" si="55"/>
        <v>0.52107279693486586</v>
      </c>
      <c r="K341" s="67"/>
      <c r="L341" s="68">
        <v>43132</v>
      </c>
      <c r="M341" s="98">
        <v>2713.83</v>
      </c>
      <c r="N341" s="98">
        <v>2816.45</v>
      </c>
      <c r="O341" s="70">
        <f t="shared" si="51"/>
        <v>-3.6435938859202155E-2</v>
      </c>
      <c r="P341" s="67"/>
      <c r="Q341" s="38">
        <v>43132</v>
      </c>
      <c r="R341" s="39">
        <v>2.6669999999999998</v>
      </c>
      <c r="S341" s="39">
        <v>2.956</v>
      </c>
      <c r="T341" s="40">
        <f t="shared" si="49"/>
        <v>-9.7767253044654945E-2</v>
      </c>
      <c r="U341" s="67"/>
      <c r="V341" s="38">
        <v>43132</v>
      </c>
      <c r="W341" s="39">
        <v>1.9035</v>
      </c>
      <c r="X341" s="39">
        <v>2.0535000000000001</v>
      </c>
      <c r="Y341" s="40">
        <f t="shared" si="52"/>
        <v>-7.3046018991964945E-2</v>
      </c>
      <c r="Z341" s="67"/>
      <c r="AA341" s="71">
        <v>43132</v>
      </c>
      <c r="AB341" s="99">
        <v>1305.2</v>
      </c>
      <c r="AC341" s="99">
        <v>1352.2</v>
      </c>
      <c r="AD341" s="73">
        <f t="shared" si="53"/>
        <v>-3.4758171868066845E-2</v>
      </c>
      <c r="AE341" s="67"/>
      <c r="AF341" s="71">
        <v>43132</v>
      </c>
      <c r="AG341" s="72">
        <v>90.61</v>
      </c>
      <c r="AH341" s="72">
        <v>89.04</v>
      </c>
      <c r="AI341" s="73">
        <f t="shared" si="54"/>
        <v>1.7632524707996255E-2</v>
      </c>
      <c r="AJ341" s="67"/>
      <c r="AK341" s="74">
        <v>43159</v>
      </c>
      <c r="AL341" s="41">
        <v>2.87E-2</v>
      </c>
      <c r="AM341" s="41">
        <f t="shared" si="56"/>
        <v>1.4999999999999979E-3</v>
      </c>
      <c r="AN341" s="67"/>
      <c r="AO341" s="75">
        <v>43132</v>
      </c>
      <c r="AP341" s="76">
        <v>665217.25</v>
      </c>
      <c r="AQ341" s="80">
        <f t="shared" si="43"/>
        <v>1.4165793222322698E-3</v>
      </c>
      <c r="AR341" s="67"/>
      <c r="AS341" s="94">
        <v>43132</v>
      </c>
      <c r="AT341" s="78">
        <v>0.89549999999999996</v>
      </c>
      <c r="AU341" s="67"/>
      <c r="AV341" s="79">
        <v>43132</v>
      </c>
      <c r="AW341" s="76">
        <v>421581.5</v>
      </c>
      <c r="AX341" s="80">
        <f t="shared" si="44"/>
        <v>1.4568822419200655E-2</v>
      </c>
      <c r="AY341" s="67"/>
      <c r="AZ341" s="81">
        <v>43132</v>
      </c>
      <c r="BA341" s="82">
        <v>64.491371154785156</v>
      </c>
      <c r="BB341" s="82">
        <v>74.683113098144531</v>
      </c>
      <c r="BC341" s="67"/>
      <c r="BD341" s="83">
        <v>43146</v>
      </c>
      <c r="BE341" s="42">
        <v>10263</v>
      </c>
      <c r="BF341" s="41">
        <f t="shared" si="45"/>
        <v>2.629999999999999E-2</v>
      </c>
      <c r="BG341" s="67"/>
      <c r="BH341" s="84">
        <v>43132</v>
      </c>
      <c r="BI341" s="85">
        <v>101.7085</v>
      </c>
      <c r="BJ341" s="87">
        <f t="shared" si="46"/>
        <v>2.4245410866083894E-3</v>
      </c>
      <c r="BK341" s="67"/>
      <c r="BL341" s="84">
        <v>43132</v>
      </c>
      <c r="BM341" s="86">
        <v>-32.305405</v>
      </c>
      <c r="BN341" s="67"/>
      <c r="BO341" s="88">
        <v>43132</v>
      </c>
      <c r="BP341" s="89">
        <v>3.1324999999999998</v>
      </c>
      <c r="BQ341" s="89">
        <v>3.2164999999999999</v>
      </c>
      <c r="BR341" s="90">
        <f t="shared" si="37"/>
        <v>-2.6115342763873839E-2</v>
      </c>
    </row>
    <row r="342" spans="1:70">
      <c r="A342" s="62">
        <v>43160</v>
      </c>
      <c r="B342" s="63">
        <v>43160</v>
      </c>
      <c r="C342" s="39">
        <v>64.94</v>
      </c>
      <c r="D342" s="64">
        <v>61.55</v>
      </c>
      <c r="E342" s="40">
        <f t="shared" si="50"/>
        <v>5.507717303005677E-2</v>
      </c>
      <c r="F342" s="65"/>
      <c r="G342" s="63">
        <v>43160</v>
      </c>
      <c r="H342" s="39">
        <v>19.97</v>
      </c>
      <c r="I342" s="39">
        <v>19.96</v>
      </c>
      <c r="J342" s="40">
        <f t="shared" si="55"/>
        <v>5.0100200400793327E-4</v>
      </c>
      <c r="K342" s="67"/>
      <c r="L342" s="68">
        <v>43160</v>
      </c>
      <c r="M342" s="98">
        <v>2640.87</v>
      </c>
      <c r="N342" s="98">
        <v>2715.22</v>
      </c>
      <c r="O342" s="70">
        <f t="shared" si="51"/>
        <v>-2.7382679856512548E-2</v>
      </c>
      <c r="P342" s="67"/>
      <c r="Q342" s="38">
        <v>43160</v>
      </c>
      <c r="R342" s="39">
        <v>2.7330000000000001</v>
      </c>
      <c r="S342" s="39">
        <v>2.6680000000000001</v>
      </c>
      <c r="T342" s="40">
        <f t="shared" si="49"/>
        <v>2.4362818590704549E-2</v>
      </c>
      <c r="U342" s="67"/>
      <c r="V342" s="38">
        <v>43160</v>
      </c>
      <c r="W342" s="39">
        <v>2.0209999999999999</v>
      </c>
      <c r="X342" s="39">
        <v>1.9095</v>
      </c>
      <c r="Y342" s="40">
        <f t="shared" si="52"/>
        <v>5.8392249279916264E-2</v>
      </c>
      <c r="Z342" s="67"/>
      <c r="AA342" s="71">
        <v>43160</v>
      </c>
      <c r="AB342" s="99">
        <v>1327.3</v>
      </c>
      <c r="AC342" s="99">
        <v>1318</v>
      </c>
      <c r="AD342" s="73">
        <f t="shared" si="53"/>
        <v>7.0561456752655793E-3</v>
      </c>
      <c r="AE342" s="67"/>
      <c r="AF342" s="71">
        <v>43160</v>
      </c>
      <c r="AG342" s="72">
        <v>89.97</v>
      </c>
      <c r="AH342" s="72">
        <v>90.67</v>
      </c>
      <c r="AI342" s="73">
        <f t="shared" si="54"/>
        <v>-7.7203044005735855E-3</v>
      </c>
      <c r="AJ342" s="67"/>
      <c r="AK342" s="74">
        <v>43190</v>
      </c>
      <c r="AL342" s="41">
        <v>2.7400000000000001E-2</v>
      </c>
      <c r="AM342" s="41">
        <f t="shared" si="56"/>
        <v>-1.2999999999999991E-3</v>
      </c>
      <c r="AN342" s="67"/>
      <c r="AO342" s="75">
        <v>43160</v>
      </c>
      <c r="AP342" s="76">
        <v>665457.6</v>
      </c>
      <c r="AQ342" s="80">
        <f t="shared" si="43"/>
        <v>3.6131053426524673E-4</v>
      </c>
      <c r="AR342" s="67"/>
      <c r="AS342" s="94">
        <v>43160</v>
      </c>
      <c r="AT342" s="78">
        <v>0.91</v>
      </c>
      <c r="AU342" s="67"/>
      <c r="AV342" s="79">
        <v>43160</v>
      </c>
      <c r="AW342" s="76">
        <v>428084.2</v>
      </c>
      <c r="AX342" s="80">
        <f t="shared" si="44"/>
        <v>1.5424538315841785E-2</v>
      </c>
      <c r="AY342" s="67"/>
      <c r="AZ342" s="81">
        <v>43160</v>
      </c>
      <c r="BA342" s="82">
        <v>111.96229553222656</v>
      </c>
      <c r="BB342" s="82">
        <v>146.92707824707031</v>
      </c>
      <c r="BC342" s="67"/>
      <c r="BD342" s="83">
        <v>43174</v>
      </c>
      <c r="BE342" s="42">
        <v>10467</v>
      </c>
      <c r="BF342" s="41">
        <f t="shared" si="45"/>
        <v>1.9877228880444298E-2</v>
      </c>
      <c r="BG342" s="67"/>
      <c r="BH342" s="84">
        <v>43160</v>
      </c>
      <c r="BI342" s="85">
        <v>102.2067</v>
      </c>
      <c r="BJ342" s="87">
        <f t="shared" si="46"/>
        <v>4.8983123337773549E-3</v>
      </c>
      <c r="BK342" s="67"/>
      <c r="BL342" s="84">
        <v>43160</v>
      </c>
      <c r="BM342" s="86">
        <v>-29.576595000000001</v>
      </c>
      <c r="BN342" s="67"/>
      <c r="BO342" s="88">
        <v>43160</v>
      </c>
      <c r="BP342" s="89">
        <v>3.0369999999999999</v>
      </c>
      <c r="BQ342" s="89">
        <v>3.1284999999999998</v>
      </c>
      <c r="BR342" s="90">
        <f t="shared" si="37"/>
        <v>-2.9247243087741737E-2</v>
      </c>
    </row>
    <row r="343" spans="1:70">
      <c r="A343" s="62">
        <v>43191</v>
      </c>
      <c r="B343" s="63">
        <v>43191</v>
      </c>
      <c r="C343" s="39">
        <v>68.569999999999993</v>
      </c>
      <c r="D343" s="64">
        <v>64.91</v>
      </c>
      <c r="E343" s="40">
        <f t="shared" si="50"/>
        <v>5.6385764905253488E-2</v>
      </c>
      <c r="F343" s="65"/>
      <c r="G343" s="63">
        <v>43191</v>
      </c>
      <c r="H343" s="39">
        <v>15.93</v>
      </c>
      <c r="I343" s="39">
        <v>21.07</v>
      </c>
      <c r="J343" s="40">
        <f t="shared" si="55"/>
        <v>-0.24394874228761276</v>
      </c>
      <c r="K343" s="67"/>
      <c r="L343" s="68">
        <v>43191</v>
      </c>
      <c r="M343" s="98">
        <v>2648.05</v>
      </c>
      <c r="N343" s="98">
        <v>2633.45</v>
      </c>
      <c r="O343" s="70">
        <f t="shared" si="51"/>
        <v>5.5440581746379891E-3</v>
      </c>
      <c r="P343" s="67"/>
      <c r="Q343" s="38">
        <v>43191</v>
      </c>
      <c r="R343" s="39">
        <v>2.7629999999999999</v>
      </c>
      <c r="S343" s="39">
        <v>2.73</v>
      </c>
      <c r="T343" s="40">
        <f t="shared" si="49"/>
        <v>1.2087912087912045E-2</v>
      </c>
      <c r="U343" s="67"/>
      <c r="V343" s="38">
        <v>43191</v>
      </c>
      <c r="W343" s="39">
        <v>2.1493000000000002</v>
      </c>
      <c r="X343" s="39">
        <v>2.0255000000000001</v>
      </c>
      <c r="Y343" s="40">
        <f t="shared" si="52"/>
        <v>6.1120710935571587E-2</v>
      </c>
      <c r="Z343" s="67"/>
      <c r="AA343" s="71">
        <v>43191</v>
      </c>
      <c r="AB343" s="99">
        <v>1306.8</v>
      </c>
      <c r="AC343" s="99">
        <v>1345</v>
      </c>
      <c r="AD343" s="73">
        <f t="shared" si="53"/>
        <v>-2.8401486988847591E-2</v>
      </c>
      <c r="AE343" s="67"/>
      <c r="AF343" s="71">
        <v>43191</v>
      </c>
      <c r="AG343" s="72">
        <v>91.84</v>
      </c>
      <c r="AH343" s="72">
        <v>89.97</v>
      </c>
      <c r="AI343" s="73">
        <f t="shared" si="54"/>
        <v>2.0784706013115439E-2</v>
      </c>
      <c r="AJ343" s="67"/>
      <c r="AK343" s="74">
        <v>43220</v>
      </c>
      <c r="AL343" s="41">
        <v>2.9500000000000002E-2</v>
      </c>
      <c r="AM343" s="41">
        <f t="shared" si="56"/>
        <v>2.1000000000000012E-3</v>
      </c>
      <c r="AN343" s="67"/>
      <c r="AO343" s="75">
        <v>43191</v>
      </c>
      <c r="AP343" s="76">
        <v>664974</v>
      </c>
      <c r="AQ343" s="80">
        <f t="shared" si="43"/>
        <v>-7.2671797572076979E-4</v>
      </c>
      <c r="AR343" s="67"/>
      <c r="AS343" s="94">
        <v>43191</v>
      </c>
      <c r="AT343" s="78">
        <v>0.91949999999999998</v>
      </c>
      <c r="AU343" s="67"/>
      <c r="AV343" s="79">
        <v>43191</v>
      </c>
      <c r="AW343" s="76">
        <v>430474.25</v>
      </c>
      <c r="AX343" s="80">
        <f t="shared" si="44"/>
        <v>5.5831306084177523E-3</v>
      </c>
      <c r="AY343" s="67"/>
      <c r="AZ343" s="81">
        <v>43191</v>
      </c>
      <c r="BA343" s="82">
        <v>123.26347351074219</v>
      </c>
      <c r="BB343" s="82">
        <v>146.39566040039063</v>
      </c>
      <c r="BC343" s="67"/>
      <c r="BD343" s="83">
        <v>43205</v>
      </c>
      <c r="BE343" s="42">
        <v>10493</v>
      </c>
      <c r="BF343" s="41">
        <f t="shared" si="45"/>
        <v>2.4839973249259906E-3</v>
      </c>
      <c r="BG343" s="67"/>
      <c r="BH343" s="84">
        <v>43191</v>
      </c>
      <c r="BI343" s="85">
        <v>103.3329</v>
      </c>
      <c r="BJ343" s="87">
        <f t="shared" si="46"/>
        <v>1.1018847101021745E-2</v>
      </c>
      <c r="BK343" s="67"/>
      <c r="BL343" s="84">
        <v>43191</v>
      </c>
      <c r="BM343" s="86">
        <v>-31.859517</v>
      </c>
      <c r="BN343" s="67"/>
      <c r="BO343" s="88">
        <v>43191</v>
      </c>
      <c r="BP343" s="89">
        <v>3.0739999999999998</v>
      </c>
      <c r="BQ343" s="89">
        <v>3.0510000000000002</v>
      </c>
      <c r="BR343" s="90">
        <f t="shared" si="37"/>
        <v>7.538511963290695E-3</v>
      </c>
    </row>
    <row r="344" spans="1:70">
      <c r="A344" s="62">
        <v>43221</v>
      </c>
      <c r="B344" s="63">
        <v>43221</v>
      </c>
      <c r="C344" s="39">
        <v>67.040000000000006</v>
      </c>
      <c r="D344" s="64">
        <v>68.56</v>
      </c>
      <c r="E344" s="40">
        <f t="shared" si="50"/>
        <v>-2.2170361726954413E-2</v>
      </c>
      <c r="F344" s="65"/>
      <c r="G344" s="63">
        <v>43221</v>
      </c>
      <c r="H344" s="39">
        <v>15.43</v>
      </c>
      <c r="I344" s="39">
        <v>15.78</v>
      </c>
      <c r="J344" s="40">
        <f t="shared" si="55"/>
        <v>-2.217997465145749E-2</v>
      </c>
      <c r="K344" s="67"/>
      <c r="L344" s="68">
        <v>43221</v>
      </c>
      <c r="M344" s="98">
        <v>2705.27</v>
      </c>
      <c r="N344" s="98">
        <v>2643.64</v>
      </c>
      <c r="O344" s="70">
        <f t="shared" si="51"/>
        <v>2.3312553902951949E-2</v>
      </c>
      <c r="P344" s="67"/>
      <c r="Q344" s="38">
        <v>43221</v>
      </c>
      <c r="R344" s="39">
        <v>2.952</v>
      </c>
      <c r="S344" s="39">
        <v>2.7639999999999998</v>
      </c>
      <c r="T344" s="40">
        <f t="shared" si="49"/>
        <v>6.8017366136034818E-2</v>
      </c>
      <c r="U344" s="67"/>
      <c r="V344" s="38">
        <v>43221</v>
      </c>
      <c r="W344" s="39">
        <v>2.2046000000000001</v>
      </c>
      <c r="X344" s="39">
        <v>2.1427999999999998</v>
      </c>
      <c r="Y344" s="40">
        <f t="shared" si="52"/>
        <v>2.8840769087175699E-2</v>
      </c>
      <c r="Z344" s="67"/>
      <c r="AA344" s="71">
        <v>43221</v>
      </c>
      <c r="AB344" s="99">
        <v>1299.3</v>
      </c>
      <c r="AC344" s="99">
        <v>1304.4000000000001</v>
      </c>
      <c r="AD344" s="73">
        <f t="shared" si="53"/>
        <v>-3.9098436062559028E-3</v>
      </c>
      <c r="AE344" s="67"/>
      <c r="AF344" s="71">
        <v>43221</v>
      </c>
      <c r="AG344" s="72">
        <v>93.98</v>
      </c>
      <c r="AH344" s="72">
        <v>91.81</v>
      </c>
      <c r="AI344" s="73">
        <f t="shared" si="54"/>
        <v>2.3635769524017025E-2</v>
      </c>
      <c r="AJ344" s="67"/>
      <c r="AK344" s="74">
        <v>43251</v>
      </c>
      <c r="AL344" s="41">
        <v>2.8300000000000002E-2</v>
      </c>
      <c r="AM344" s="41">
        <f t="shared" si="56"/>
        <v>-1.1999999999999997E-3</v>
      </c>
      <c r="AN344" s="67"/>
      <c r="AO344" s="92">
        <v>43221</v>
      </c>
      <c r="AP344" s="76">
        <v>661926.75</v>
      </c>
      <c r="AQ344" s="80">
        <f t="shared" si="43"/>
        <v>-4.5825099928719082E-3</v>
      </c>
      <c r="AR344" s="67"/>
      <c r="AS344" s="97">
        <v>43221</v>
      </c>
      <c r="AT344" s="78">
        <v>0.91799999999999993</v>
      </c>
      <c r="AU344" s="67"/>
      <c r="AV344" s="93">
        <v>43221</v>
      </c>
      <c r="AW344" s="76">
        <v>434689</v>
      </c>
      <c r="AX344" s="80">
        <f t="shared" si="44"/>
        <v>9.7909456837430575E-3</v>
      </c>
      <c r="AY344" s="67"/>
      <c r="AZ344" s="81">
        <v>43221</v>
      </c>
      <c r="BA344" s="82">
        <v>125.66661834716797</v>
      </c>
      <c r="BB344" s="82">
        <v>172.21670532226563</v>
      </c>
      <c r="BC344" s="67"/>
      <c r="BD344" s="83">
        <v>43235</v>
      </c>
      <c r="BE344" s="42">
        <v>10432</v>
      </c>
      <c r="BF344" s="41">
        <f t="shared" si="45"/>
        <v>-5.813399409129949E-3</v>
      </c>
      <c r="BG344" s="67"/>
      <c r="BH344" s="84">
        <v>43221</v>
      </c>
      <c r="BI344" s="85">
        <v>102.4024</v>
      </c>
      <c r="BJ344" s="87">
        <f t="shared" si="46"/>
        <v>-9.0048764720626062E-3</v>
      </c>
      <c r="BK344" s="67"/>
      <c r="BL344" s="84">
        <v>43221</v>
      </c>
      <c r="BM344" s="86">
        <v>-18.354407999999999</v>
      </c>
      <c r="BN344" s="67"/>
      <c r="BO344" s="88">
        <v>43221</v>
      </c>
      <c r="BP344" s="89">
        <v>3.0750000000000002</v>
      </c>
      <c r="BQ344" s="89">
        <v>3.0705</v>
      </c>
      <c r="BR344" s="90">
        <f t="shared" si="37"/>
        <v>1.4655593551540225E-3</v>
      </c>
    </row>
    <row r="345" spans="1:70">
      <c r="A345" s="62">
        <v>43252</v>
      </c>
      <c r="B345" s="63">
        <v>43252</v>
      </c>
      <c r="C345" s="39">
        <v>74.150000000000006</v>
      </c>
      <c r="D345" s="64">
        <v>67.069999999999993</v>
      </c>
      <c r="E345" s="40">
        <f t="shared" si="50"/>
        <v>0.10556135380945308</v>
      </c>
      <c r="F345" s="65"/>
      <c r="G345" s="63">
        <v>43252</v>
      </c>
      <c r="H345" s="39">
        <v>16.09</v>
      </c>
      <c r="I345" s="39">
        <v>14.92</v>
      </c>
      <c r="J345" s="40">
        <f t="shared" si="55"/>
        <v>7.8418230563002567E-2</v>
      </c>
      <c r="K345" s="67"/>
      <c r="L345" s="68">
        <v>43252</v>
      </c>
      <c r="M345" s="98">
        <v>2718.37</v>
      </c>
      <c r="N345" s="98">
        <v>2718.7</v>
      </c>
      <c r="O345" s="70">
        <f t="shared" si="51"/>
        <v>-1.2138154264906831E-4</v>
      </c>
      <c r="P345" s="67"/>
      <c r="Q345" s="38">
        <v>43252</v>
      </c>
      <c r="R345" s="39">
        <v>2.9239999999999999</v>
      </c>
      <c r="S345" s="39">
        <v>2.9510000000000001</v>
      </c>
      <c r="T345" s="40">
        <f t="shared" si="49"/>
        <v>-9.1494408675025785E-3</v>
      </c>
      <c r="U345" s="67"/>
      <c r="V345" s="38">
        <v>43252</v>
      </c>
      <c r="W345" s="39">
        <v>2.2097000000000002</v>
      </c>
      <c r="X345" s="39">
        <v>2.2122999999999999</v>
      </c>
      <c r="Y345" s="40">
        <f t="shared" si="52"/>
        <v>-1.1752474799980872E-3</v>
      </c>
      <c r="Z345" s="67"/>
      <c r="AA345" s="71">
        <v>43252</v>
      </c>
      <c r="AB345" s="99">
        <v>1254.5</v>
      </c>
      <c r="AC345" s="99">
        <v>1296.4000000000001</v>
      </c>
      <c r="AD345" s="73">
        <f t="shared" si="53"/>
        <v>-3.232027152113548E-2</v>
      </c>
      <c r="AE345" s="67"/>
      <c r="AF345" s="71">
        <v>43252</v>
      </c>
      <c r="AG345" s="72">
        <v>94.64</v>
      </c>
      <c r="AH345" s="72">
        <v>93.95</v>
      </c>
      <c r="AI345" s="73">
        <f t="shared" si="54"/>
        <v>7.3443320915380639E-3</v>
      </c>
      <c r="AJ345" s="67"/>
      <c r="AK345" s="74">
        <v>43281</v>
      </c>
      <c r="AL345" s="41">
        <v>2.8500000000000001E-2</v>
      </c>
      <c r="AM345" s="41">
        <f t="shared" si="56"/>
        <v>1.9999999999999879E-4</v>
      </c>
      <c r="AN345" s="67"/>
      <c r="AO345" s="75">
        <v>43252</v>
      </c>
      <c r="AP345" s="76">
        <v>660076.80000000005</v>
      </c>
      <c r="AQ345" s="80">
        <f t="shared" si="43"/>
        <v>-2.7947956477056835E-3</v>
      </c>
      <c r="AR345" s="67"/>
      <c r="AS345" s="94">
        <v>43252</v>
      </c>
      <c r="AT345" s="78">
        <v>0.96479999999999999</v>
      </c>
      <c r="AU345" s="67"/>
      <c r="AV345" s="79">
        <v>43252</v>
      </c>
      <c r="AW345" s="76">
        <v>426013.8</v>
      </c>
      <c r="AX345" s="80">
        <f t="shared" si="44"/>
        <v>-1.9957256797388467E-2</v>
      </c>
      <c r="AY345" s="67"/>
      <c r="AZ345" s="81">
        <v>43252</v>
      </c>
      <c r="BA345" s="82">
        <v>103.96858978271484</v>
      </c>
      <c r="BB345" s="82">
        <v>137.02445983886719</v>
      </c>
      <c r="BC345" s="67"/>
      <c r="BD345" s="83">
        <v>43266</v>
      </c>
      <c r="BE345" s="42">
        <v>10641</v>
      </c>
      <c r="BF345" s="41">
        <f t="shared" si="45"/>
        <v>2.0034509202454087E-2</v>
      </c>
      <c r="BG345" s="67"/>
      <c r="BH345" s="84">
        <v>43252</v>
      </c>
      <c r="BI345" s="85">
        <v>103.19799999999999</v>
      </c>
      <c r="BJ345" s="87">
        <f t="shared" si="46"/>
        <v>7.7693491558790129E-3</v>
      </c>
      <c r="BK345" s="67"/>
      <c r="BL345" s="84">
        <v>43252</v>
      </c>
      <c r="BM345" s="86">
        <v>-13.815125</v>
      </c>
      <c r="BN345" s="67"/>
      <c r="BO345" s="88">
        <v>43252</v>
      </c>
      <c r="BP345" s="89">
        <v>2.9660000000000002</v>
      </c>
      <c r="BQ345" s="89">
        <v>3.0775000000000001</v>
      </c>
      <c r="BR345" s="90">
        <f t="shared" si="37"/>
        <v>-3.6230706742485741E-2</v>
      </c>
    </row>
    <row r="346" spans="1:70">
      <c r="A346" s="62">
        <v>43282</v>
      </c>
      <c r="B346" s="63">
        <v>43282</v>
      </c>
      <c r="C346" s="39">
        <v>68.760000000000005</v>
      </c>
      <c r="D346" s="64">
        <v>73.62</v>
      </c>
      <c r="E346" s="40">
        <f t="shared" si="50"/>
        <v>-6.6014669926650393E-2</v>
      </c>
      <c r="F346" s="65"/>
      <c r="G346" s="63">
        <v>43282</v>
      </c>
      <c r="H346" s="39">
        <v>12.83</v>
      </c>
      <c r="I346" s="39">
        <v>17.7</v>
      </c>
      <c r="J346" s="40">
        <f t="shared" si="55"/>
        <v>-0.27514124293785303</v>
      </c>
      <c r="K346" s="67"/>
      <c r="L346" s="68">
        <v>43282</v>
      </c>
      <c r="M346" s="98">
        <v>2816.29</v>
      </c>
      <c r="N346" s="98">
        <v>2704.95</v>
      </c>
      <c r="O346" s="70">
        <f t="shared" si="51"/>
        <v>4.1161574151093339E-2</v>
      </c>
      <c r="P346" s="67"/>
      <c r="Q346" s="38">
        <v>43282</v>
      </c>
      <c r="R346" s="39">
        <v>2.782</v>
      </c>
      <c r="S346" s="39">
        <v>2.92</v>
      </c>
      <c r="T346" s="40">
        <f t="shared" si="49"/>
        <v>-4.7260273972602684E-2</v>
      </c>
      <c r="U346" s="67"/>
      <c r="V346" s="38">
        <v>43282</v>
      </c>
      <c r="W346" s="39">
        <v>2.1374</v>
      </c>
      <c r="X346" s="39">
        <v>2.2103999999999999</v>
      </c>
      <c r="Y346" s="40">
        <f t="shared" si="52"/>
        <v>-3.302569670647848E-2</v>
      </c>
      <c r="Z346" s="67"/>
      <c r="AA346" s="71">
        <v>43282</v>
      </c>
      <c r="AB346" s="99">
        <v>1227.5999999999999</v>
      </c>
      <c r="AC346" s="99">
        <v>1242.9000000000001</v>
      </c>
      <c r="AD346" s="73">
        <f t="shared" si="53"/>
        <v>-1.2309920347574388E-2</v>
      </c>
      <c r="AE346" s="67"/>
      <c r="AF346" s="71">
        <v>43282</v>
      </c>
      <c r="AG346" s="72">
        <v>94.49</v>
      </c>
      <c r="AH346" s="72">
        <v>94.63</v>
      </c>
      <c r="AI346" s="73">
        <f t="shared" si="54"/>
        <v>-1.4794462643982209E-3</v>
      </c>
      <c r="AJ346" s="67"/>
      <c r="AK346" s="74">
        <v>43312</v>
      </c>
      <c r="AL346" s="41">
        <v>2.9600000000000001E-2</v>
      </c>
      <c r="AM346" s="41">
        <f t="shared" si="56"/>
        <v>1.1000000000000003E-3</v>
      </c>
      <c r="AN346" s="67"/>
      <c r="AO346" s="75">
        <v>43282</v>
      </c>
      <c r="AP346" s="76">
        <v>660014.25</v>
      </c>
      <c r="AQ346" s="80">
        <f t="shared" si="43"/>
        <v>-9.4761700456746922E-5</v>
      </c>
      <c r="AR346" s="67"/>
      <c r="AS346" s="94">
        <v>43282</v>
      </c>
      <c r="AT346" s="78">
        <v>0.95224999999999993</v>
      </c>
      <c r="AU346" s="67"/>
      <c r="AV346" s="79">
        <v>43282</v>
      </c>
      <c r="AW346" s="76">
        <v>407502.25</v>
      </c>
      <c r="AX346" s="80">
        <f t="shared" si="44"/>
        <v>-4.3452935092712974E-2</v>
      </c>
      <c r="AY346" s="67"/>
      <c r="AZ346" s="81">
        <v>43282</v>
      </c>
      <c r="BA346" s="82">
        <v>110.02842712402344</v>
      </c>
      <c r="BB346" s="82">
        <v>129.10234069824219</v>
      </c>
      <c r="BC346" s="67"/>
      <c r="BD346" s="83">
        <v>43296</v>
      </c>
      <c r="BE346" s="42">
        <v>10903</v>
      </c>
      <c r="BF346" s="41">
        <f t="shared" si="45"/>
        <v>2.4621746076496587E-2</v>
      </c>
      <c r="BG346" s="67"/>
      <c r="BH346" s="84">
        <v>43282</v>
      </c>
      <c r="BI346" s="85">
        <v>103.3646</v>
      </c>
      <c r="BJ346" s="87">
        <f t="shared" si="46"/>
        <v>1.6143723715575931E-3</v>
      </c>
      <c r="BK346" s="67"/>
      <c r="BL346" s="84">
        <v>43282</v>
      </c>
      <c r="BM346" s="86">
        <v>6.1932228</v>
      </c>
      <c r="BN346" s="67"/>
      <c r="BO346" s="88">
        <v>43282</v>
      </c>
      <c r="BP346" s="89">
        <v>2.8405</v>
      </c>
      <c r="BQ346" s="89">
        <v>2.9695</v>
      </c>
      <c r="BR346" s="90">
        <f t="shared" si="37"/>
        <v>-4.3441656844586674E-2</v>
      </c>
    </row>
    <row r="347" spans="1:70">
      <c r="A347" s="62">
        <v>43313</v>
      </c>
      <c r="B347" s="63">
        <v>43313</v>
      </c>
      <c r="C347" s="39">
        <v>69.8</v>
      </c>
      <c r="D347" s="64">
        <v>68.430000000000007</v>
      </c>
      <c r="E347" s="40">
        <f t="shared" si="50"/>
        <v>2.0020458863071688E-2</v>
      </c>
      <c r="F347" s="65"/>
      <c r="G347" s="63">
        <v>43313</v>
      </c>
      <c r="H347" s="39">
        <v>12.86</v>
      </c>
      <c r="I347" s="39">
        <v>13.09</v>
      </c>
      <c r="J347" s="40">
        <f t="shared" si="55"/>
        <v>-1.7570664629488197E-2</v>
      </c>
      <c r="K347" s="67"/>
      <c r="L347" s="68">
        <v>43313</v>
      </c>
      <c r="M347" s="98">
        <v>2901.52</v>
      </c>
      <c r="N347" s="98">
        <v>2821.17</v>
      </c>
      <c r="O347" s="70">
        <f t="shared" si="51"/>
        <v>2.8481091178482743E-2</v>
      </c>
      <c r="P347" s="67"/>
      <c r="Q347" s="38">
        <v>43313</v>
      </c>
      <c r="R347" s="39">
        <v>2.9159999999999999</v>
      </c>
      <c r="S347" s="39">
        <v>2.78</v>
      </c>
      <c r="T347" s="40">
        <f t="shared" si="49"/>
        <v>4.8920863309352525E-2</v>
      </c>
      <c r="U347" s="67"/>
      <c r="V347" s="38">
        <v>43313</v>
      </c>
      <c r="W347" s="39">
        <v>2.2431000000000001</v>
      </c>
      <c r="X347" s="39">
        <v>2.1404999999999998</v>
      </c>
      <c r="Y347" s="40">
        <f t="shared" si="52"/>
        <v>4.7932725998598658E-2</v>
      </c>
      <c r="Z347" s="67"/>
      <c r="AA347" s="71">
        <v>43313</v>
      </c>
      <c r="AB347" s="99">
        <v>1206.7</v>
      </c>
      <c r="AC347" s="99">
        <v>1224.7</v>
      </c>
      <c r="AD347" s="73">
        <f t="shared" si="53"/>
        <v>-1.4697476933126508E-2</v>
      </c>
      <c r="AE347" s="67"/>
      <c r="AF347" s="71">
        <v>43313</v>
      </c>
      <c r="AG347" s="72">
        <v>95.14</v>
      </c>
      <c r="AH347" s="72">
        <v>94.56</v>
      </c>
      <c r="AI347" s="73">
        <f t="shared" si="54"/>
        <v>6.1336717428088772E-3</v>
      </c>
      <c r="AJ347" s="67"/>
      <c r="AK347" s="74">
        <v>43343</v>
      </c>
      <c r="AL347" s="41">
        <v>2.86E-2</v>
      </c>
      <c r="AM347" s="41">
        <f t="shared" si="56"/>
        <v>-1.0000000000000009E-3</v>
      </c>
      <c r="AN347" s="67"/>
      <c r="AO347" s="75">
        <v>43313</v>
      </c>
      <c r="AP347" s="76">
        <v>660012.4</v>
      </c>
      <c r="AQ347" s="80">
        <f t="shared" si="43"/>
        <v>-2.8029697842768542E-6</v>
      </c>
      <c r="AR347" s="67"/>
      <c r="AS347" s="94">
        <v>43313</v>
      </c>
      <c r="AT347" s="78">
        <v>0.97140000000000004</v>
      </c>
      <c r="AU347" s="67"/>
      <c r="AV347" s="79">
        <v>43313</v>
      </c>
      <c r="AW347" s="76">
        <v>407444.6</v>
      </c>
      <c r="AX347" s="80">
        <f t="shared" si="44"/>
        <v>-1.414716115064607E-4</v>
      </c>
      <c r="AY347" s="67"/>
      <c r="AZ347" s="81">
        <v>43313</v>
      </c>
      <c r="BA347" s="82">
        <v>112.74168395996094</v>
      </c>
      <c r="BB347" s="82">
        <v>145.11407470703125</v>
      </c>
      <c r="BC347" s="67"/>
      <c r="BD347" s="83">
        <v>43327</v>
      </c>
      <c r="BE347" s="42">
        <v>11396</v>
      </c>
      <c r="BF347" s="41">
        <f t="shared" si="45"/>
        <v>4.5216912776300022E-2</v>
      </c>
      <c r="BG347" s="67"/>
      <c r="BH347" s="84">
        <v>43313</v>
      </c>
      <c r="BI347" s="85">
        <v>104.03270000000001</v>
      </c>
      <c r="BJ347" s="87">
        <f t="shared" si="46"/>
        <v>6.4635281324554317E-3</v>
      </c>
      <c r="BK347" s="67"/>
      <c r="BL347" s="84">
        <v>43313</v>
      </c>
      <c r="BM347" s="86">
        <v>9.7538271000000005</v>
      </c>
      <c r="BN347" s="67"/>
      <c r="BO347" s="88">
        <v>43313</v>
      </c>
      <c r="BP347" s="89">
        <v>2.6644999999999999</v>
      </c>
      <c r="BQ347" s="89">
        <v>2.8325</v>
      </c>
      <c r="BR347" s="90">
        <f t="shared" si="37"/>
        <v>-5.9311562224183656E-2</v>
      </c>
    </row>
    <row r="348" spans="1:70">
      <c r="A348" s="62">
        <v>43344</v>
      </c>
      <c r="B348" s="63">
        <v>43344</v>
      </c>
      <c r="C348" s="39">
        <v>73.25</v>
      </c>
      <c r="D348" s="64">
        <v>69.89</v>
      </c>
      <c r="E348" s="40">
        <f t="shared" si="50"/>
        <v>4.807554728859631E-2</v>
      </c>
      <c r="F348" s="65"/>
      <c r="G348" s="63">
        <v>43344</v>
      </c>
      <c r="H348" s="39">
        <v>12.12</v>
      </c>
      <c r="I348" s="39">
        <v>13.13</v>
      </c>
      <c r="J348" s="40">
        <f t="shared" si="55"/>
        <v>-7.6923076923076983E-2</v>
      </c>
      <c r="K348" s="67"/>
      <c r="L348" s="68">
        <v>43344</v>
      </c>
      <c r="M348" s="98">
        <v>2913.98</v>
      </c>
      <c r="N348" s="98">
        <v>2896.96</v>
      </c>
      <c r="O348" s="70">
        <f t="shared" si="51"/>
        <v>5.8751242681984728E-3</v>
      </c>
      <c r="P348" s="67"/>
      <c r="Q348" s="38">
        <v>43344</v>
      </c>
      <c r="R348" s="39">
        <v>3.008</v>
      </c>
      <c r="S348" s="39">
        <v>2.9</v>
      </c>
      <c r="T348" s="40">
        <f t="shared" si="49"/>
        <v>3.7241379310344769E-2</v>
      </c>
      <c r="U348" s="67"/>
      <c r="V348" s="38">
        <v>43344</v>
      </c>
      <c r="W348" s="39">
        <v>2.3485</v>
      </c>
      <c r="X348" s="39">
        <v>2.2517999999999998</v>
      </c>
      <c r="Y348" s="40">
        <f t="shared" si="52"/>
        <v>4.2943423039346396E-2</v>
      </c>
      <c r="Z348" s="67"/>
      <c r="AA348" s="71">
        <v>43344</v>
      </c>
      <c r="AB348" s="99">
        <v>1196.2</v>
      </c>
      <c r="AC348" s="99">
        <v>1197.2</v>
      </c>
      <c r="AD348" s="73">
        <f t="shared" si="53"/>
        <v>-8.3528232542595671E-4</v>
      </c>
      <c r="AE348" s="67"/>
      <c r="AF348" s="71">
        <v>43344</v>
      </c>
      <c r="AG348" s="72">
        <v>95.13</v>
      </c>
      <c r="AH348" s="72">
        <v>95.19</v>
      </c>
      <c r="AI348" s="73">
        <f t="shared" si="54"/>
        <v>-6.3031831074700229E-4</v>
      </c>
      <c r="AJ348" s="67"/>
      <c r="AK348" s="74">
        <v>43373</v>
      </c>
      <c r="AL348" s="41">
        <v>3.0499999999999999E-2</v>
      </c>
      <c r="AM348" s="41">
        <f t="shared" si="56"/>
        <v>1.8999999999999989E-3</v>
      </c>
      <c r="AN348" s="67"/>
      <c r="AO348" s="75">
        <v>43344</v>
      </c>
      <c r="AP348" s="76">
        <v>660010.25</v>
      </c>
      <c r="AQ348" s="80">
        <f t="shared" si="43"/>
        <v>-3.2575145558766394E-6</v>
      </c>
      <c r="AR348" s="67"/>
      <c r="AS348" s="94">
        <v>43344</v>
      </c>
      <c r="AT348" s="78">
        <v>0.9345</v>
      </c>
      <c r="AU348" s="67"/>
      <c r="AV348" s="79">
        <v>43344</v>
      </c>
      <c r="AW348" s="76">
        <v>397571</v>
      </c>
      <c r="AX348" s="80">
        <f t="shared" si="44"/>
        <v>-2.4232987748518342E-2</v>
      </c>
      <c r="AY348" s="67"/>
      <c r="AZ348" s="81">
        <v>43344</v>
      </c>
      <c r="BA348" s="82">
        <v>75.053909301757813</v>
      </c>
      <c r="BB348" s="82">
        <v>88.623641967773438</v>
      </c>
      <c r="BC348" s="67"/>
      <c r="BD348" s="83">
        <v>43358</v>
      </c>
      <c r="BE348" s="42">
        <v>11444</v>
      </c>
      <c r="BF348" s="41">
        <f t="shared" si="45"/>
        <v>4.2120042120041834E-3</v>
      </c>
      <c r="BG348" s="67"/>
      <c r="BH348" s="84">
        <v>43344</v>
      </c>
      <c r="BI348" s="85">
        <v>104.10039999999999</v>
      </c>
      <c r="BJ348" s="87">
        <f t="shared" si="46"/>
        <v>6.5075692546656683E-4</v>
      </c>
      <c r="BK348" s="67"/>
      <c r="BL348" s="84">
        <v>43344</v>
      </c>
      <c r="BM348" s="86">
        <v>-6.9849125000000001</v>
      </c>
      <c r="BN348" s="67"/>
      <c r="BO348" s="88">
        <v>43344</v>
      </c>
      <c r="BP348" s="89">
        <v>2.8050000000000002</v>
      </c>
      <c r="BQ348" s="89">
        <v>2.6505000000000001</v>
      </c>
      <c r="BR348" s="90">
        <f t="shared" si="37"/>
        <v>5.829088851160158E-2</v>
      </c>
    </row>
    <row r="349" spans="1:70">
      <c r="A349" s="62">
        <v>43374</v>
      </c>
      <c r="B349" s="63">
        <v>43374</v>
      </c>
      <c r="C349" s="39">
        <v>65.31</v>
      </c>
      <c r="D349" s="64">
        <v>73.290000000000006</v>
      </c>
      <c r="E349" s="40">
        <f t="shared" si="50"/>
        <v>-0.10888252148997135</v>
      </c>
      <c r="F349" s="65"/>
      <c r="G349" s="63">
        <v>43374</v>
      </c>
      <c r="H349" s="39">
        <v>21.23</v>
      </c>
      <c r="I349" s="39">
        <v>11.99</v>
      </c>
      <c r="J349" s="40">
        <f t="shared" si="55"/>
        <v>0.77064220183486243</v>
      </c>
      <c r="K349" s="67"/>
      <c r="L349" s="68">
        <v>43374</v>
      </c>
      <c r="M349" s="98">
        <v>2711.74</v>
      </c>
      <c r="N349" s="98">
        <v>2926.29</v>
      </c>
      <c r="O349" s="70">
        <f t="shared" si="51"/>
        <v>-7.3318092191819728E-2</v>
      </c>
      <c r="P349" s="67"/>
      <c r="Q349" s="38">
        <v>43374</v>
      </c>
      <c r="R349" s="39">
        <v>3.2610000000000001</v>
      </c>
      <c r="S349" s="39">
        <v>3.0070000000000001</v>
      </c>
      <c r="T349" s="40">
        <f t="shared" si="49"/>
        <v>8.4469571000997723E-2</v>
      </c>
      <c r="U349" s="67"/>
      <c r="V349" s="38">
        <v>43374</v>
      </c>
      <c r="W349" s="39">
        <v>2.2513999999999998</v>
      </c>
      <c r="X349" s="39">
        <v>2.36</v>
      </c>
      <c r="Y349" s="40">
        <f t="shared" si="52"/>
        <v>-4.6016949152542397E-2</v>
      </c>
      <c r="Z349" s="67"/>
      <c r="AA349" s="71">
        <v>43374</v>
      </c>
      <c r="AB349" s="99">
        <v>1238.5999999999999</v>
      </c>
      <c r="AC349" s="99">
        <v>1192.7</v>
      </c>
      <c r="AD349" s="73">
        <f t="shared" si="53"/>
        <v>3.8484111679382815E-2</v>
      </c>
      <c r="AE349" s="67"/>
      <c r="AF349" s="71">
        <v>43374</v>
      </c>
      <c r="AG349" s="72">
        <v>97.13</v>
      </c>
      <c r="AH349" s="72">
        <v>95.11</v>
      </c>
      <c r="AI349" s="73">
        <f t="shared" si="54"/>
        <v>2.1238565871096515E-2</v>
      </c>
      <c r="AJ349" s="67"/>
      <c r="AK349" s="74">
        <v>43404</v>
      </c>
      <c r="AL349" s="41">
        <v>3.15E-2</v>
      </c>
      <c r="AM349" s="41">
        <f t="shared" si="56"/>
        <v>1.0000000000000009E-3</v>
      </c>
      <c r="AN349" s="67"/>
      <c r="AO349" s="75">
        <v>43374</v>
      </c>
      <c r="AP349" s="76">
        <v>656937.25</v>
      </c>
      <c r="AQ349" s="80">
        <f t="shared" si="43"/>
        <v>-4.6559882971514144E-3</v>
      </c>
      <c r="AR349" s="67"/>
      <c r="AS349" s="94">
        <v>43374</v>
      </c>
      <c r="AT349" s="78">
        <v>0.89049999999999996</v>
      </c>
      <c r="AU349" s="67"/>
      <c r="AV349" s="79">
        <v>43374</v>
      </c>
      <c r="AW349" s="76">
        <v>418795.75</v>
      </c>
      <c r="AX349" s="80">
        <f t="shared" si="44"/>
        <v>5.3386061860648759E-2</v>
      </c>
      <c r="AY349" s="67"/>
      <c r="AZ349" s="81">
        <v>43374</v>
      </c>
      <c r="BA349" s="82">
        <v>92.0164794921875</v>
      </c>
      <c r="BB349" s="82">
        <v>115.21215057373047</v>
      </c>
      <c r="BC349" s="67"/>
      <c r="BD349" s="83">
        <v>43388</v>
      </c>
      <c r="BE349" s="42">
        <v>11508</v>
      </c>
      <c r="BF349" s="41">
        <f t="shared" si="45"/>
        <v>5.5924501922404168E-3</v>
      </c>
      <c r="BG349" s="67"/>
      <c r="BH349" s="84">
        <v>43374</v>
      </c>
      <c r="BI349" s="85">
        <v>103.98560000000001</v>
      </c>
      <c r="BJ349" s="87">
        <f t="shared" si="46"/>
        <v>-1.1027815455079137E-3</v>
      </c>
      <c r="BK349" s="67"/>
      <c r="BL349" s="84">
        <v>43374</v>
      </c>
      <c r="BM349" s="86">
        <v>-0.49808239999999998</v>
      </c>
      <c r="BN349" s="67"/>
      <c r="BO349" s="88">
        <v>43374</v>
      </c>
      <c r="BP349" s="89">
        <v>2.6669999999999998</v>
      </c>
      <c r="BQ349" s="89">
        <v>2.8010000000000002</v>
      </c>
      <c r="BR349" s="90">
        <f t="shared" si="37"/>
        <v>-4.7840057122456425E-2</v>
      </c>
    </row>
    <row r="350" spans="1:70">
      <c r="A350" s="62">
        <v>43405</v>
      </c>
      <c r="B350" s="63">
        <v>43405</v>
      </c>
      <c r="C350" s="39">
        <v>50.93</v>
      </c>
      <c r="D350" s="64">
        <v>64.88</v>
      </c>
      <c r="E350" s="40">
        <f t="shared" si="50"/>
        <v>-0.21501233045622681</v>
      </c>
      <c r="F350" s="65"/>
      <c r="G350" s="63">
        <v>43405</v>
      </c>
      <c r="H350" s="39">
        <v>18.07</v>
      </c>
      <c r="I350" s="39">
        <v>20.96</v>
      </c>
      <c r="J350" s="40">
        <f t="shared" si="55"/>
        <v>-0.13788167938931295</v>
      </c>
      <c r="K350" s="67"/>
      <c r="L350" s="68">
        <v>43405</v>
      </c>
      <c r="M350" s="98">
        <v>2760.17</v>
      </c>
      <c r="N350" s="98">
        <v>2717.58</v>
      </c>
      <c r="O350" s="70">
        <f t="shared" si="51"/>
        <v>1.5672031734116354E-2</v>
      </c>
      <c r="P350" s="67"/>
      <c r="Q350" s="38">
        <v>43405</v>
      </c>
      <c r="R350" s="39">
        <v>4.6120000000000001</v>
      </c>
      <c r="S350" s="39">
        <v>3.2839999999999998</v>
      </c>
      <c r="T350" s="40">
        <f t="shared" si="49"/>
        <v>0.40438489646772235</v>
      </c>
      <c r="U350" s="67"/>
      <c r="V350" s="38">
        <v>43405</v>
      </c>
      <c r="W350" s="39">
        <v>1.8293999999999999</v>
      </c>
      <c r="X350" s="39">
        <v>2.2393000000000001</v>
      </c>
      <c r="Y350" s="40">
        <f t="shared" si="52"/>
        <v>-0.18304827401420098</v>
      </c>
      <c r="Z350" s="67"/>
      <c r="AA350" s="71">
        <v>43405</v>
      </c>
      <c r="AB350" s="99">
        <v>1226</v>
      </c>
      <c r="AC350" s="99">
        <v>1235.3</v>
      </c>
      <c r="AD350" s="73">
        <f t="shared" si="53"/>
        <v>-7.5285355784019403E-3</v>
      </c>
      <c r="AE350" s="67"/>
      <c r="AF350" s="71">
        <v>43405</v>
      </c>
      <c r="AG350" s="72">
        <v>97.27</v>
      </c>
      <c r="AH350" s="72">
        <v>97.08</v>
      </c>
      <c r="AI350" s="73">
        <f t="shared" si="54"/>
        <v>1.9571487433045487E-3</v>
      </c>
      <c r="AJ350" s="67"/>
      <c r="AK350" s="74">
        <v>43434</v>
      </c>
      <c r="AL350" s="41">
        <v>3.0099999999999998E-2</v>
      </c>
      <c r="AM350" s="41">
        <f t="shared" si="56"/>
        <v>-1.4000000000000019E-3</v>
      </c>
      <c r="AN350" s="67"/>
      <c r="AO350" s="75">
        <v>43405</v>
      </c>
      <c r="AP350" s="76">
        <v>652144.6</v>
      </c>
      <c r="AQ350" s="80">
        <f t="shared" si="43"/>
        <v>-7.2954456456838512E-3</v>
      </c>
      <c r="AR350" s="67"/>
      <c r="AS350" s="94">
        <v>43405</v>
      </c>
      <c r="AT350" s="78">
        <v>0.92779999999999996</v>
      </c>
      <c r="AU350" s="67"/>
      <c r="AV350" s="79">
        <v>43405</v>
      </c>
      <c r="AW350" s="76">
        <v>442879.8</v>
      </c>
      <c r="AX350" s="80">
        <f t="shared" si="44"/>
        <v>5.7507866304755906E-2</v>
      </c>
      <c r="AY350" s="67"/>
      <c r="AZ350" s="81">
        <v>43405</v>
      </c>
      <c r="BA350" s="82">
        <v>80.407585144042969</v>
      </c>
      <c r="BB350" s="82">
        <v>105.16685485839844</v>
      </c>
      <c r="BC350" s="67"/>
      <c r="BD350" s="83">
        <v>43419</v>
      </c>
      <c r="BE350" s="42">
        <v>11892</v>
      </c>
      <c r="BF350" s="41">
        <f t="shared" si="45"/>
        <v>3.3368091762252305E-2</v>
      </c>
      <c r="BG350" s="67"/>
      <c r="BH350" s="84">
        <v>43405</v>
      </c>
      <c r="BI350" s="85">
        <v>104.0681</v>
      </c>
      <c r="BJ350" s="87">
        <f t="shared" si="46"/>
        <v>7.93379083257717E-4</v>
      </c>
      <c r="BK350" s="67"/>
      <c r="BL350" s="84">
        <v>43405</v>
      </c>
      <c r="BM350" s="86">
        <v>-26.199404000000001</v>
      </c>
      <c r="BN350" s="67"/>
      <c r="BO350" s="88">
        <v>43405</v>
      </c>
      <c r="BP350" s="89">
        <v>2.7865000000000002</v>
      </c>
      <c r="BQ350" s="89">
        <v>2.6720000000000002</v>
      </c>
      <c r="BR350" s="90">
        <f t="shared" si="37"/>
        <v>4.2851796407185727E-2</v>
      </c>
    </row>
    <row r="351" spans="1:70">
      <c r="A351" s="62">
        <v>43435</v>
      </c>
      <c r="B351" s="63">
        <v>43435</v>
      </c>
      <c r="C351" s="39">
        <v>45.41</v>
      </c>
      <c r="D351" s="64">
        <v>52.45</v>
      </c>
      <c r="E351" s="40">
        <f t="shared" si="50"/>
        <v>-0.1342230695900859</v>
      </c>
      <c r="F351" s="65"/>
      <c r="G351" s="63">
        <v>43435</v>
      </c>
      <c r="H351" s="39">
        <v>25.42</v>
      </c>
      <c r="I351" s="39">
        <v>16.04</v>
      </c>
      <c r="J351" s="40">
        <f t="shared" si="55"/>
        <v>0.5847880299251873</v>
      </c>
      <c r="K351" s="67"/>
      <c r="L351" s="68">
        <v>43435</v>
      </c>
      <c r="M351" s="98">
        <v>2506.85</v>
      </c>
      <c r="N351" s="98">
        <v>2790.5</v>
      </c>
      <c r="O351" s="70">
        <f t="shared" si="51"/>
        <v>-0.10164845009854873</v>
      </c>
      <c r="P351" s="67"/>
      <c r="Q351" s="38">
        <v>43435</v>
      </c>
      <c r="R351" s="39">
        <v>2.94</v>
      </c>
      <c r="S351" s="39">
        <v>4.5270000000000001</v>
      </c>
      <c r="T351" s="40">
        <f t="shared" si="49"/>
        <v>-0.35056328694499672</v>
      </c>
      <c r="U351" s="67"/>
      <c r="V351" s="38">
        <v>43435</v>
      </c>
      <c r="W351" s="39">
        <v>1.6794</v>
      </c>
      <c r="X351" s="39">
        <v>1.8408</v>
      </c>
      <c r="Y351" s="40">
        <f t="shared" si="52"/>
        <v>-8.7679269882659727E-2</v>
      </c>
      <c r="Z351" s="67"/>
      <c r="AA351" s="71">
        <v>43435</v>
      </c>
      <c r="AB351" s="99">
        <v>1283</v>
      </c>
      <c r="AC351" s="99">
        <v>1236.3</v>
      </c>
      <c r="AD351" s="73">
        <f t="shared" si="53"/>
        <v>3.7774003073687723E-2</v>
      </c>
      <c r="AE351" s="67"/>
      <c r="AF351" s="71">
        <v>43435</v>
      </c>
      <c r="AG351" s="72">
        <v>96.17</v>
      </c>
      <c r="AH351" s="72">
        <v>97.13</v>
      </c>
      <c r="AI351" s="73">
        <f t="shared" si="54"/>
        <v>-9.8836610727889296E-3</v>
      </c>
      <c r="AJ351" s="67"/>
      <c r="AK351" s="74">
        <v>43465</v>
      </c>
      <c r="AL351" s="41">
        <v>2.69E-2</v>
      </c>
      <c r="AM351" s="41">
        <f t="shared" si="56"/>
        <v>-3.199999999999998E-3</v>
      </c>
      <c r="AN351" s="67"/>
      <c r="AO351" s="75">
        <v>43435</v>
      </c>
      <c r="AP351" s="76">
        <v>649244.5</v>
      </c>
      <c r="AQ351" s="80">
        <f t="shared" si="43"/>
        <v>-4.4470198787200932E-3</v>
      </c>
      <c r="AR351" s="67"/>
      <c r="AS351" s="94">
        <v>43435</v>
      </c>
      <c r="AT351" s="78">
        <v>0.95700000000000007</v>
      </c>
      <c r="AU351" s="67"/>
      <c r="AV351" s="79">
        <v>43435</v>
      </c>
      <c r="AW351" s="76">
        <v>441560</v>
      </c>
      <c r="AX351" s="80">
        <f t="shared" si="44"/>
        <v>-2.9800410856398729E-3</v>
      </c>
      <c r="AY351" s="67"/>
      <c r="AZ351" s="81">
        <v>43435</v>
      </c>
      <c r="BA351" s="82">
        <v>90.607666015625</v>
      </c>
      <c r="BB351" s="82">
        <v>106.06269836425781</v>
      </c>
      <c r="BC351" s="67"/>
      <c r="BD351" s="83">
        <v>43449</v>
      </c>
      <c r="BE351" s="42">
        <v>11951</v>
      </c>
      <c r="BF351" s="41">
        <f t="shared" si="45"/>
        <v>4.9613185334678178E-3</v>
      </c>
      <c r="BG351" s="67"/>
      <c r="BH351" s="84">
        <v>43435</v>
      </c>
      <c r="BI351" s="85">
        <v>104.0936</v>
      </c>
      <c r="BJ351" s="87">
        <f t="shared" si="46"/>
        <v>2.4503185894619861E-4</v>
      </c>
      <c r="BK351" s="67"/>
      <c r="BL351" s="84">
        <v>43435</v>
      </c>
      <c r="BM351" s="86">
        <v>-14.770629</v>
      </c>
      <c r="BN351" s="67"/>
      <c r="BO351" s="88">
        <v>43435</v>
      </c>
      <c r="BP351" s="89">
        <v>2.6309999999999998</v>
      </c>
      <c r="BQ351" s="89">
        <v>2.83</v>
      </c>
      <c r="BR351" s="90">
        <f t="shared" si="37"/>
        <v>-7.0318021201413505E-2</v>
      </c>
    </row>
    <row r="352" spans="1:70">
      <c r="A352" s="62">
        <v>43466</v>
      </c>
      <c r="B352" s="63">
        <v>43466</v>
      </c>
      <c r="C352" s="39">
        <v>53.79</v>
      </c>
      <c r="D352" s="64">
        <v>45.8</v>
      </c>
      <c r="E352" s="40">
        <f t="shared" si="50"/>
        <v>0.17445414847161578</v>
      </c>
      <c r="F352" s="65"/>
      <c r="G352" s="63">
        <v>43466</v>
      </c>
      <c r="H352" s="39">
        <v>16.57</v>
      </c>
      <c r="I352" s="39">
        <v>27.67</v>
      </c>
      <c r="J352" s="40">
        <f t="shared" si="55"/>
        <v>-0.40115648717022045</v>
      </c>
      <c r="K352" s="67"/>
      <c r="L352" s="68">
        <v>43466</v>
      </c>
      <c r="M352" s="98">
        <v>2704.1</v>
      </c>
      <c r="N352" s="98">
        <v>2476.96</v>
      </c>
      <c r="O352" s="70">
        <f t="shared" si="51"/>
        <v>9.1701117498869555E-2</v>
      </c>
      <c r="P352" s="67"/>
      <c r="Q352" s="38">
        <v>43466</v>
      </c>
      <c r="R352" s="39">
        <v>2.8140000000000001</v>
      </c>
      <c r="S352" s="39">
        <v>2.9209999999999998</v>
      </c>
      <c r="T352" s="40">
        <f t="shared" si="49"/>
        <v>-3.6631290653885595E-2</v>
      </c>
      <c r="U352" s="67"/>
      <c r="V352" s="38">
        <v>43466</v>
      </c>
      <c r="W352" s="39">
        <v>1.8774</v>
      </c>
      <c r="X352" s="39">
        <v>1.6795</v>
      </c>
      <c r="Y352" s="40">
        <f t="shared" si="52"/>
        <v>0.11783268830008931</v>
      </c>
      <c r="Z352" s="67"/>
      <c r="AA352" s="71">
        <v>43466</v>
      </c>
      <c r="AB352" s="99">
        <v>1322.1</v>
      </c>
      <c r="AC352" s="99">
        <v>1288.5</v>
      </c>
      <c r="AD352" s="73">
        <f t="shared" si="53"/>
        <v>2.6076833527357346E-2</v>
      </c>
      <c r="AE352" s="67"/>
      <c r="AF352" s="71">
        <v>43466</v>
      </c>
      <c r="AG352" s="72">
        <v>95.58</v>
      </c>
      <c r="AH352" s="72">
        <v>96.15</v>
      </c>
      <c r="AI352" s="73">
        <f t="shared" si="54"/>
        <v>-5.9282371294852032E-3</v>
      </c>
      <c r="AJ352" s="67"/>
      <c r="AK352" s="74">
        <v>43496</v>
      </c>
      <c r="AL352" s="41">
        <v>2.63E-2</v>
      </c>
      <c r="AM352" s="41">
        <f t="shared" si="56"/>
        <v>-5.9999999999999984E-4</v>
      </c>
      <c r="AN352" s="67"/>
      <c r="AO352" s="75">
        <v>43466</v>
      </c>
      <c r="AP352" s="76">
        <v>649139</v>
      </c>
      <c r="AQ352" s="80">
        <f t="shared" si="43"/>
        <v>-1.6249656331324136E-4</v>
      </c>
      <c r="AR352" s="67"/>
      <c r="AS352" s="94">
        <v>43466</v>
      </c>
      <c r="AT352" s="78">
        <v>0.93425000000000002</v>
      </c>
      <c r="AU352" s="67"/>
      <c r="AV352" s="79">
        <v>43466</v>
      </c>
      <c r="AW352" s="76">
        <v>441940.5</v>
      </c>
      <c r="AX352" s="80">
        <f t="shared" si="44"/>
        <v>8.6171754687924818E-4</v>
      </c>
      <c r="AY352" s="67"/>
      <c r="AZ352" s="81">
        <v>43466</v>
      </c>
      <c r="BA352" s="82">
        <v>87.424102783203125</v>
      </c>
      <c r="BB352" s="82">
        <v>112.98045349121094</v>
      </c>
      <c r="BC352" s="67"/>
      <c r="BD352" s="83">
        <v>43480</v>
      </c>
      <c r="BE352" s="42">
        <v>11873</v>
      </c>
      <c r="BF352" s="41">
        <f t="shared" si="45"/>
        <v>-6.526650489498742E-3</v>
      </c>
      <c r="BG352" s="67"/>
      <c r="BH352" s="84">
        <v>43466</v>
      </c>
      <c r="BI352" s="85">
        <v>103.4021</v>
      </c>
      <c r="BJ352" s="87">
        <f t="shared" si="46"/>
        <v>-6.6430597078013243E-3</v>
      </c>
      <c r="BK352" s="67"/>
      <c r="BL352" s="84">
        <v>43466</v>
      </c>
      <c r="BM352" s="86">
        <v>-37.305349</v>
      </c>
      <c r="BN352" s="67"/>
      <c r="BO352" s="88">
        <v>43466</v>
      </c>
      <c r="BP352" s="89">
        <v>2.7890000000000001</v>
      </c>
      <c r="BQ352" s="89">
        <v>2.6419999999999999</v>
      </c>
      <c r="BR352" s="90">
        <f t="shared" si="37"/>
        <v>5.5639666919000907E-2</v>
      </c>
    </row>
    <row r="353" spans="1:70">
      <c r="A353" s="62">
        <v>43497</v>
      </c>
      <c r="B353" s="63">
        <v>43497</v>
      </c>
      <c r="C353" s="39">
        <v>57.22</v>
      </c>
      <c r="D353" s="64">
        <v>54.01</v>
      </c>
      <c r="E353" s="40">
        <f t="shared" si="50"/>
        <v>5.9433438252175508E-2</v>
      </c>
      <c r="F353" s="65"/>
      <c r="G353" s="63">
        <v>43497</v>
      </c>
      <c r="H353" s="39">
        <v>14.7</v>
      </c>
      <c r="I353" s="39">
        <v>16.37</v>
      </c>
      <c r="J353" s="40">
        <f t="shared" si="55"/>
        <v>-0.10201588271227868</v>
      </c>
      <c r="K353" s="67"/>
      <c r="L353" s="68">
        <v>43497</v>
      </c>
      <c r="M353" s="98">
        <v>2784.49</v>
      </c>
      <c r="N353" s="98">
        <v>2702.32</v>
      </c>
      <c r="O353" s="70">
        <f t="shared" si="51"/>
        <v>3.040720566032129E-2</v>
      </c>
      <c r="P353" s="67"/>
      <c r="Q353" s="38">
        <v>43497</v>
      </c>
      <c r="R353" s="39">
        <v>2.8119999999999998</v>
      </c>
      <c r="S353" s="39">
        <v>2.8319999999999999</v>
      </c>
      <c r="T353" s="40">
        <f t="shared" si="49"/>
        <v>-7.0621468926553854E-3</v>
      </c>
      <c r="U353" s="67"/>
      <c r="V353" s="38">
        <v>43497</v>
      </c>
      <c r="W353" s="39">
        <v>2.0272999999999999</v>
      </c>
      <c r="X353" s="39">
        <v>1.8717999999999999</v>
      </c>
      <c r="Y353" s="40">
        <f t="shared" si="52"/>
        <v>8.3075114862698918E-2</v>
      </c>
      <c r="Z353" s="67"/>
      <c r="AA353" s="71">
        <v>43497</v>
      </c>
      <c r="AB353" s="99">
        <v>1299.2</v>
      </c>
      <c r="AC353" s="99">
        <v>1316.8</v>
      </c>
      <c r="AD353" s="73">
        <f t="shared" si="53"/>
        <v>-1.3365735115431265E-2</v>
      </c>
      <c r="AE353" s="67"/>
      <c r="AF353" s="71">
        <v>43497</v>
      </c>
      <c r="AG353" s="72">
        <v>96.16</v>
      </c>
      <c r="AH353" s="72">
        <v>95.55</v>
      </c>
      <c r="AI353" s="73">
        <f t="shared" si="54"/>
        <v>6.3840920983777583E-3</v>
      </c>
      <c r="AJ353" s="67"/>
      <c r="AK353" s="74">
        <v>43524</v>
      </c>
      <c r="AL353" s="41">
        <v>2.7300000000000001E-2</v>
      </c>
      <c r="AM353" s="41">
        <f t="shared" si="56"/>
        <v>1.0000000000000009E-3</v>
      </c>
      <c r="AN353" s="67"/>
      <c r="AO353" s="75">
        <v>43497</v>
      </c>
      <c r="AP353" s="76">
        <v>649139</v>
      </c>
      <c r="AQ353" s="80">
        <f t="shared" si="43"/>
        <v>0</v>
      </c>
      <c r="AR353" s="67"/>
      <c r="AS353" s="94">
        <v>43497</v>
      </c>
      <c r="AT353" s="78">
        <v>0.87400000000000011</v>
      </c>
      <c r="AU353" s="67"/>
      <c r="AV353" s="79">
        <v>43497</v>
      </c>
      <c r="AW353" s="76">
        <v>449606</v>
      </c>
      <c r="AX353" s="80">
        <f t="shared" si="44"/>
        <v>1.7345095097643259E-2</v>
      </c>
      <c r="AY353" s="67"/>
      <c r="AZ353" s="81">
        <v>43497</v>
      </c>
      <c r="BA353" s="82">
        <v>96.800163269042969</v>
      </c>
      <c r="BB353" s="82">
        <v>127.857421875</v>
      </c>
      <c r="BC353" s="67"/>
      <c r="BD353" s="83">
        <v>43511</v>
      </c>
      <c r="BE353" s="42">
        <v>11653</v>
      </c>
      <c r="BF353" s="41">
        <f t="shared" si="45"/>
        <v>-1.8529436536679822E-2</v>
      </c>
      <c r="BG353" s="67"/>
      <c r="BH353" s="84">
        <v>43497</v>
      </c>
      <c r="BI353" s="85">
        <v>102.83710000000001</v>
      </c>
      <c r="BJ353" s="87">
        <f t="shared" si="46"/>
        <v>-5.4641056612969585E-3</v>
      </c>
      <c r="BK353" s="67"/>
      <c r="BL353" s="84">
        <v>43497</v>
      </c>
      <c r="BM353" s="86">
        <v>-89.909567999999993</v>
      </c>
      <c r="BN353" s="67"/>
      <c r="BO353" s="88">
        <v>43497</v>
      </c>
      <c r="BP353" s="89">
        <v>2.948</v>
      </c>
      <c r="BQ353" s="89">
        <v>2.7835000000000001</v>
      </c>
      <c r="BR353" s="90">
        <f t="shared" si="37"/>
        <v>5.9098257589365932E-2</v>
      </c>
    </row>
    <row r="354" spans="1:70">
      <c r="A354" s="62">
        <v>43525</v>
      </c>
      <c r="B354" s="63">
        <v>43525</v>
      </c>
      <c r="C354" s="39">
        <v>60.14</v>
      </c>
      <c r="D354" s="64">
        <v>57.22</v>
      </c>
      <c r="E354" s="40">
        <f t="shared" si="50"/>
        <v>5.1031108004194303E-2</v>
      </c>
      <c r="F354" s="65"/>
      <c r="G354" s="63">
        <v>43525</v>
      </c>
      <c r="H354" s="39">
        <v>13.71</v>
      </c>
      <c r="I354" s="39">
        <v>14.57</v>
      </c>
      <c r="J354" s="40">
        <f t="shared" si="55"/>
        <v>-5.9025394646533891E-2</v>
      </c>
      <c r="K354" s="67"/>
      <c r="L354" s="68">
        <v>43525</v>
      </c>
      <c r="M354" s="98">
        <v>2834.4</v>
      </c>
      <c r="N354" s="98">
        <v>2798.22</v>
      </c>
      <c r="O354" s="70">
        <f t="shared" si="51"/>
        <v>1.2929648133456428E-2</v>
      </c>
      <c r="P354" s="67"/>
      <c r="Q354" s="38">
        <v>43525</v>
      </c>
      <c r="R354" s="39">
        <v>2.6619999999999999</v>
      </c>
      <c r="S354" s="39">
        <v>2.8050000000000002</v>
      </c>
      <c r="T354" s="40">
        <f t="shared" si="49"/>
        <v>-5.0980392156862786E-2</v>
      </c>
      <c r="U354" s="67"/>
      <c r="V354" s="38">
        <v>43525</v>
      </c>
      <c r="W354" s="39">
        <v>1.9714</v>
      </c>
      <c r="X354" s="39">
        <v>2.0246</v>
      </c>
      <c r="Y354" s="40">
        <f t="shared" si="52"/>
        <v>-2.6276795416378507E-2</v>
      </c>
      <c r="Z354" s="67"/>
      <c r="AA354" s="71">
        <v>43525</v>
      </c>
      <c r="AB354" s="99">
        <v>1298.5</v>
      </c>
      <c r="AC354" s="99">
        <v>1287.8</v>
      </c>
      <c r="AD354" s="73">
        <f t="shared" si="53"/>
        <v>8.308743593725687E-3</v>
      </c>
      <c r="AE354" s="67"/>
      <c r="AF354" s="71">
        <v>43525</v>
      </c>
      <c r="AG354" s="72">
        <v>97.28</v>
      </c>
      <c r="AH354" s="72">
        <v>96.22</v>
      </c>
      <c r="AI354" s="73">
        <f t="shared" si="54"/>
        <v>1.1016420702556706E-2</v>
      </c>
      <c r="AJ354" s="67"/>
      <c r="AK354" s="74">
        <v>43555</v>
      </c>
      <c r="AL354" s="41">
        <v>2.41E-2</v>
      </c>
      <c r="AM354" s="41">
        <f t="shared" si="56"/>
        <v>-3.2000000000000015E-3</v>
      </c>
      <c r="AN354" s="67"/>
      <c r="AO354" s="75">
        <v>43525</v>
      </c>
      <c r="AP354" s="76">
        <v>649126</v>
      </c>
      <c r="AQ354" s="80">
        <f t="shared" si="43"/>
        <v>-2.0026527446370679E-5</v>
      </c>
      <c r="AR354" s="67"/>
      <c r="AS354" s="94">
        <v>43525</v>
      </c>
      <c r="AT354" s="78">
        <v>0.87400000000000011</v>
      </c>
      <c r="AU354" s="67"/>
      <c r="AV354" s="79">
        <v>43525</v>
      </c>
      <c r="AW354" s="76">
        <v>446658.6</v>
      </c>
      <c r="AX354" s="80">
        <f t="shared" si="44"/>
        <v>-6.5555174975423514E-3</v>
      </c>
      <c r="AY354" s="67"/>
      <c r="AZ354" s="81">
        <v>43525</v>
      </c>
      <c r="BA354" s="82">
        <v>82.328292846679688</v>
      </c>
      <c r="BB354" s="82">
        <v>90.789596557617188</v>
      </c>
      <c r="BC354" s="67"/>
      <c r="BD354" s="83">
        <v>43539</v>
      </c>
      <c r="BE354" s="42">
        <v>11912</v>
      </c>
      <c r="BF354" s="41">
        <f t="shared" si="45"/>
        <v>2.2226036213850442E-2</v>
      </c>
      <c r="BG354" s="67"/>
      <c r="BH354" s="84">
        <v>43525</v>
      </c>
      <c r="BI354" s="85">
        <v>102.87569999999999</v>
      </c>
      <c r="BJ354" s="87">
        <f t="shared" si="46"/>
        <v>3.7535091907470175E-4</v>
      </c>
      <c r="BK354" s="67"/>
      <c r="BL354" s="84">
        <v>43525</v>
      </c>
      <c r="BM354" s="86">
        <v>-82.323511999999994</v>
      </c>
      <c r="BN354" s="67"/>
      <c r="BO354" s="88">
        <v>43525</v>
      </c>
      <c r="BP354" s="89">
        <v>2.9394999999999998</v>
      </c>
      <c r="BQ354" s="89">
        <v>2.9434999999999998</v>
      </c>
      <c r="BR354" s="90">
        <f t="shared" si="37"/>
        <v>-1.3589264481059793E-3</v>
      </c>
    </row>
    <row r="355" spans="1:70">
      <c r="A355" s="62">
        <v>43556</v>
      </c>
      <c r="B355" s="63">
        <v>43556</v>
      </c>
      <c r="C355" s="39">
        <v>63.91</v>
      </c>
      <c r="D355" s="64">
        <v>60.24</v>
      </c>
      <c r="E355" s="40">
        <f t="shared" si="50"/>
        <v>6.0922974767596116E-2</v>
      </c>
      <c r="F355" s="65"/>
      <c r="G355" s="63">
        <v>43556</v>
      </c>
      <c r="H355" s="39">
        <v>13.12</v>
      </c>
      <c r="I355" s="39">
        <v>13.9</v>
      </c>
      <c r="J355" s="40">
        <f t="shared" si="55"/>
        <v>-5.6115107913669138E-2</v>
      </c>
      <c r="K355" s="67"/>
      <c r="L355" s="68">
        <v>43556</v>
      </c>
      <c r="M355" s="98">
        <v>2945.83</v>
      </c>
      <c r="N355" s="98">
        <v>2848.63</v>
      </c>
      <c r="O355" s="70">
        <f t="shared" si="51"/>
        <v>3.4121665502364174E-2</v>
      </c>
      <c r="P355" s="67"/>
      <c r="Q355" s="38">
        <v>43556</v>
      </c>
      <c r="R355" s="39">
        <v>2.5750000000000002</v>
      </c>
      <c r="S355" s="39">
        <v>2.6629999999999998</v>
      </c>
      <c r="T355" s="40">
        <f t="shared" si="49"/>
        <v>-3.3045437476530104E-2</v>
      </c>
      <c r="U355" s="67"/>
      <c r="V355" s="38">
        <v>43556</v>
      </c>
      <c r="W355" s="39">
        <v>2.0779000000000001</v>
      </c>
      <c r="X355" s="39">
        <v>1.9770000000000001</v>
      </c>
      <c r="Y355" s="40">
        <f t="shared" si="52"/>
        <v>5.1036924633282688E-2</v>
      </c>
      <c r="Z355" s="67"/>
      <c r="AA355" s="71">
        <v>43556</v>
      </c>
      <c r="AB355" s="99">
        <v>1284.2</v>
      </c>
      <c r="AC355" s="99">
        <v>1292.2</v>
      </c>
      <c r="AD355" s="73">
        <f t="shared" si="53"/>
        <v>-6.1909921064851048E-3</v>
      </c>
      <c r="AE355" s="67"/>
      <c r="AF355" s="71">
        <v>43556</v>
      </c>
      <c r="AG355" s="72">
        <v>97.48</v>
      </c>
      <c r="AH355" s="72">
        <v>97.18</v>
      </c>
      <c r="AI355" s="73">
        <f t="shared" si="54"/>
        <v>3.0870549495780608E-3</v>
      </c>
      <c r="AJ355" s="67"/>
      <c r="AK355" s="74">
        <v>43585</v>
      </c>
      <c r="AL355" s="41">
        <v>2.5099999999999997E-2</v>
      </c>
      <c r="AM355" s="41">
        <f t="shared" si="56"/>
        <v>9.9999999999999742E-4</v>
      </c>
      <c r="AN355" s="67"/>
      <c r="AO355" s="75">
        <v>43556</v>
      </c>
      <c r="AP355" s="76">
        <v>648991.25</v>
      </c>
      <c r="AQ355" s="80">
        <f t="shared" si="43"/>
        <v>-2.0758681673516133E-4</v>
      </c>
      <c r="AR355" s="67"/>
      <c r="AS355" s="94">
        <v>43556</v>
      </c>
      <c r="AT355" s="78">
        <v>0.88624999999999998</v>
      </c>
      <c r="AU355" s="67"/>
      <c r="AV355" s="79">
        <v>43556</v>
      </c>
      <c r="AW355" s="76">
        <v>460726</v>
      </c>
      <c r="AX355" s="80">
        <f t="shared" si="44"/>
        <v>3.1494747890223218E-2</v>
      </c>
      <c r="AY355" s="67"/>
      <c r="AZ355" s="81">
        <v>43556</v>
      </c>
      <c r="BA355" s="82">
        <v>79.253448486328125</v>
      </c>
      <c r="BB355" s="82">
        <v>95.455398559570313</v>
      </c>
      <c r="BC355" s="67"/>
      <c r="BD355" s="83">
        <v>43570</v>
      </c>
      <c r="BE355" s="42">
        <v>12144</v>
      </c>
      <c r="BF355" s="41">
        <f t="shared" si="45"/>
        <v>1.9476158495634666E-2</v>
      </c>
      <c r="BG355" s="67"/>
      <c r="BH355" s="84">
        <v>43556</v>
      </c>
      <c r="BI355" s="85">
        <v>102.274</v>
      </c>
      <c r="BJ355" s="87">
        <f t="shared" si="46"/>
        <v>-5.8488058890485695E-3</v>
      </c>
      <c r="BK355" s="67"/>
      <c r="BL355" s="84">
        <v>43556</v>
      </c>
      <c r="BM355" s="86">
        <v>-69.712781000000007</v>
      </c>
      <c r="BN355" s="67"/>
      <c r="BO355" s="88">
        <v>43556</v>
      </c>
      <c r="BP355" s="89">
        <v>2.9039999999999999</v>
      </c>
      <c r="BQ355" s="89">
        <v>2.95</v>
      </c>
      <c r="BR355" s="90">
        <f t="shared" si="37"/>
        <v>-1.5593220338983138E-2</v>
      </c>
    </row>
    <row r="356" spans="1:70">
      <c r="A356" s="62">
        <v>43586</v>
      </c>
      <c r="B356" s="63">
        <v>43586</v>
      </c>
      <c r="C356" s="39">
        <v>53.5</v>
      </c>
      <c r="D356" s="64">
        <v>63.4</v>
      </c>
      <c r="E356" s="40">
        <f t="shared" si="50"/>
        <v>-0.15615141955835965</v>
      </c>
      <c r="F356" s="65"/>
      <c r="G356" s="63">
        <v>43586</v>
      </c>
      <c r="H356" s="39">
        <v>18.71</v>
      </c>
      <c r="I356" s="39">
        <v>12.86</v>
      </c>
      <c r="J356" s="40">
        <f t="shared" si="55"/>
        <v>0.45489891135303284</v>
      </c>
      <c r="K356" s="67"/>
      <c r="L356" s="68">
        <v>43586</v>
      </c>
      <c r="M356" s="98">
        <v>2752.06</v>
      </c>
      <c r="N356" s="98">
        <v>2952.33</v>
      </c>
      <c r="O356" s="70">
        <f t="shared" si="51"/>
        <v>-6.7834557789948957E-2</v>
      </c>
      <c r="P356" s="67"/>
      <c r="Q356" s="38">
        <v>43586</v>
      </c>
      <c r="R356" s="39">
        <v>2.4540000000000002</v>
      </c>
      <c r="S356" s="39">
        <v>2.5720000000000001</v>
      </c>
      <c r="T356" s="40">
        <f t="shared" si="49"/>
        <v>-4.5878693623639166E-2</v>
      </c>
      <c r="U356" s="67"/>
      <c r="V356" s="38">
        <v>43586</v>
      </c>
      <c r="W356" s="39">
        <v>1.8404</v>
      </c>
      <c r="X356" s="39">
        <v>2.0714999999999999</v>
      </c>
      <c r="Y356" s="40">
        <f t="shared" si="52"/>
        <v>-0.11156167028723141</v>
      </c>
      <c r="Z356" s="67"/>
      <c r="AA356" s="71">
        <v>43586</v>
      </c>
      <c r="AB356" s="99">
        <v>1311.1</v>
      </c>
      <c r="AC356" s="99">
        <v>1278.5</v>
      </c>
      <c r="AD356" s="73">
        <f t="shared" si="53"/>
        <v>2.5498631208447309E-2</v>
      </c>
      <c r="AE356" s="67"/>
      <c r="AF356" s="71">
        <v>43586</v>
      </c>
      <c r="AG356" s="72">
        <v>97.75</v>
      </c>
      <c r="AH356" s="72">
        <v>97.53</v>
      </c>
      <c r="AI356" s="73">
        <f t="shared" si="54"/>
        <v>2.2557161898901779E-3</v>
      </c>
      <c r="AJ356" s="67"/>
      <c r="AK356" s="74">
        <v>43616</v>
      </c>
      <c r="AL356" s="41">
        <v>2.1400000000000002E-2</v>
      </c>
      <c r="AM356" s="41">
        <f t="shared" si="56"/>
        <v>-3.699999999999995E-3</v>
      </c>
      <c r="AN356" s="67"/>
      <c r="AO356" s="92">
        <v>43586</v>
      </c>
      <c r="AP356" s="76">
        <v>645624.80000000005</v>
      </c>
      <c r="AQ356" s="80">
        <f t="shared" si="43"/>
        <v>-5.1872039877269849E-3</v>
      </c>
      <c r="AR356" s="67"/>
      <c r="AS356" s="97">
        <v>43586</v>
      </c>
      <c r="AT356" s="78">
        <v>0.90459999999999996</v>
      </c>
      <c r="AU356" s="67"/>
      <c r="AV356" s="93">
        <v>43586</v>
      </c>
      <c r="AW356" s="76">
        <v>475034.2</v>
      </c>
      <c r="AX356" s="80">
        <f t="shared" si="44"/>
        <v>3.1055768504490766E-2</v>
      </c>
      <c r="AY356" s="67"/>
      <c r="AZ356" s="81">
        <v>43586</v>
      </c>
      <c r="BA356" s="82">
        <v>106.47190093994141</v>
      </c>
      <c r="BB356" s="82">
        <v>134.97251892089844</v>
      </c>
      <c r="BC356" s="67"/>
      <c r="BD356" s="83">
        <v>43600</v>
      </c>
      <c r="BE356" s="42">
        <v>12151</v>
      </c>
      <c r="BF356" s="41">
        <f t="shared" si="45"/>
        <v>5.7641633728588992E-4</v>
      </c>
      <c r="BG356" s="67"/>
      <c r="BH356" s="84">
        <v>43586</v>
      </c>
      <c r="BI356" s="85">
        <v>102.392</v>
      </c>
      <c r="BJ356" s="87">
        <f t="shared" si="46"/>
        <v>1.153763419832865E-3</v>
      </c>
      <c r="BK356" s="67"/>
      <c r="BL356" s="84">
        <v>43586</v>
      </c>
      <c r="BM356" s="86">
        <v>-40.285755000000002</v>
      </c>
      <c r="BN356" s="67"/>
      <c r="BO356" s="88">
        <v>43586</v>
      </c>
      <c r="BP356" s="89">
        <v>2.6404999999999998</v>
      </c>
      <c r="BQ356" s="89">
        <v>2.9075000000000002</v>
      </c>
      <c r="BR356" s="90">
        <f t="shared" si="37"/>
        <v>-9.1831470335339782E-2</v>
      </c>
    </row>
    <row r="357" spans="1:70">
      <c r="A357" s="62">
        <v>43617</v>
      </c>
      <c r="B357" s="63">
        <v>43617</v>
      </c>
      <c r="C357" s="39">
        <v>58.47</v>
      </c>
      <c r="D357" s="64">
        <v>53.42</v>
      </c>
      <c r="E357" s="40">
        <f t="shared" si="50"/>
        <v>9.4533882441033334E-2</v>
      </c>
      <c r="F357" s="65"/>
      <c r="G357" s="63">
        <v>43617</v>
      </c>
      <c r="H357" s="39">
        <v>15.08</v>
      </c>
      <c r="I357" s="39">
        <v>19.41</v>
      </c>
      <c r="J357" s="40">
        <f t="shared" si="55"/>
        <v>-0.22308088614116439</v>
      </c>
      <c r="K357" s="67"/>
      <c r="L357" s="68">
        <v>43617</v>
      </c>
      <c r="M357" s="98">
        <v>2941.76</v>
      </c>
      <c r="N357" s="98">
        <v>2751.53</v>
      </c>
      <c r="O357" s="70">
        <f t="shared" si="51"/>
        <v>6.9136080653309229E-2</v>
      </c>
      <c r="P357" s="67"/>
      <c r="Q357" s="38">
        <v>43617</v>
      </c>
      <c r="R357" s="39">
        <v>2.3079999999999998</v>
      </c>
      <c r="S357" s="39">
        <v>2.444</v>
      </c>
      <c r="T357" s="40">
        <f t="shared" si="49"/>
        <v>-5.5646481178396101E-2</v>
      </c>
      <c r="U357" s="67"/>
      <c r="V357" s="38">
        <v>43617</v>
      </c>
      <c r="W357" s="39">
        <v>1.9394</v>
      </c>
      <c r="X357" s="39">
        <v>1.8456999999999999</v>
      </c>
      <c r="Y357" s="40">
        <f t="shared" si="52"/>
        <v>5.0766646800672E-2</v>
      </c>
      <c r="Z357" s="67"/>
      <c r="AA357" s="71">
        <v>43617</v>
      </c>
      <c r="AB357" s="99">
        <v>1413.7</v>
      </c>
      <c r="AC357" s="99">
        <v>1329.7</v>
      </c>
      <c r="AD357" s="73">
        <f t="shared" si="53"/>
        <v>6.3172144092652482E-2</v>
      </c>
      <c r="AE357" s="67"/>
      <c r="AF357" s="71">
        <v>43617</v>
      </c>
      <c r="AG357" s="72">
        <v>96.13</v>
      </c>
      <c r="AH357" s="72">
        <v>97.64</v>
      </c>
      <c r="AI357" s="73">
        <f t="shared" si="54"/>
        <v>-1.5464973371569046E-2</v>
      </c>
      <c r="AJ357" s="67"/>
      <c r="AK357" s="74">
        <v>43646</v>
      </c>
      <c r="AL357" s="41">
        <v>0.02</v>
      </c>
      <c r="AM357" s="41">
        <f t="shared" si="56"/>
        <v>-1.4000000000000019E-3</v>
      </c>
      <c r="AN357" s="67"/>
      <c r="AO357" s="75">
        <v>43617</v>
      </c>
      <c r="AP357" s="76">
        <v>644818</v>
      </c>
      <c r="AQ357" s="80">
        <f t="shared" si="43"/>
        <v>-1.2496422070528146E-3</v>
      </c>
      <c r="AR357" s="67"/>
      <c r="AS357" s="94">
        <v>43617</v>
      </c>
      <c r="AT357" s="78">
        <v>0.93874999999999997</v>
      </c>
      <c r="AU357" s="67"/>
      <c r="AV357" s="79">
        <v>43617</v>
      </c>
      <c r="AW357" s="76">
        <v>476475.25</v>
      </c>
      <c r="AX357" s="80">
        <f t="shared" si="44"/>
        <v>3.0335710565680962E-3</v>
      </c>
      <c r="AY357" s="67"/>
      <c r="AZ357" s="81">
        <v>43617</v>
      </c>
      <c r="BA357" s="82">
        <v>106.58845520019531</v>
      </c>
      <c r="BB357" s="82">
        <v>142.65348815917969</v>
      </c>
      <c r="BC357" s="67"/>
      <c r="BD357" s="83">
        <v>43631</v>
      </c>
      <c r="BE357" s="42">
        <v>12222</v>
      </c>
      <c r="BF357" s="41">
        <f t="shared" si="45"/>
        <v>5.8431404822647526E-3</v>
      </c>
      <c r="BG357" s="67"/>
      <c r="BH357" s="84">
        <v>43617</v>
      </c>
      <c r="BI357" s="85">
        <v>102.4375</v>
      </c>
      <c r="BJ357" s="87">
        <f t="shared" si="46"/>
        <v>4.4437065395741548E-4</v>
      </c>
      <c r="BK357" s="67"/>
      <c r="BL357" s="84">
        <v>43617</v>
      </c>
      <c r="BM357" s="86">
        <v>-27.580912000000001</v>
      </c>
      <c r="BN357" s="67"/>
      <c r="BO357" s="88">
        <v>43617</v>
      </c>
      <c r="BP357" s="89">
        <v>2.7134999999999998</v>
      </c>
      <c r="BQ357" s="89">
        <v>2.625</v>
      </c>
      <c r="BR357" s="90">
        <f t="shared" si="37"/>
        <v>3.3714285714285586E-2</v>
      </c>
    </row>
    <row r="358" spans="1:70">
      <c r="A358" s="62">
        <v>43647</v>
      </c>
      <c r="B358" s="63">
        <v>43647</v>
      </c>
      <c r="C358" s="39">
        <v>58.58</v>
      </c>
      <c r="D358" s="64">
        <v>59.27</v>
      </c>
      <c r="E358" s="40">
        <f t="shared" si="50"/>
        <v>-1.1641639952758687E-2</v>
      </c>
      <c r="F358" s="65"/>
      <c r="G358" s="63">
        <v>43647</v>
      </c>
      <c r="H358" s="39">
        <v>16.12</v>
      </c>
      <c r="I358" s="39">
        <v>13.85</v>
      </c>
      <c r="J358" s="40">
        <f t="shared" si="55"/>
        <v>0.16389891696750913</v>
      </c>
      <c r="K358" s="67"/>
      <c r="L358" s="68">
        <v>43647</v>
      </c>
      <c r="M358" s="98">
        <v>2980.38</v>
      </c>
      <c r="N358" s="98">
        <v>2971.41</v>
      </c>
      <c r="O358" s="70">
        <f t="shared" si="51"/>
        <v>3.0187688673055657E-3</v>
      </c>
      <c r="P358" s="67"/>
      <c r="Q358" s="38">
        <v>43647</v>
      </c>
      <c r="R358" s="39">
        <v>2.2330000000000001</v>
      </c>
      <c r="S358" s="39">
        <v>2.33</v>
      </c>
      <c r="T358" s="40">
        <f t="shared" si="49"/>
        <v>-4.1630901287553645E-2</v>
      </c>
      <c r="U358" s="67"/>
      <c r="V358" s="38">
        <v>43647</v>
      </c>
      <c r="W358" s="39">
        <v>1.9706999999999999</v>
      </c>
      <c r="X358" s="39">
        <v>1.9634</v>
      </c>
      <c r="Y358" s="40">
        <f t="shared" si="52"/>
        <v>3.7180401344605318E-3</v>
      </c>
      <c r="Z358" s="67"/>
      <c r="AA358" s="71">
        <v>43647</v>
      </c>
      <c r="AB358" s="99">
        <v>1432.4</v>
      </c>
      <c r="AC358" s="99">
        <v>1386.2</v>
      </c>
      <c r="AD358" s="73">
        <f t="shared" si="53"/>
        <v>3.3328524022507633E-2</v>
      </c>
      <c r="AE358" s="67"/>
      <c r="AF358" s="71">
        <v>43647</v>
      </c>
      <c r="AG358" s="72">
        <v>98.52</v>
      </c>
      <c r="AH358" s="72">
        <v>96.25</v>
      </c>
      <c r="AI358" s="73">
        <f t="shared" si="54"/>
        <v>2.3584415584415597E-2</v>
      </c>
      <c r="AJ358" s="67"/>
      <c r="AK358" s="74">
        <v>43677</v>
      </c>
      <c r="AL358" s="41">
        <v>2.0199999999999999E-2</v>
      </c>
      <c r="AM358" s="41">
        <f t="shared" si="56"/>
        <v>1.9999999999999879E-4</v>
      </c>
      <c r="AN358" s="67"/>
      <c r="AO358" s="75">
        <v>43647</v>
      </c>
      <c r="AP358" s="76">
        <v>644818</v>
      </c>
      <c r="AQ358" s="80">
        <f t="shared" si="43"/>
        <v>0</v>
      </c>
      <c r="AR358" s="67"/>
      <c r="AS358" s="94">
        <v>43647</v>
      </c>
      <c r="AT358" s="78">
        <v>0.93799999999999994</v>
      </c>
      <c r="AU358" s="67"/>
      <c r="AV358" s="79">
        <v>43647</v>
      </c>
      <c r="AW358" s="76">
        <v>449113.5</v>
      </c>
      <c r="AX358" s="80">
        <f t="shared" si="44"/>
        <v>-5.7425333215104013E-2</v>
      </c>
      <c r="AY358" s="67"/>
      <c r="AZ358" s="81">
        <v>43647</v>
      </c>
      <c r="BA358" s="82">
        <v>93.521255493164063</v>
      </c>
      <c r="BB358" s="82">
        <v>126.93077850341797</v>
      </c>
      <c r="BC358" s="67"/>
      <c r="BD358" s="83">
        <v>43661</v>
      </c>
      <c r="BE358" s="42">
        <v>11907</v>
      </c>
      <c r="BF358" s="41">
        <f t="shared" si="45"/>
        <v>-2.5773195876288679E-2</v>
      </c>
      <c r="BG358" s="67"/>
      <c r="BH358" s="84">
        <v>43647</v>
      </c>
      <c r="BI358" s="85">
        <v>101.9408</v>
      </c>
      <c r="BJ358" s="87">
        <f t="shared" si="46"/>
        <v>-4.848810250152602E-3</v>
      </c>
      <c r="BK358" s="67"/>
      <c r="BL358" s="84">
        <v>43647</v>
      </c>
      <c r="BM358" s="86">
        <v>18.908104999999999</v>
      </c>
      <c r="BN358" s="67"/>
      <c r="BO358" s="88">
        <v>43647</v>
      </c>
      <c r="BP358" s="89">
        <v>2.6715</v>
      </c>
      <c r="BQ358" s="89">
        <v>2.75</v>
      </c>
      <c r="BR358" s="90">
        <f t="shared" si="37"/>
        <v>-2.8545454545454541E-2</v>
      </c>
    </row>
    <row r="359" spans="1:70">
      <c r="A359" s="62">
        <v>43678</v>
      </c>
      <c r="B359" s="63">
        <v>43678</v>
      </c>
      <c r="C359" s="39">
        <v>55.1</v>
      </c>
      <c r="D359" s="64">
        <v>57.85</v>
      </c>
      <c r="E359" s="40">
        <f t="shared" si="50"/>
        <v>-4.7536732929991388E-2</v>
      </c>
      <c r="F359" s="65"/>
      <c r="G359" s="63">
        <v>43678</v>
      </c>
      <c r="H359" s="39">
        <v>18.98</v>
      </c>
      <c r="I359" s="39">
        <v>15.41</v>
      </c>
      <c r="J359" s="40">
        <f t="shared" si="55"/>
        <v>0.23166774821544456</v>
      </c>
      <c r="K359" s="67"/>
      <c r="L359" s="68">
        <v>43678</v>
      </c>
      <c r="M359" s="98">
        <v>2926.46</v>
      </c>
      <c r="N359" s="98">
        <v>2980.32</v>
      </c>
      <c r="O359" s="70">
        <f t="shared" si="51"/>
        <v>-1.8071884898266055E-2</v>
      </c>
      <c r="P359" s="67"/>
      <c r="Q359" s="38">
        <v>43678</v>
      </c>
      <c r="R359" s="39">
        <v>2.2850000000000001</v>
      </c>
      <c r="S359" s="39">
        <v>2.238</v>
      </c>
      <c r="T359" s="40">
        <f t="shared" si="49"/>
        <v>2.1000893655049202E-2</v>
      </c>
      <c r="U359" s="67"/>
      <c r="V359" s="38">
        <v>43678</v>
      </c>
      <c r="W359" s="39">
        <v>1.8372999999999999</v>
      </c>
      <c r="X359" s="39">
        <v>1.9599</v>
      </c>
      <c r="Y359" s="40">
        <f t="shared" si="52"/>
        <v>-6.2554211949589322E-2</v>
      </c>
      <c r="Z359" s="67"/>
      <c r="AA359" s="71">
        <v>43678</v>
      </c>
      <c r="AB359" s="99">
        <v>1529.4</v>
      </c>
      <c r="AC359" s="99">
        <v>1457.5</v>
      </c>
      <c r="AD359" s="73">
        <f t="shared" si="53"/>
        <v>4.933104631217855E-2</v>
      </c>
      <c r="AE359" s="67"/>
      <c r="AF359" s="71">
        <v>43678</v>
      </c>
      <c r="AG359" s="72">
        <v>98.92</v>
      </c>
      <c r="AH359" s="72">
        <v>98.59</v>
      </c>
      <c r="AI359" s="73">
        <f t="shared" si="54"/>
        <v>3.3471954559285422E-3</v>
      </c>
      <c r="AJ359" s="67"/>
      <c r="AK359" s="74">
        <v>43708</v>
      </c>
      <c r="AL359" s="41">
        <v>1.4999999999999999E-2</v>
      </c>
      <c r="AM359" s="41">
        <f t="shared" si="56"/>
        <v>-5.1999999999999998E-3</v>
      </c>
      <c r="AN359" s="67"/>
      <c r="AO359" s="75">
        <v>43678</v>
      </c>
      <c r="AP359" s="76">
        <v>644818</v>
      </c>
      <c r="AQ359" s="80">
        <f t="shared" si="43"/>
        <v>0</v>
      </c>
      <c r="AR359" s="67"/>
      <c r="AS359" s="94">
        <v>43678</v>
      </c>
      <c r="AT359" s="78">
        <v>0.95420000000000005</v>
      </c>
      <c r="AU359" s="67"/>
      <c r="AV359" s="79">
        <v>43678</v>
      </c>
      <c r="AW359" s="76">
        <v>433589.8</v>
      </c>
      <c r="AX359" s="80">
        <f t="shared" si="44"/>
        <v>-3.4565204564102392E-2</v>
      </c>
      <c r="AY359" s="67"/>
      <c r="AZ359" s="81">
        <v>43678</v>
      </c>
      <c r="BA359" s="82">
        <v>103.4044189453125</v>
      </c>
      <c r="BB359" s="82">
        <v>124.72541809082031</v>
      </c>
      <c r="BC359" s="67"/>
      <c r="BD359" s="83">
        <v>43692</v>
      </c>
      <c r="BE359" s="42">
        <v>12488</v>
      </c>
      <c r="BF359" s="41">
        <f t="shared" si="45"/>
        <v>4.8794826572604366E-2</v>
      </c>
      <c r="BG359" s="67"/>
      <c r="BH359" s="84">
        <v>43678</v>
      </c>
      <c r="BI359" s="85">
        <v>102.639</v>
      </c>
      <c r="BJ359" s="87">
        <f t="shared" si="46"/>
        <v>6.8490731875754385E-3</v>
      </c>
      <c r="BK359" s="67"/>
      <c r="BL359" s="84">
        <v>43678</v>
      </c>
      <c r="BM359" s="86">
        <v>24.800839</v>
      </c>
      <c r="BN359" s="67"/>
      <c r="BO359" s="88">
        <v>43678</v>
      </c>
      <c r="BP359" s="89">
        <v>2.5470000000000002</v>
      </c>
      <c r="BQ359" s="89">
        <v>2.665</v>
      </c>
      <c r="BR359" s="90">
        <f t="shared" si="37"/>
        <v>-4.4277673545966234E-2</v>
      </c>
    </row>
    <row r="360" spans="1:70">
      <c r="A360" s="62">
        <v>43709</v>
      </c>
      <c r="B360" s="63">
        <v>43709</v>
      </c>
      <c r="C360" s="39">
        <v>54.07</v>
      </c>
      <c r="D360" s="64">
        <v>55</v>
      </c>
      <c r="E360" s="40">
        <f t="shared" si="50"/>
        <v>-1.6909090909090874E-2</v>
      </c>
      <c r="F360" s="65"/>
      <c r="G360" s="63">
        <v>43709</v>
      </c>
      <c r="H360" s="39">
        <v>16.239999999999998</v>
      </c>
      <c r="I360" s="39">
        <v>20.96</v>
      </c>
      <c r="J360" s="40">
        <f t="shared" si="55"/>
        <v>-0.22519083969465659</v>
      </c>
      <c r="K360" s="67"/>
      <c r="L360" s="68">
        <v>43709</v>
      </c>
      <c r="M360" s="98">
        <v>2976.74</v>
      </c>
      <c r="N360" s="98">
        <v>2909.01</v>
      </c>
      <c r="O360" s="70">
        <f t="shared" si="51"/>
        <v>2.3282835053849871E-2</v>
      </c>
      <c r="P360" s="67"/>
      <c r="Q360" s="38">
        <v>43709</v>
      </c>
      <c r="R360" s="39">
        <v>2.33</v>
      </c>
      <c r="S360" s="39">
        <v>2.2879999999999998</v>
      </c>
      <c r="T360" s="40">
        <f t="shared" si="49"/>
        <v>1.8356643356643554E-2</v>
      </c>
      <c r="U360" s="67"/>
      <c r="V360" s="38">
        <v>43709</v>
      </c>
      <c r="W360" s="39">
        <v>1.8972</v>
      </c>
      <c r="X360" s="39">
        <v>1.8242</v>
      </c>
      <c r="Y360" s="40">
        <f t="shared" si="52"/>
        <v>4.0017541936191225E-2</v>
      </c>
      <c r="Z360" s="67"/>
      <c r="AA360" s="71">
        <v>43709</v>
      </c>
      <c r="AB360" s="99">
        <v>1489</v>
      </c>
      <c r="AC360" s="99">
        <v>1556</v>
      </c>
      <c r="AD360" s="73">
        <f t="shared" si="53"/>
        <v>-4.3059125964010292E-2</v>
      </c>
      <c r="AE360" s="67"/>
      <c r="AF360" s="71">
        <v>43709</v>
      </c>
      <c r="AG360" s="72">
        <v>99.38</v>
      </c>
      <c r="AH360" s="72">
        <v>98.83</v>
      </c>
      <c r="AI360" s="73">
        <f t="shared" si="54"/>
        <v>5.5651118081554429E-3</v>
      </c>
      <c r="AJ360" s="67"/>
      <c r="AK360" s="74">
        <v>43738</v>
      </c>
      <c r="AL360" s="41">
        <v>1.6799999999999999E-2</v>
      </c>
      <c r="AM360" s="41">
        <f t="shared" si="56"/>
        <v>1.7999999999999995E-3</v>
      </c>
      <c r="AN360" s="67"/>
      <c r="AO360" s="75">
        <v>43709</v>
      </c>
      <c r="AP360" s="76">
        <v>644818</v>
      </c>
      <c r="AQ360" s="80">
        <f t="shared" si="43"/>
        <v>0</v>
      </c>
      <c r="AR360" s="67"/>
      <c r="AS360" s="94">
        <v>43709</v>
      </c>
      <c r="AT360" s="78">
        <v>0.90625</v>
      </c>
      <c r="AU360" s="67"/>
      <c r="AV360" s="79">
        <v>43709</v>
      </c>
      <c r="AW360" s="76">
        <v>418843.5</v>
      </c>
      <c r="AX360" s="80">
        <f t="shared" si="44"/>
        <v>-3.4009794510848734E-2</v>
      </c>
      <c r="AY360" s="67"/>
      <c r="AZ360" s="81">
        <v>43709</v>
      </c>
      <c r="BA360" s="82">
        <v>90.367988586425781</v>
      </c>
      <c r="BB360" s="82">
        <v>110.87094879150391</v>
      </c>
      <c r="BC360" s="67"/>
      <c r="BD360" s="83">
        <v>43723</v>
      </c>
      <c r="BE360" s="42">
        <v>12596</v>
      </c>
      <c r="BF360" s="41">
        <f t="shared" si="45"/>
        <v>8.6483023702754735E-3</v>
      </c>
      <c r="BG360" s="67"/>
      <c r="BH360" s="84">
        <v>43709</v>
      </c>
      <c r="BI360" s="85">
        <v>102.29170000000001</v>
      </c>
      <c r="BJ360" s="87">
        <f t="shared" si="46"/>
        <v>-3.3837040501173421E-3</v>
      </c>
      <c r="BK360" s="67"/>
      <c r="BL360" s="84">
        <v>43709</v>
      </c>
      <c r="BM360" s="86">
        <v>37.718795</v>
      </c>
      <c r="BN360" s="67"/>
      <c r="BO360" s="88">
        <v>43709</v>
      </c>
      <c r="BP360" s="89">
        <v>2.5785</v>
      </c>
      <c r="BQ360" s="89">
        <v>2.5365000000000002</v>
      </c>
      <c r="BR360" s="90">
        <f t="shared" si="37"/>
        <v>1.6558249556475335E-2</v>
      </c>
    </row>
    <row r="361" spans="1:70">
      <c r="A361" s="62">
        <v>43739</v>
      </c>
      <c r="B361" s="63">
        <v>43739</v>
      </c>
      <c r="C361" s="39">
        <v>54.18</v>
      </c>
      <c r="D361" s="64">
        <v>54.28</v>
      </c>
      <c r="E361" s="40">
        <f t="shared" si="50"/>
        <v>-1.8422991893883855E-3</v>
      </c>
      <c r="F361" s="65"/>
      <c r="G361" s="63">
        <v>43739</v>
      </c>
      <c r="H361" s="39">
        <v>13.22</v>
      </c>
      <c r="I361" s="39">
        <v>16.02</v>
      </c>
      <c r="J361" s="40">
        <f t="shared" si="55"/>
        <v>-0.17478152309612982</v>
      </c>
      <c r="K361" s="67"/>
      <c r="L361" s="68">
        <v>43739</v>
      </c>
      <c r="M361" s="98">
        <v>3037.56</v>
      </c>
      <c r="N361" s="98">
        <v>2983.69</v>
      </c>
      <c r="O361" s="70">
        <f t="shared" si="51"/>
        <v>1.805482473045128E-2</v>
      </c>
      <c r="P361" s="67"/>
      <c r="Q361" s="38">
        <v>43739</v>
      </c>
      <c r="R361" s="39">
        <v>2.633</v>
      </c>
      <c r="S361" s="39">
        <v>2.3250000000000002</v>
      </c>
      <c r="T361" s="40">
        <f t="shared" si="49"/>
        <v>0.13247311827956976</v>
      </c>
      <c r="U361" s="67"/>
      <c r="V361" s="38">
        <v>43739</v>
      </c>
      <c r="W361" s="39">
        <v>1.8757999999999999</v>
      </c>
      <c r="X361" s="39">
        <v>1.8906000000000001</v>
      </c>
      <c r="Y361" s="40">
        <f t="shared" si="52"/>
        <v>-7.8282026869777033E-3</v>
      </c>
      <c r="Z361" s="67"/>
      <c r="AA361" s="71">
        <v>43739</v>
      </c>
      <c r="AB361" s="99">
        <v>1511.4</v>
      </c>
      <c r="AC361" s="99">
        <v>1485.4</v>
      </c>
      <c r="AD361" s="73">
        <f t="shared" si="53"/>
        <v>1.7503702706341828E-2</v>
      </c>
      <c r="AE361" s="67"/>
      <c r="AF361" s="71">
        <v>43739</v>
      </c>
      <c r="AG361" s="72">
        <v>97.35</v>
      </c>
      <c r="AH361" s="72">
        <v>99.4</v>
      </c>
      <c r="AI361" s="73">
        <f t="shared" si="54"/>
        <v>-2.0623742454728533E-2</v>
      </c>
      <c r="AJ361" s="67"/>
      <c r="AK361" s="74">
        <v>43769</v>
      </c>
      <c r="AL361" s="41">
        <v>1.6899999999999998E-2</v>
      </c>
      <c r="AM361" s="41">
        <f t="shared" si="56"/>
        <v>9.9999999999999395E-5</v>
      </c>
      <c r="AN361" s="67"/>
      <c r="AO361" s="75">
        <v>43739</v>
      </c>
      <c r="AP361" s="76">
        <v>642992.25</v>
      </c>
      <c r="AQ361" s="80">
        <f t="shared" si="43"/>
        <v>-2.8314190981021392E-3</v>
      </c>
      <c r="AR361" s="67"/>
      <c r="AS361" s="94">
        <v>43739</v>
      </c>
      <c r="AT361" s="78">
        <v>0.85424999999999995</v>
      </c>
      <c r="AU361" s="67"/>
      <c r="AV361" s="79">
        <v>43739</v>
      </c>
      <c r="AW361" s="76">
        <v>433105.75</v>
      </c>
      <c r="AX361" s="80">
        <f t="shared" si="44"/>
        <v>3.4051501336417989E-2</v>
      </c>
      <c r="AY361" s="67"/>
      <c r="AZ361" s="81">
        <v>43739</v>
      </c>
      <c r="BA361" s="82">
        <v>97.83673095703125</v>
      </c>
      <c r="BB361" s="82">
        <v>121.31104278564453</v>
      </c>
      <c r="BC361" s="67"/>
      <c r="BD361" s="83">
        <v>43753</v>
      </c>
      <c r="BE361" s="42">
        <v>12809</v>
      </c>
      <c r="BF361" s="41">
        <f t="shared" si="45"/>
        <v>1.69101302000636E-2</v>
      </c>
      <c r="BG361" s="67"/>
      <c r="BH361" s="84">
        <v>43739</v>
      </c>
      <c r="BI361" s="85">
        <v>101.4281</v>
      </c>
      <c r="BJ361" s="87">
        <f t="shared" si="46"/>
        <v>-8.4425227071209807E-3</v>
      </c>
      <c r="BK361" s="67"/>
      <c r="BL361" s="84">
        <v>43739</v>
      </c>
      <c r="BM361" s="86">
        <v>16.501615000000001</v>
      </c>
      <c r="BN361" s="67"/>
      <c r="BO361" s="88">
        <v>43739</v>
      </c>
      <c r="BP361" s="89">
        <v>2.6425000000000001</v>
      </c>
      <c r="BQ361" s="89">
        <v>2.5739999999999998</v>
      </c>
      <c r="BR361" s="90">
        <f t="shared" si="37"/>
        <v>2.661227661227672E-2</v>
      </c>
    </row>
    <row r="362" spans="1:70">
      <c r="A362" s="62">
        <v>43770</v>
      </c>
      <c r="B362" s="63">
        <v>43770</v>
      </c>
      <c r="C362" s="39">
        <v>55.17</v>
      </c>
      <c r="D362" s="64">
        <v>54.15</v>
      </c>
      <c r="E362" s="40">
        <f t="shared" si="50"/>
        <v>1.8836565096952862E-2</v>
      </c>
      <c r="F362" s="65"/>
      <c r="G362" s="63">
        <v>43770</v>
      </c>
      <c r="H362" s="39">
        <v>12.62</v>
      </c>
      <c r="I362" s="39">
        <v>12.99</v>
      </c>
      <c r="J362" s="40">
        <f t="shared" si="55"/>
        <v>-2.8483448806774558E-2</v>
      </c>
      <c r="K362" s="67"/>
      <c r="L362" s="68">
        <v>43770</v>
      </c>
      <c r="M362" s="98">
        <v>3140.98</v>
      </c>
      <c r="N362" s="98">
        <v>3050.72</v>
      </c>
      <c r="O362" s="70">
        <f t="shared" si="51"/>
        <v>2.9586458278701544E-2</v>
      </c>
      <c r="P362" s="67"/>
      <c r="Q362" s="38">
        <v>43770</v>
      </c>
      <c r="R362" s="39">
        <v>2.2810000000000001</v>
      </c>
      <c r="S362" s="39">
        <v>2.637</v>
      </c>
      <c r="T362" s="40">
        <f t="shared" si="49"/>
        <v>-0.13500189609404623</v>
      </c>
      <c r="U362" s="67"/>
      <c r="V362" s="38">
        <v>43770</v>
      </c>
      <c r="W362" s="39">
        <v>1.8785000000000001</v>
      </c>
      <c r="X362" s="39">
        <v>1.8663000000000001</v>
      </c>
      <c r="Y362" s="40">
        <f t="shared" si="52"/>
        <v>6.5369983389593767E-3</v>
      </c>
      <c r="Z362" s="67"/>
      <c r="AA362" s="71">
        <v>43770</v>
      </c>
      <c r="AB362" s="99">
        <v>1472.7</v>
      </c>
      <c r="AC362" s="99">
        <v>1511.6</v>
      </c>
      <c r="AD362" s="73">
        <f t="shared" si="53"/>
        <v>-2.5734321249007541E-2</v>
      </c>
      <c r="AE362" s="67"/>
      <c r="AF362" s="71">
        <v>43770</v>
      </c>
      <c r="AG362" s="72">
        <v>98.27</v>
      </c>
      <c r="AH362" s="72">
        <v>97.3</v>
      </c>
      <c r="AI362" s="73">
        <f t="shared" si="54"/>
        <v>9.9691675231243781E-3</v>
      </c>
      <c r="AJ362" s="67"/>
      <c r="AK362" s="74">
        <v>43799</v>
      </c>
      <c r="AL362" s="41">
        <v>1.78E-2</v>
      </c>
      <c r="AM362" s="41">
        <f t="shared" si="56"/>
        <v>9.0000000000000149E-4</v>
      </c>
      <c r="AN362" s="67"/>
      <c r="AO362" s="75">
        <v>43770</v>
      </c>
      <c r="AP362" s="76">
        <v>637866.80000000005</v>
      </c>
      <c r="AQ362" s="80">
        <f t="shared" si="43"/>
        <v>-7.971246931825271E-3</v>
      </c>
      <c r="AR362" s="67"/>
      <c r="AS362" s="94">
        <v>43770</v>
      </c>
      <c r="AT362" s="78">
        <v>0.88900000000000001</v>
      </c>
      <c r="AU362" s="67"/>
      <c r="AV362" s="79">
        <v>43770</v>
      </c>
      <c r="AW362" s="76">
        <v>449042.2</v>
      </c>
      <c r="AX362" s="80">
        <f t="shared" si="44"/>
        <v>3.679574792068685E-2</v>
      </c>
      <c r="AY362" s="67"/>
      <c r="AZ362" s="81">
        <v>43770</v>
      </c>
      <c r="BA362" s="82">
        <v>73.078384399414063</v>
      </c>
      <c r="BB362" s="82">
        <v>84.587303161621094</v>
      </c>
      <c r="BC362" s="67"/>
      <c r="BD362" s="83">
        <v>43784</v>
      </c>
      <c r="BE362" s="42">
        <v>12998</v>
      </c>
      <c r="BF362" s="41">
        <f t="shared" si="45"/>
        <v>1.4755250214692817E-2</v>
      </c>
      <c r="BG362" s="67"/>
      <c r="BH362" s="84">
        <v>43770</v>
      </c>
      <c r="BI362" s="85">
        <v>101.9372</v>
      </c>
      <c r="BJ362" s="87">
        <f t="shared" si="46"/>
        <v>5.0193191038776508E-3</v>
      </c>
      <c r="BK362" s="67"/>
      <c r="BL362" s="84">
        <v>43770</v>
      </c>
      <c r="BM362" s="86">
        <v>-8.8297010999999994</v>
      </c>
      <c r="BN362" s="67"/>
      <c r="BO362" s="88">
        <v>43770</v>
      </c>
      <c r="BP362" s="89">
        <v>2.6560000000000001</v>
      </c>
      <c r="BQ362" s="89">
        <v>2.6505000000000001</v>
      </c>
      <c r="BR362" s="90">
        <f t="shared" si="37"/>
        <v>2.0750801735522906E-3</v>
      </c>
    </row>
    <row r="363" spans="1:70">
      <c r="A363" s="62">
        <v>43800</v>
      </c>
      <c r="B363" s="63">
        <v>43800</v>
      </c>
      <c r="C363" s="39">
        <v>61.06</v>
      </c>
      <c r="D363" s="64">
        <v>55.47</v>
      </c>
      <c r="E363" s="40">
        <f t="shared" si="50"/>
        <v>0.10077519379844957</v>
      </c>
      <c r="F363" s="65"/>
      <c r="G363" s="63">
        <v>43800</v>
      </c>
      <c r="H363" s="39">
        <v>13.78</v>
      </c>
      <c r="I363" s="39">
        <v>12.69</v>
      </c>
      <c r="J363" s="40">
        <f t="shared" si="55"/>
        <v>8.5894405043341227E-2</v>
      </c>
      <c r="K363" s="67"/>
      <c r="L363" s="68">
        <v>43800</v>
      </c>
      <c r="M363" s="98">
        <v>3230.78</v>
      </c>
      <c r="N363" s="98">
        <v>3143.85</v>
      </c>
      <c r="O363" s="70">
        <f t="shared" si="51"/>
        <v>2.765081031219685E-2</v>
      </c>
      <c r="P363" s="67"/>
      <c r="Q363" s="38">
        <v>43800</v>
      </c>
      <c r="R363" s="39">
        <v>2.1890000000000001</v>
      </c>
      <c r="S363" s="39">
        <v>2.3149999999999999</v>
      </c>
      <c r="T363" s="40">
        <f t="shared" si="49"/>
        <v>-5.442764578833692E-2</v>
      </c>
      <c r="U363" s="67"/>
      <c r="V363" s="38">
        <v>43800</v>
      </c>
      <c r="W363" s="39">
        <v>2.0228000000000002</v>
      </c>
      <c r="X363" s="39">
        <v>1.8787</v>
      </c>
      <c r="Y363" s="40">
        <f t="shared" si="52"/>
        <v>7.6701974769787684E-2</v>
      </c>
      <c r="Z363" s="67"/>
      <c r="AA363" s="71">
        <v>43800</v>
      </c>
      <c r="AB363" s="99">
        <v>1523.1</v>
      </c>
      <c r="AC363" s="99">
        <v>1468</v>
      </c>
      <c r="AD363" s="73">
        <f t="shared" si="53"/>
        <v>3.7534059945504072E-2</v>
      </c>
      <c r="AE363" s="67"/>
      <c r="AF363" s="71">
        <v>43800</v>
      </c>
      <c r="AG363" s="72">
        <v>96.39</v>
      </c>
      <c r="AH363" s="72">
        <v>98.27</v>
      </c>
      <c r="AI363" s="73">
        <f t="shared" si="54"/>
        <v>-1.9130965706726344E-2</v>
      </c>
      <c r="AJ363" s="67"/>
      <c r="AK363" s="74">
        <v>43830</v>
      </c>
      <c r="AL363" s="41">
        <v>1.9199999999999998E-2</v>
      </c>
      <c r="AM363" s="41">
        <f t="shared" si="56"/>
        <v>1.3999999999999985E-3</v>
      </c>
      <c r="AN363" s="67"/>
      <c r="AO363" s="75">
        <v>43800</v>
      </c>
      <c r="AP363" s="76">
        <v>634967.25</v>
      </c>
      <c r="AQ363" s="80">
        <f t="shared" si="43"/>
        <v>-4.5456982554978875E-3</v>
      </c>
      <c r="AR363" s="67"/>
      <c r="AS363" s="94">
        <v>43800</v>
      </c>
      <c r="AT363" s="78">
        <v>0.92249999999999999</v>
      </c>
      <c r="AU363" s="67"/>
      <c r="AV363" s="79">
        <v>43800</v>
      </c>
      <c r="AW363" s="76">
        <v>441501.5</v>
      </c>
      <c r="AX363" s="80">
        <f t="shared" si="44"/>
        <v>-1.6792853767418792E-2</v>
      </c>
      <c r="AY363" s="67"/>
      <c r="AZ363" s="81">
        <v>43800</v>
      </c>
      <c r="BA363" s="82">
        <v>74.279891967773438</v>
      </c>
      <c r="BB363" s="82">
        <v>80.110771179199219</v>
      </c>
      <c r="BC363" s="67"/>
      <c r="BD363" s="83">
        <v>43814</v>
      </c>
      <c r="BE363" s="42">
        <v>12983</v>
      </c>
      <c r="BF363" s="41">
        <f t="shared" si="45"/>
        <v>-1.154023695953188E-3</v>
      </c>
      <c r="BG363" s="67"/>
      <c r="BH363" s="84">
        <v>43800</v>
      </c>
      <c r="BI363" s="85">
        <v>101.7003</v>
      </c>
      <c r="BJ363" s="87">
        <f t="shared" si="46"/>
        <v>-2.3239798621111918E-3</v>
      </c>
      <c r="BK363" s="67"/>
      <c r="BL363" s="84">
        <v>43800</v>
      </c>
      <c r="BM363" s="86">
        <v>-11.667584</v>
      </c>
      <c r="BN363" s="67"/>
      <c r="BO363" s="88">
        <v>43800</v>
      </c>
      <c r="BP363" s="89">
        <v>2.7970000000000002</v>
      </c>
      <c r="BQ363" s="89">
        <v>2.649</v>
      </c>
      <c r="BR363" s="90">
        <f t="shared" si="37"/>
        <v>5.5870139675349151E-2</v>
      </c>
    </row>
    <row r="364" spans="1:70">
      <c r="A364" s="62">
        <v>43831</v>
      </c>
      <c r="B364" s="63">
        <v>43831</v>
      </c>
      <c r="C364" s="39">
        <v>51.56</v>
      </c>
      <c r="D364" s="64">
        <v>61.6</v>
      </c>
      <c r="E364" s="40">
        <f t="shared" si="50"/>
        <v>-0.16298701298701301</v>
      </c>
      <c r="F364" s="65"/>
      <c r="G364" s="63">
        <v>43831</v>
      </c>
      <c r="H364" s="39">
        <v>18.84</v>
      </c>
      <c r="I364" s="39">
        <v>13.46</v>
      </c>
      <c r="J364" s="40">
        <f t="shared" si="55"/>
        <v>0.39970282317979189</v>
      </c>
      <c r="K364" s="67"/>
      <c r="L364" s="68">
        <v>43831</v>
      </c>
      <c r="M364" s="98">
        <v>3225.52</v>
      </c>
      <c r="N364" s="98">
        <v>3244.67</v>
      </c>
      <c r="O364" s="70">
        <f t="shared" si="51"/>
        <v>-5.9019869509071565E-3</v>
      </c>
      <c r="P364" s="67"/>
      <c r="Q364" s="38">
        <v>43831</v>
      </c>
      <c r="R364" s="39">
        <v>1.841</v>
      </c>
      <c r="S364" s="39">
        <v>2.1840000000000002</v>
      </c>
      <c r="T364" s="40">
        <f t="shared" si="49"/>
        <v>-0.15705128205128216</v>
      </c>
      <c r="U364" s="67"/>
      <c r="V364" s="38">
        <v>43831</v>
      </c>
      <c r="W364" s="39">
        <v>1.6284000000000001</v>
      </c>
      <c r="X364" s="39">
        <v>2.0257999999999998</v>
      </c>
      <c r="Y364" s="40">
        <f t="shared" si="52"/>
        <v>-0.19616941455227555</v>
      </c>
      <c r="Z364" s="67"/>
      <c r="AA364" s="71">
        <v>43831</v>
      </c>
      <c r="AB364" s="99">
        <v>1552.4</v>
      </c>
      <c r="AC364" s="99">
        <v>1531.7</v>
      </c>
      <c r="AD364" s="73">
        <f t="shared" si="53"/>
        <v>1.3514395769406606E-2</v>
      </c>
      <c r="AE364" s="67"/>
      <c r="AF364" s="71">
        <v>43831</v>
      </c>
      <c r="AG364" s="72">
        <v>97.39</v>
      </c>
      <c r="AH364" s="72">
        <v>96.5</v>
      </c>
      <c r="AI364" s="73">
        <f t="shared" si="54"/>
        <v>9.2227979274610572E-3</v>
      </c>
      <c r="AJ364" s="67"/>
      <c r="AK364" s="74">
        <v>43861</v>
      </c>
      <c r="AL364" s="41">
        <v>1.5100000000000001E-2</v>
      </c>
      <c r="AM364" s="41">
        <f t="shared" si="56"/>
        <v>-4.0999999999999977E-3</v>
      </c>
      <c r="AN364" s="67"/>
      <c r="AO364" s="75">
        <v>43831</v>
      </c>
      <c r="AP364" s="76">
        <v>634967</v>
      </c>
      <c r="AQ364" s="80">
        <f t="shared" si="43"/>
        <v>-3.937210935056612E-7</v>
      </c>
      <c r="AR364" s="67"/>
      <c r="AS364" s="94">
        <v>43831</v>
      </c>
      <c r="AT364" s="78">
        <v>0.90060000000000007</v>
      </c>
      <c r="AU364" s="67"/>
      <c r="AV364" s="79">
        <v>43831</v>
      </c>
      <c r="AW364" s="76">
        <v>430868</v>
      </c>
      <c r="AX364" s="80">
        <f t="shared" si="44"/>
        <v>-2.4084855883841794E-2</v>
      </c>
      <c r="AY364" s="67"/>
      <c r="AZ364" s="81">
        <v>43831</v>
      </c>
      <c r="BA364" s="82">
        <v>138.42094421386719</v>
      </c>
      <c r="BB364" s="82">
        <v>190.8443603515625</v>
      </c>
      <c r="BC364" s="67"/>
      <c r="BD364" s="83">
        <v>43845</v>
      </c>
      <c r="BE364" s="42">
        <v>12865</v>
      </c>
      <c r="BF364" s="41">
        <f t="shared" si="45"/>
        <v>-9.0888084418084825E-3</v>
      </c>
      <c r="BG364" s="67"/>
      <c r="BH364" s="84">
        <v>43831</v>
      </c>
      <c r="BI364" s="85">
        <v>101.0338</v>
      </c>
      <c r="BJ364" s="87">
        <f t="shared" si="46"/>
        <v>-6.5535696551534128E-3</v>
      </c>
      <c r="BK364" s="67"/>
      <c r="BL364" s="84">
        <v>43831</v>
      </c>
      <c r="BM364" s="86">
        <v>-79.497724000000005</v>
      </c>
      <c r="BN364" s="67"/>
      <c r="BO364" s="88">
        <v>43831</v>
      </c>
      <c r="BP364" s="89">
        <v>2.52</v>
      </c>
      <c r="BQ364" s="89">
        <v>2.8035000000000001</v>
      </c>
      <c r="BR364" s="90">
        <f t="shared" si="37"/>
        <v>-0.101123595505618</v>
      </c>
    </row>
    <row r="365" spans="1:70">
      <c r="A365" s="62">
        <v>43862</v>
      </c>
      <c r="B365" s="63">
        <v>43862</v>
      </c>
      <c r="C365" s="39">
        <v>44.76</v>
      </c>
      <c r="D365" s="64">
        <v>51.01</v>
      </c>
      <c r="E365" s="40">
        <f t="shared" si="50"/>
        <v>-0.12252499509900017</v>
      </c>
      <c r="F365" s="65"/>
      <c r="G365" s="63">
        <v>43862</v>
      </c>
      <c r="H365" s="39">
        <v>40.11</v>
      </c>
      <c r="I365" s="39">
        <v>18.64</v>
      </c>
      <c r="J365" s="40">
        <f t="shared" si="55"/>
        <v>1.1518240343347639</v>
      </c>
      <c r="K365" s="67"/>
      <c r="L365" s="68">
        <v>43862</v>
      </c>
      <c r="M365" s="98">
        <v>2954.22</v>
      </c>
      <c r="N365" s="98">
        <v>3235.66</v>
      </c>
      <c r="O365" s="70">
        <f t="shared" si="51"/>
        <v>-8.6980708727122158E-2</v>
      </c>
      <c r="P365" s="67"/>
      <c r="Q365" s="38">
        <v>43862</v>
      </c>
      <c r="R365" s="39">
        <v>1.6839999999999999</v>
      </c>
      <c r="S365" s="39">
        <v>1.8520000000000001</v>
      </c>
      <c r="T365" s="40">
        <f t="shared" si="49"/>
        <v>-9.0712742980561645E-2</v>
      </c>
      <c r="U365" s="67"/>
      <c r="V365" s="38">
        <v>43862</v>
      </c>
      <c r="W365" s="39">
        <v>1.4773000000000001</v>
      </c>
      <c r="X365" s="39">
        <v>1.6231</v>
      </c>
      <c r="Y365" s="40">
        <f t="shared" si="52"/>
        <v>-8.9828106709383237E-2</v>
      </c>
      <c r="Z365" s="67"/>
      <c r="AA365" s="71">
        <v>43862</v>
      </c>
      <c r="AB365" s="99">
        <v>1566.7</v>
      </c>
      <c r="AC365" s="99">
        <v>1597.8</v>
      </c>
      <c r="AD365" s="73">
        <f t="shared" si="53"/>
        <v>-1.9464263362122813E-2</v>
      </c>
      <c r="AE365" s="67"/>
      <c r="AF365" s="71">
        <v>43862</v>
      </c>
      <c r="AG365" s="72">
        <v>98.13</v>
      </c>
      <c r="AH365" s="72">
        <v>97.37</v>
      </c>
      <c r="AI365" s="73">
        <f t="shared" si="54"/>
        <v>7.8052788333160539E-3</v>
      </c>
      <c r="AJ365" s="67"/>
      <c r="AK365" s="74">
        <v>43890</v>
      </c>
      <c r="AL365" s="41">
        <v>1.1299999999999999E-2</v>
      </c>
      <c r="AM365" s="41">
        <f t="shared" si="56"/>
        <v>-3.8000000000000013E-3</v>
      </c>
      <c r="AN365" s="67"/>
      <c r="AO365" s="75">
        <v>43862</v>
      </c>
      <c r="AP365" s="76">
        <v>634967</v>
      </c>
      <c r="AQ365" s="80">
        <f t="shared" si="43"/>
        <v>0</v>
      </c>
      <c r="AR365" s="67"/>
      <c r="AS365" s="94">
        <v>43862</v>
      </c>
      <c r="AT365" s="78">
        <v>0.88049999999999995</v>
      </c>
      <c r="AU365" s="67"/>
      <c r="AV365" s="79">
        <v>43862</v>
      </c>
      <c r="AW365" s="76">
        <v>443201.25</v>
      </c>
      <c r="AX365" s="80">
        <f t="shared" si="44"/>
        <v>2.8624195809389352E-2</v>
      </c>
      <c r="AY365" s="67"/>
      <c r="AZ365" s="81">
        <v>43862</v>
      </c>
      <c r="BA365" s="82">
        <v>75.955558776855469</v>
      </c>
      <c r="BB365" s="82">
        <v>87.162452697753906</v>
      </c>
      <c r="BC365" s="67"/>
      <c r="BD365" s="83">
        <v>43876</v>
      </c>
      <c r="BE365" s="42">
        <v>12864</v>
      </c>
      <c r="BF365" s="41">
        <f t="shared" si="45"/>
        <v>-7.7730275942489158E-5</v>
      </c>
      <c r="BG365" s="67"/>
      <c r="BH365" s="84">
        <v>43862</v>
      </c>
      <c r="BI365" s="85">
        <v>101.37350000000001</v>
      </c>
      <c r="BJ365" s="87">
        <f t="shared" si="46"/>
        <v>3.3622411509812711E-3</v>
      </c>
      <c r="BK365" s="67"/>
      <c r="BL365" s="84">
        <v>43862</v>
      </c>
      <c r="BM365" s="86">
        <v>-121.28879999999999</v>
      </c>
      <c r="BN365" s="67"/>
      <c r="BO365" s="88">
        <v>43862</v>
      </c>
      <c r="BP365" s="89">
        <v>2.54</v>
      </c>
      <c r="BQ365" s="89">
        <v>2.5110000000000001</v>
      </c>
      <c r="BR365" s="90">
        <f t="shared" si="37"/>
        <v>1.1549183592194368E-2</v>
      </c>
    </row>
    <row r="366" spans="1:70">
      <c r="A366" s="62">
        <v>43891</v>
      </c>
      <c r="B366" s="63">
        <v>43891</v>
      </c>
      <c r="C366" s="39">
        <v>20.48</v>
      </c>
      <c r="D366" s="64">
        <v>43.7</v>
      </c>
      <c r="E366" s="40">
        <f t="shared" si="50"/>
        <v>-0.53135011441647606</v>
      </c>
      <c r="F366" s="65"/>
      <c r="G366" s="63">
        <v>43891</v>
      </c>
      <c r="H366" s="39">
        <v>53.54</v>
      </c>
      <c r="I366" s="39">
        <v>34.86</v>
      </c>
      <c r="J366" s="40">
        <f t="shared" si="55"/>
        <v>0.53585771658060821</v>
      </c>
      <c r="K366" s="67"/>
      <c r="L366" s="68">
        <v>43891</v>
      </c>
      <c r="M366" s="98">
        <v>2584.59</v>
      </c>
      <c r="N366" s="98">
        <v>2974.28</v>
      </c>
      <c r="O366" s="70">
        <f t="shared" si="51"/>
        <v>-0.13101994432265962</v>
      </c>
      <c r="P366" s="67"/>
      <c r="Q366" s="38">
        <v>43891</v>
      </c>
      <c r="R366" s="39">
        <v>1.64</v>
      </c>
      <c r="S366" s="39">
        <v>1.6950000000000001</v>
      </c>
      <c r="T366" s="40">
        <f t="shared" si="49"/>
        <v>-3.2448377581121068E-2</v>
      </c>
      <c r="U366" s="67"/>
      <c r="V366" s="38">
        <v>43891</v>
      </c>
      <c r="W366" s="39">
        <v>1.0015000000000001</v>
      </c>
      <c r="X366" s="39">
        <v>1.4619</v>
      </c>
      <c r="Y366" s="40">
        <f t="shared" si="52"/>
        <v>-0.31493262193036453</v>
      </c>
      <c r="Z366" s="67"/>
      <c r="AA366" s="71">
        <v>43891</v>
      </c>
      <c r="AB366" s="99">
        <v>1596.6</v>
      </c>
      <c r="AC366" s="99">
        <v>1592.8</v>
      </c>
      <c r="AD366" s="73">
        <f t="shared" si="53"/>
        <v>2.3857358111500915E-3</v>
      </c>
      <c r="AE366" s="67"/>
      <c r="AF366" s="71">
        <v>43891</v>
      </c>
      <c r="AG366" s="72">
        <v>99.05</v>
      </c>
      <c r="AH366" s="72">
        <v>98.12</v>
      </c>
      <c r="AI366" s="73">
        <f t="shared" si="54"/>
        <v>9.4781899714635465E-3</v>
      </c>
      <c r="AJ366" s="67"/>
      <c r="AK366" s="74">
        <v>43921</v>
      </c>
      <c r="AL366" s="41">
        <v>6.9999999999999993E-3</v>
      </c>
      <c r="AM366" s="41">
        <f t="shared" si="56"/>
        <v>-4.3E-3</v>
      </c>
      <c r="AN366" s="67"/>
      <c r="AO366" s="75">
        <v>43891</v>
      </c>
      <c r="AP366" s="76">
        <v>634967</v>
      </c>
      <c r="AQ366" s="80">
        <f t="shared" si="43"/>
        <v>0</v>
      </c>
      <c r="AR366" s="67"/>
      <c r="AS366" s="94">
        <v>43891</v>
      </c>
      <c r="AT366" s="78">
        <v>0.85599999999999998</v>
      </c>
      <c r="AU366" s="67"/>
      <c r="AV366" s="79">
        <v>43891</v>
      </c>
      <c r="AW366" s="76">
        <v>457518.25</v>
      </c>
      <c r="AX366" s="80">
        <f t="shared" si="44"/>
        <v>3.2303609252004595E-2</v>
      </c>
      <c r="AY366" s="67"/>
      <c r="AZ366" s="81">
        <v>43891</v>
      </c>
      <c r="BA366" s="82">
        <v>81.540031433105469</v>
      </c>
      <c r="BB366" s="82">
        <v>97.090072631835938</v>
      </c>
      <c r="BC366" s="67"/>
      <c r="BD366" s="83">
        <v>43905</v>
      </c>
      <c r="BE366" s="42">
        <v>12805</v>
      </c>
      <c r="BF366" s="41">
        <f t="shared" si="45"/>
        <v>-4.5864427860696777E-3</v>
      </c>
      <c r="BG366" s="67"/>
      <c r="BH366" s="84">
        <v>43891</v>
      </c>
      <c r="BI366" s="85">
        <v>97.407799999999995</v>
      </c>
      <c r="BJ366" s="87">
        <f t="shared" si="46"/>
        <v>-3.9119691043517424E-2</v>
      </c>
      <c r="BK366" s="67"/>
      <c r="BL366" s="84">
        <v>43891</v>
      </c>
      <c r="BM366" s="86">
        <v>-94.147863999999998</v>
      </c>
      <c r="BN366" s="67"/>
      <c r="BO366" s="88">
        <v>43891</v>
      </c>
      <c r="BP366" s="89">
        <v>2.2320000000000002</v>
      </c>
      <c r="BQ366" s="89">
        <v>2.5219999999999998</v>
      </c>
      <c r="BR366" s="90">
        <f t="shared" si="37"/>
        <v>-0.11498810467882614</v>
      </c>
    </row>
    <row r="367" spans="1:70">
      <c r="A367" s="62">
        <v>43922</v>
      </c>
      <c r="B367" s="63">
        <v>43922</v>
      </c>
      <c r="C367" s="39">
        <v>18.84</v>
      </c>
      <c r="D367" s="64">
        <v>20.100000000000001</v>
      </c>
      <c r="E367" s="40">
        <f t="shared" si="50"/>
        <v>-6.2686567164179197E-2</v>
      </c>
      <c r="F367" s="65"/>
      <c r="G367" s="63">
        <v>43922</v>
      </c>
      <c r="H367" s="39">
        <v>34.15</v>
      </c>
      <c r="I367" s="39">
        <v>57.38</v>
      </c>
      <c r="J367" s="40">
        <f t="shared" si="55"/>
        <v>-0.4048448936911816</v>
      </c>
      <c r="K367" s="67"/>
      <c r="L367" s="68">
        <v>43922</v>
      </c>
      <c r="M367" s="98">
        <v>2912.43</v>
      </c>
      <c r="N367" s="98">
        <v>2498.08</v>
      </c>
      <c r="O367" s="70">
        <f t="shared" si="51"/>
        <v>0.16586738615256524</v>
      </c>
      <c r="P367" s="67"/>
      <c r="Q367" s="38">
        <v>43922</v>
      </c>
      <c r="R367" s="39">
        <v>1.9490000000000001</v>
      </c>
      <c r="S367" s="39">
        <v>1.643</v>
      </c>
      <c r="T367" s="40">
        <f t="shared" si="49"/>
        <v>0.18624467437614123</v>
      </c>
      <c r="U367" s="67"/>
      <c r="V367" s="38">
        <v>43922</v>
      </c>
      <c r="W367" s="39">
        <v>0.83309999999999995</v>
      </c>
      <c r="X367" s="39">
        <v>1.0069999999999999</v>
      </c>
      <c r="Y367" s="40">
        <f t="shared" si="52"/>
        <v>-0.17269116186693145</v>
      </c>
      <c r="Z367" s="67"/>
      <c r="AA367" s="71">
        <v>43922</v>
      </c>
      <c r="AB367" s="99">
        <v>1694.2</v>
      </c>
      <c r="AC367" s="99">
        <v>1589.4</v>
      </c>
      <c r="AD367" s="73">
        <f t="shared" si="53"/>
        <v>6.5936831508745408E-2</v>
      </c>
      <c r="AE367" s="67"/>
      <c r="AF367" s="71">
        <v>43922</v>
      </c>
      <c r="AG367" s="72">
        <v>99.02</v>
      </c>
      <c r="AH367" s="72">
        <v>99.01</v>
      </c>
      <c r="AI367" s="73">
        <f t="shared" si="54"/>
        <v>1.0099989900003159E-4</v>
      </c>
      <c r="AJ367" s="67"/>
      <c r="AK367" s="74">
        <v>43951</v>
      </c>
      <c r="AL367" s="41">
        <v>6.4000000000000003E-3</v>
      </c>
      <c r="AM367" s="41">
        <f t="shared" si="56"/>
        <v>-5.9999999999999897E-4</v>
      </c>
      <c r="AN367" s="67"/>
      <c r="AO367" s="75">
        <v>43922</v>
      </c>
      <c r="AP367" s="76">
        <v>635254.5</v>
      </c>
      <c r="AQ367" s="80">
        <f t="shared" si="43"/>
        <v>4.5277943578159174E-4</v>
      </c>
      <c r="AR367" s="67"/>
      <c r="AS367" s="94">
        <v>43922</v>
      </c>
      <c r="AT367" s="78">
        <v>0.70474999999999999</v>
      </c>
      <c r="AU367" s="67"/>
      <c r="AV367" s="79">
        <v>43922</v>
      </c>
      <c r="AW367" s="76">
        <v>508564.75</v>
      </c>
      <c r="AX367" s="80">
        <f t="shared" si="44"/>
        <v>0.11157259847011569</v>
      </c>
      <c r="AY367" s="67"/>
      <c r="AZ367" s="81">
        <v>43922</v>
      </c>
      <c r="BA367" s="82">
        <v>69.339401245117188</v>
      </c>
      <c r="BB367" s="82">
        <v>81.760826110839844</v>
      </c>
      <c r="BC367" s="67"/>
      <c r="BD367" s="83">
        <v>43936</v>
      </c>
      <c r="BE367" s="42">
        <v>11918</v>
      </c>
      <c r="BF367" s="41">
        <f t="shared" si="45"/>
        <v>-6.9269816477938284E-2</v>
      </c>
      <c r="BG367" s="67"/>
      <c r="BH367" s="84">
        <v>43922</v>
      </c>
      <c r="BI367" s="85">
        <v>84.561899999999994</v>
      </c>
      <c r="BJ367" s="87">
        <f t="shared" si="46"/>
        <v>-0.13187752931490082</v>
      </c>
      <c r="BK367" s="67"/>
      <c r="BL367" s="84">
        <v>43922</v>
      </c>
      <c r="BM367" s="86">
        <v>-83.216606999999996</v>
      </c>
      <c r="BN367" s="67"/>
      <c r="BO367" s="88">
        <v>43922</v>
      </c>
      <c r="BP367" s="89">
        <v>2.3439999999999999</v>
      </c>
      <c r="BQ367" s="89">
        <v>2.2149999999999999</v>
      </c>
      <c r="BR367" s="90">
        <f t="shared" si="37"/>
        <v>5.8239277652370136E-2</v>
      </c>
    </row>
    <row r="368" spans="1:70">
      <c r="A368" s="62">
        <v>43952</v>
      </c>
      <c r="B368" s="63">
        <v>43952</v>
      </c>
      <c r="C368" s="39">
        <v>35.49</v>
      </c>
      <c r="D368" s="64">
        <v>19.04</v>
      </c>
      <c r="E368" s="40">
        <f t="shared" si="50"/>
        <v>0.86397058823529438</v>
      </c>
      <c r="F368" s="65"/>
      <c r="G368" s="63">
        <v>43952</v>
      </c>
      <c r="H368" s="39">
        <v>27.51</v>
      </c>
      <c r="I368" s="39">
        <v>38.17</v>
      </c>
      <c r="J368" s="40">
        <f t="shared" si="55"/>
        <v>-0.27927691904637153</v>
      </c>
      <c r="K368" s="67"/>
      <c r="L368" s="68">
        <v>43952</v>
      </c>
      <c r="M368" s="98">
        <v>3044.31</v>
      </c>
      <c r="N368" s="98">
        <v>2869.09</v>
      </c>
      <c r="O368" s="70">
        <f t="shared" si="51"/>
        <v>6.1071628983405901E-2</v>
      </c>
      <c r="P368" s="67"/>
      <c r="Q368" s="38">
        <v>43952</v>
      </c>
      <c r="R368" s="39">
        <v>1.849</v>
      </c>
      <c r="S368" s="39">
        <v>1.9359999999999999</v>
      </c>
      <c r="T368" s="40">
        <f t="shared" si="49"/>
        <v>-4.4938016528925595E-2</v>
      </c>
      <c r="U368" s="67"/>
      <c r="V368" s="38">
        <v>43952</v>
      </c>
      <c r="W368" s="39">
        <v>1.0366</v>
      </c>
      <c r="X368" s="39">
        <v>0.89070000000000005</v>
      </c>
      <c r="Y368" s="40">
        <f t="shared" si="52"/>
        <v>0.16380374985966073</v>
      </c>
      <c r="Z368" s="67"/>
      <c r="AA368" s="71">
        <v>43952</v>
      </c>
      <c r="AB368" s="99">
        <v>1751.7</v>
      </c>
      <c r="AC368" s="99">
        <v>1693.5</v>
      </c>
      <c r="AD368" s="73">
        <f t="shared" si="53"/>
        <v>3.4366696191319823E-2</v>
      </c>
      <c r="AE368" s="67"/>
      <c r="AF368" s="71">
        <v>43952</v>
      </c>
      <c r="AG368" s="72">
        <v>98.34</v>
      </c>
      <c r="AH368" s="72">
        <v>99.13</v>
      </c>
      <c r="AI368" s="73">
        <f t="shared" si="54"/>
        <v>-7.9693331988297533E-3</v>
      </c>
      <c r="AJ368" s="67"/>
      <c r="AK368" s="74">
        <v>43982</v>
      </c>
      <c r="AL368" s="41">
        <v>6.5000000000000006E-3</v>
      </c>
      <c r="AM368" s="41">
        <f t="shared" si="56"/>
        <v>1.0000000000000026E-4</v>
      </c>
      <c r="AN368" s="67"/>
      <c r="AO368" s="92">
        <v>43952</v>
      </c>
      <c r="AP368" s="76">
        <v>642157</v>
      </c>
      <c r="AQ368" s="80">
        <f t="shared" si="43"/>
        <v>1.0865723894911472E-2</v>
      </c>
      <c r="AR368" s="67"/>
      <c r="AS368" s="97">
        <v>43952</v>
      </c>
      <c r="AT368" s="78">
        <v>0.70180000000000009</v>
      </c>
      <c r="AU368" s="67"/>
      <c r="AV368" s="93">
        <v>43952</v>
      </c>
      <c r="AW368" s="76">
        <v>531391.6</v>
      </c>
      <c r="AX368" s="80">
        <f t="shared" si="44"/>
        <v>4.4884845046771371E-2</v>
      </c>
      <c r="AY368" s="67"/>
      <c r="AZ368" s="81">
        <v>43952</v>
      </c>
      <c r="BA368" s="82">
        <v>68.507217407226563</v>
      </c>
      <c r="BB368" s="82">
        <v>83.355461120605469</v>
      </c>
      <c r="BC368" s="67"/>
      <c r="BD368" s="83">
        <v>43966</v>
      </c>
      <c r="BE368" s="42">
        <v>9723</v>
      </c>
      <c r="BF368" s="41">
        <f t="shared" si="45"/>
        <v>-0.18417519718073505</v>
      </c>
      <c r="BG368" s="67"/>
      <c r="BH368" s="84">
        <v>43952</v>
      </c>
      <c r="BI368" s="85">
        <v>85.960400000000007</v>
      </c>
      <c r="BJ368" s="87">
        <f t="shared" si="46"/>
        <v>1.6538180906531252E-2</v>
      </c>
      <c r="BK368" s="67"/>
      <c r="BL368" s="84">
        <v>43952</v>
      </c>
      <c r="BM368" s="86">
        <v>-113.55132999999999</v>
      </c>
      <c r="BN368" s="67"/>
      <c r="BO368" s="88">
        <v>43952</v>
      </c>
      <c r="BP368" s="89">
        <v>2.4344999999999999</v>
      </c>
      <c r="BQ368" s="89">
        <v>2.34</v>
      </c>
      <c r="BR368" s="90">
        <f t="shared" si="37"/>
        <v>4.0384615384615463E-2</v>
      </c>
    </row>
    <row r="369" spans="1:70">
      <c r="A369" s="62">
        <v>43983</v>
      </c>
      <c r="B369" s="63">
        <v>43983</v>
      </c>
      <c r="C369" s="39">
        <v>39.270000000000003</v>
      </c>
      <c r="D369" s="64">
        <v>35.21</v>
      </c>
      <c r="E369" s="40">
        <f t="shared" si="50"/>
        <v>0.1153081510934395</v>
      </c>
      <c r="F369" s="65"/>
      <c r="G369" s="63">
        <v>43983</v>
      </c>
      <c r="H369" s="39">
        <v>30.43</v>
      </c>
      <c r="I369" s="39">
        <v>28.94</v>
      </c>
      <c r="J369" s="40">
        <f t="shared" si="55"/>
        <v>5.1485832757429018E-2</v>
      </c>
      <c r="K369" s="67"/>
      <c r="L369" s="68">
        <v>43983</v>
      </c>
      <c r="M369" s="98">
        <v>3100.29</v>
      </c>
      <c r="N369" s="98">
        <v>3038.78</v>
      </c>
      <c r="O369" s="70">
        <f t="shared" si="51"/>
        <v>2.0241675935737335E-2</v>
      </c>
      <c r="P369" s="67"/>
      <c r="Q369" s="38">
        <v>43983</v>
      </c>
      <c r="R369" s="39">
        <v>1.7509999999999999</v>
      </c>
      <c r="S369" s="39">
        <v>1.83</v>
      </c>
      <c r="T369" s="40">
        <f t="shared" si="49"/>
        <v>-4.3169398907103917E-2</v>
      </c>
      <c r="U369" s="67"/>
      <c r="V369" s="38">
        <v>43983</v>
      </c>
      <c r="W369" s="39">
        <v>1.1865000000000001</v>
      </c>
      <c r="X369" s="39">
        <v>1.0650999999999999</v>
      </c>
      <c r="Y369" s="40">
        <f t="shared" si="52"/>
        <v>0.11397990798986024</v>
      </c>
      <c r="Z369" s="67"/>
      <c r="AA369" s="71">
        <v>43983</v>
      </c>
      <c r="AB369" s="99">
        <v>1800.5</v>
      </c>
      <c r="AC369" s="99">
        <v>1749.8</v>
      </c>
      <c r="AD369" s="73">
        <f t="shared" si="53"/>
        <v>2.8974739970282437E-2</v>
      </c>
      <c r="AE369" s="67"/>
      <c r="AF369" s="71">
        <v>43983</v>
      </c>
      <c r="AG369" s="72">
        <v>97.39</v>
      </c>
      <c r="AH369" s="72">
        <v>98.3</v>
      </c>
      <c r="AI369" s="73">
        <f t="shared" si="54"/>
        <v>-9.2573753814851889E-3</v>
      </c>
      <c r="AJ369" s="67"/>
      <c r="AK369" s="74">
        <v>44012</v>
      </c>
      <c r="AL369" s="41">
        <v>6.6E-3</v>
      </c>
      <c r="AM369" s="41">
        <f t="shared" si="56"/>
        <v>9.9999999999999395E-5</v>
      </c>
      <c r="AN369" s="67"/>
      <c r="AO369" s="75">
        <v>43983</v>
      </c>
      <c r="AP369" s="76">
        <v>652715.75</v>
      </c>
      <c r="AQ369" s="80">
        <f t="shared" si="43"/>
        <v>1.6442630073330911E-2</v>
      </c>
      <c r="AR369" s="67"/>
      <c r="AS369" s="94">
        <v>43983</v>
      </c>
      <c r="AT369" s="78">
        <v>0.74250000000000005</v>
      </c>
      <c r="AU369" s="67"/>
      <c r="AV369" s="79">
        <v>43983</v>
      </c>
      <c r="AW369" s="76">
        <v>537898.5</v>
      </c>
      <c r="AX369" s="80">
        <f t="shared" si="44"/>
        <v>1.2245018551290565E-2</v>
      </c>
      <c r="AY369" s="67"/>
      <c r="AZ369" s="81">
        <v>43983</v>
      </c>
      <c r="BA369" s="82">
        <v>71.227859497070313</v>
      </c>
      <c r="BB369" s="82">
        <v>85.866607666015625</v>
      </c>
      <c r="BC369" s="67"/>
      <c r="BD369" s="83">
        <v>43997</v>
      </c>
      <c r="BE369" s="42">
        <v>10450</v>
      </c>
      <c r="BF369" s="41">
        <f t="shared" si="45"/>
        <v>7.4771161164249644E-2</v>
      </c>
      <c r="BG369" s="67"/>
      <c r="BH369" s="84">
        <v>43983</v>
      </c>
      <c r="BI369" s="85">
        <v>91.593400000000003</v>
      </c>
      <c r="BJ369" s="87">
        <f t="shared" si="46"/>
        <v>6.5530174359356153E-2</v>
      </c>
      <c r="BK369" s="67"/>
      <c r="BL369" s="84">
        <v>43983</v>
      </c>
      <c r="BM369" s="86">
        <v>-28.700500999999999</v>
      </c>
      <c r="BN369" s="67"/>
      <c r="BO369" s="88">
        <v>43983</v>
      </c>
      <c r="BP369" s="89">
        <v>2.7284999999999999</v>
      </c>
      <c r="BQ369" s="89">
        <v>2.4584999999999999</v>
      </c>
      <c r="BR369" s="90">
        <f t="shared" si="37"/>
        <v>0.10982306284319709</v>
      </c>
    </row>
    <row r="370" spans="1:70">
      <c r="A370" s="62">
        <v>44013</v>
      </c>
      <c r="B370" s="63">
        <v>44013</v>
      </c>
      <c r="C370" s="39">
        <v>40.270000000000003</v>
      </c>
      <c r="D370" s="64">
        <v>39.840000000000003</v>
      </c>
      <c r="E370" s="40">
        <f t="shared" si="50"/>
        <v>1.0793172690763075E-2</v>
      </c>
      <c r="F370" s="65"/>
      <c r="G370" s="63">
        <v>44013</v>
      </c>
      <c r="H370" s="39">
        <v>24.46</v>
      </c>
      <c r="I370" s="39">
        <v>30.96</v>
      </c>
      <c r="J370" s="40">
        <f t="shared" si="55"/>
        <v>-0.2099483204134367</v>
      </c>
      <c r="K370" s="67"/>
      <c r="L370" s="68">
        <v>44013</v>
      </c>
      <c r="M370" s="98">
        <v>3271.12</v>
      </c>
      <c r="N370" s="98">
        <v>3105.92</v>
      </c>
      <c r="O370" s="70">
        <f t="shared" si="51"/>
        <v>5.3188749227282006E-2</v>
      </c>
      <c r="P370" s="67"/>
      <c r="Q370" s="38">
        <v>44013</v>
      </c>
      <c r="R370" s="39">
        <v>1.7989999999999999</v>
      </c>
      <c r="S370" s="39">
        <v>1.754</v>
      </c>
      <c r="T370" s="40">
        <f t="shared" si="49"/>
        <v>2.5655644241733055E-2</v>
      </c>
      <c r="U370" s="67"/>
      <c r="V370" s="38">
        <v>44013</v>
      </c>
      <c r="W370" s="39">
        <v>1.224</v>
      </c>
      <c r="X370" s="39">
        <v>1.2141</v>
      </c>
      <c r="Y370" s="40">
        <f t="shared" si="52"/>
        <v>8.1541882876203786E-3</v>
      </c>
      <c r="Z370" s="67"/>
      <c r="AA370" s="71">
        <v>44013</v>
      </c>
      <c r="AB370" s="99">
        <v>1985.9</v>
      </c>
      <c r="AC370" s="99">
        <v>1798.9</v>
      </c>
      <c r="AD370" s="73">
        <f t="shared" si="53"/>
        <v>0.10395241536494515</v>
      </c>
      <c r="AE370" s="67"/>
      <c r="AF370" s="71">
        <v>44013</v>
      </c>
      <c r="AG370" s="72">
        <v>93.35</v>
      </c>
      <c r="AH370" s="72">
        <v>97.39</v>
      </c>
      <c r="AI370" s="73">
        <f t="shared" si="54"/>
        <v>-4.1482698428996878E-2</v>
      </c>
      <c r="AJ370" s="67"/>
      <c r="AK370" s="74">
        <v>44043</v>
      </c>
      <c r="AL370" s="41">
        <v>5.5000000000000005E-3</v>
      </c>
      <c r="AM370" s="41">
        <f t="shared" si="56"/>
        <v>-1.0999999999999994E-3</v>
      </c>
      <c r="AN370" s="67"/>
      <c r="AO370" s="75">
        <v>44013</v>
      </c>
      <c r="AP370" s="76">
        <v>656121.4</v>
      </c>
      <c r="AQ370" s="80">
        <f t="shared" si="43"/>
        <v>5.2176617463268737E-3</v>
      </c>
      <c r="AR370" s="67"/>
      <c r="AS370" s="94">
        <v>44013</v>
      </c>
      <c r="AT370" s="78">
        <v>0.78520000000000001</v>
      </c>
      <c r="AU370" s="67"/>
      <c r="AV370" s="79">
        <v>44013</v>
      </c>
      <c r="AW370" s="76">
        <v>530402.80000000005</v>
      </c>
      <c r="AX370" s="80">
        <f t="shared" si="44"/>
        <v>-1.3935156911573432E-2</v>
      </c>
      <c r="AY370" s="67"/>
      <c r="AZ370" s="81">
        <v>44013</v>
      </c>
      <c r="BA370" s="82">
        <v>66.473281860351563</v>
      </c>
      <c r="BB370" s="82">
        <v>88.73797607421875</v>
      </c>
      <c r="BC370" s="67"/>
      <c r="BD370" s="83">
        <v>44027</v>
      </c>
      <c r="BE370" s="42">
        <v>11014</v>
      </c>
      <c r="BF370" s="41">
        <f t="shared" si="45"/>
        <v>5.397129186602867E-2</v>
      </c>
      <c r="BG370" s="67"/>
      <c r="BH370" s="84">
        <v>44013</v>
      </c>
      <c r="BI370" s="85">
        <v>95.025599999999997</v>
      </c>
      <c r="BJ370" s="87">
        <f t="shared" si="46"/>
        <v>3.7472132271539227E-2</v>
      </c>
      <c r="BK370" s="67"/>
      <c r="BL370" s="84">
        <v>44013</v>
      </c>
      <c r="BM370" s="86">
        <v>6.3726374999999997</v>
      </c>
      <c r="BN370" s="67"/>
      <c r="BO370" s="88">
        <v>44013</v>
      </c>
      <c r="BP370" s="89">
        <v>2.8769999999999998</v>
      </c>
      <c r="BQ370" s="89">
        <v>2.7305000000000001</v>
      </c>
      <c r="BR370" s="90">
        <f t="shared" si="37"/>
        <v>5.3653177073795799E-2</v>
      </c>
    </row>
    <row r="371" spans="1:70">
      <c r="A371" s="62">
        <v>44044</v>
      </c>
      <c r="B371" s="63">
        <v>44044</v>
      </c>
      <c r="C371" s="39">
        <v>42.61</v>
      </c>
      <c r="D371" s="64">
        <v>40.39</v>
      </c>
      <c r="E371" s="40">
        <f t="shared" si="50"/>
        <v>5.4964100024758489E-2</v>
      </c>
      <c r="F371" s="65"/>
      <c r="G371" s="63">
        <v>44044</v>
      </c>
      <c r="H371" s="39">
        <v>26.41</v>
      </c>
      <c r="I371" s="39">
        <v>25.75</v>
      </c>
      <c r="J371" s="40">
        <f t="shared" si="55"/>
        <v>2.5631067961165099E-2</v>
      </c>
      <c r="K371" s="67"/>
      <c r="L371" s="68">
        <v>44044</v>
      </c>
      <c r="M371" s="98">
        <v>3500.31</v>
      </c>
      <c r="N371" s="98">
        <v>3288.26</v>
      </c>
      <c r="O371" s="70">
        <f t="shared" si="51"/>
        <v>6.4486993120981939E-2</v>
      </c>
      <c r="P371" s="67"/>
      <c r="Q371" s="38">
        <v>44044</v>
      </c>
      <c r="R371" s="39">
        <v>2.63</v>
      </c>
      <c r="S371" s="39">
        <v>1.859</v>
      </c>
      <c r="T371" s="40">
        <f t="shared" si="49"/>
        <v>0.41473910704679939</v>
      </c>
      <c r="U371" s="67"/>
      <c r="V371" s="38">
        <v>44044</v>
      </c>
      <c r="W371" s="39">
        <v>1.2173</v>
      </c>
      <c r="X371" s="39">
        <v>1.2423</v>
      </c>
      <c r="Y371" s="40">
        <f t="shared" si="52"/>
        <v>-2.0123963615873763E-2</v>
      </c>
      <c r="Z371" s="67"/>
      <c r="AA371" s="71">
        <v>44044</v>
      </c>
      <c r="AB371" s="99">
        <v>1978.6</v>
      </c>
      <c r="AC371" s="99">
        <v>1997.4</v>
      </c>
      <c r="AD371" s="73">
        <f t="shared" si="53"/>
        <v>-9.4122359066787231E-3</v>
      </c>
      <c r="AE371" s="67"/>
      <c r="AF371" s="71">
        <v>44044</v>
      </c>
      <c r="AG371" s="72">
        <v>92.14</v>
      </c>
      <c r="AH371" s="72">
        <v>93.45</v>
      </c>
      <c r="AI371" s="73">
        <f t="shared" si="54"/>
        <v>-1.4018191546281478E-2</v>
      </c>
      <c r="AJ371" s="67"/>
      <c r="AK371" s="74">
        <v>44074</v>
      </c>
      <c r="AL371" s="41">
        <v>7.1999999999999998E-3</v>
      </c>
      <c r="AM371" s="41">
        <f t="shared" si="56"/>
        <v>1.6999999999999993E-3</v>
      </c>
      <c r="AN371" s="67"/>
      <c r="AO371" s="75">
        <v>44044</v>
      </c>
      <c r="AP371" s="76">
        <v>650689.25</v>
      </c>
      <c r="AQ371" s="80">
        <f t="shared" si="43"/>
        <v>-8.2791843094891515E-3</v>
      </c>
      <c r="AR371" s="67"/>
      <c r="AS371" s="94">
        <v>44044</v>
      </c>
      <c r="AT371" s="78">
        <v>0.8015000000000001</v>
      </c>
      <c r="AU371" s="67"/>
      <c r="AV371" s="79">
        <v>44044</v>
      </c>
      <c r="AW371" s="76">
        <v>508175</v>
      </c>
      <c r="AX371" s="80">
        <f t="shared" si="44"/>
        <v>-4.1907395662315605E-2</v>
      </c>
      <c r="AY371" s="67"/>
      <c r="AZ371" s="81">
        <v>44044</v>
      </c>
      <c r="BA371" s="82">
        <v>65.466049194335938</v>
      </c>
      <c r="BB371" s="82">
        <v>90.009117126464844</v>
      </c>
      <c r="BC371" s="67"/>
      <c r="BD371" s="83">
        <v>44058</v>
      </c>
      <c r="BE371" s="42">
        <v>10600</v>
      </c>
      <c r="BF371" s="41">
        <f t="shared" si="45"/>
        <v>-3.7588523697112741E-2</v>
      </c>
      <c r="BG371" s="67"/>
      <c r="BH371" s="84">
        <v>44044</v>
      </c>
      <c r="BI371" s="85">
        <v>95.954899999999995</v>
      </c>
      <c r="BJ371" s="87">
        <f t="shared" si="46"/>
        <v>9.7794699533599871E-3</v>
      </c>
      <c r="BK371" s="67"/>
      <c r="BL371" s="84">
        <v>44044</v>
      </c>
      <c r="BM371" s="86">
        <v>-1.2667865</v>
      </c>
      <c r="BN371" s="67"/>
      <c r="BO371" s="88">
        <v>44044</v>
      </c>
      <c r="BP371" s="89">
        <v>3.0554999999999999</v>
      </c>
      <c r="BQ371" s="89">
        <v>2.8420000000000001</v>
      </c>
      <c r="BR371" s="90">
        <f t="shared" si="37"/>
        <v>7.5123152709359431E-2</v>
      </c>
    </row>
    <row r="372" spans="1:70">
      <c r="A372" s="62">
        <v>44075</v>
      </c>
      <c r="B372" s="63">
        <v>44075</v>
      </c>
      <c r="C372" s="39">
        <v>40.22</v>
      </c>
      <c r="D372" s="64">
        <v>42.83</v>
      </c>
      <c r="E372" s="40">
        <f t="shared" si="50"/>
        <v>-6.0938594443147309E-2</v>
      </c>
      <c r="F372" s="65"/>
      <c r="G372" s="63">
        <v>44075</v>
      </c>
      <c r="H372" s="39">
        <v>26.37</v>
      </c>
      <c r="I372" s="39">
        <v>25.86</v>
      </c>
      <c r="J372" s="40">
        <f t="shared" si="55"/>
        <v>1.9721577726218076E-2</v>
      </c>
      <c r="K372" s="67"/>
      <c r="L372" s="68">
        <v>44075</v>
      </c>
      <c r="M372" s="98">
        <v>3363</v>
      </c>
      <c r="N372" s="98">
        <v>3507.44</v>
      </c>
      <c r="O372" s="70">
        <f t="shared" si="51"/>
        <v>-4.1181032319868582E-2</v>
      </c>
      <c r="P372" s="67"/>
      <c r="Q372" s="38">
        <v>44075</v>
      </c>
      <c r="R372" s="39">
        <v>2.5270000000000001</v>
      </c>
      <c r="S372" s="39">
        <v>2.6280000000000001</v>
      </c>
      <c r="T372" s="40">
        <f t="shared" si="49"/>
        <v>-3.8432267884322635E-2</v>
      </c>
      <c r="U372" s="67"/>
      <c r="V372" s="38">
        <v>44075</v>
      </c>
      <c r="W372" s="39">
        <v>1.1521999999999999</v>
      </c>
      <c r="X372" s="39">
        <v>1.2483</v>
      </c>
      <c r="Y372" s="40">
        <f t="shared" si="52"/>
        <v>-7.6984699190899675E-2</v>
      </c>
      <c r="Z372" s="67"/>
      <c r="AA372" s="71">
        <v>44075</v>
      </c>
      <c r="AB372" s="99">
        <v>1895.5</v>
      </c>
      <c r="AC372" s="99">
        <v>1973.7</v>
      </c>
      <c r="AD372" s="73">
        <f t="shared" si="53"/>
        <v>-3.9621016365202433E-2</v>
      </c>
      <c r="AE372" s="67"/>
      <c r="AF372" s="71">
        <v>44075</v>
      </c>
      <c r="AG372" s="72">
        <v>93.89</v>
      </c>
      <c r="AH372" s="72">
        <v>92.18</v>
      </c>
      <c r="AI372" s="73">
        <f t="shared" si="54"/>
        <v>1.8550661748752306E-2</v>
      </c>
      <c r="AJ372" s="67"/>
      <c r="AK372" s="74">
        <v>44104</v>
      </c>
      <c r="AL372" s="41">
        <v>6.8999999999999999E-3</v>
      </c>
      <c r="AM372" s="41">
        <f t="shared" si="56"/>
        <v>-2.9999999999999992E-4</v>
      </c>
      <c r="AN372" s="67"/>
      <c r="AO372" s="75">
        <v>44075</v>
      </c>
      <c r="AP372" s="76">
        <v>645424</v>
      </c>
      <c r="AQ372" s="80">
        <f t="shared" si="43"/>
        <v>-8.0918041907100946E-3</v>
      </c>
      <c r="AR372" s="67"/>
      <c r="AS372" s="94">
        <v>44075</v>
      </c>
      <c r="AT372" s="78">
        <v>0.74549999999999994</v>
      </c>
      <c r="AU372" s="67"/>
      <c r="AV372" s="79">
        <v>44075</v>
      </c>
      <c r="AW372" s="76">
        <v>495827.75</v>
      </c>
      <c r="AX372" s="80">
        <f t="shared" si="44"/>
        <v>-2.4297240123973052E-2</v>
      </c>
      <c r="AY372" s="67"/>
      <c r="AZ372" s="81">
        <v>44075</v>
      </c>
      <c r="BA372" s="82">
        <v>80.37738037109375</v>
      </c>
      <c r="BB372" s="82">
        <v>101.25764465332031</v>
      </c>
      <c r="BC372" s="67"/>
      <c r="BD372" s="83">
        <v>44089</v>
      </c>
      <c r="BE372" s="42">
        <v>10963</v>
      </c>
      <c r="BF372" s="41">
        <f t="shared" si="45"/>
        <v>3.4245283018867978E-2</v>
      </c>
      <c r="BG372" s="67"/>
      <c r="BH372" s="84">
        <v>44075</v>
      </c>
      <c r="BI372" s="85">
        <v>95.966899999999995</v>
      </c>
      <c r="BJ372" s="87">
        <f t="shared" si="46"/>
        <v>1.25058751559326E-4</v>
      </c>
      <c r="BK372" s="67"/>
      <c r="BL372" s="84">
        <v>44075</v>
      </c>
      <c r="BM372" s="86">
        <v>-8.5393491000000008</v>
      </c>
      <c r="BN372" s="67"/>
      <c r="BO372" s="88">
        <v>44075</v>
      </c>
      <c r="BP372" s="89">
        <v>3.0325000000000002</v>
      </c>
      <c r="BQ372" s="89">
        <v>3.0470000000000002</v>
      </c>
      <c r="BR372" s="90">
        <f t="shared" si="37"/>
        <v>-4.7587791270101709E-3</v>
      </c>
    </row>
    <row r="373" spans="1:70">
      <c r="A373" s="62">
        <v>44105</v>
      </c>
      <c r="B373" s="63">
        <v>44105</v>
      </c>
      <c r="C373" s="39">
        <v>35.79</v>
      </c>
      <c r="D373" s="64">
        <v>39.9</v>
      </c>
      <c r="E373" s="40">
        <f t="shared" si="50"/>
        <v>-0.10300751879699244</v>
      </c>
      <c r="F373" s="65"/>
      <c r="G373" s="63">
        <v>44105</v>
      </c>
      <c r="H373" s="39">
        <v>38.020000000000003</v>
      </c>
      <c r="I373" s="39">
        <v>25.78</v>
      </c>
      <c r="J373" s="40">
        <f t="shared" si="55"/>
        <v>0.47478665632273076</v>
      </c>
      <c r="K373" s="67"/>
      <c r="L373" s="68">
        <v>44105</v>
      </c>
      <c r="M373" s="98">
        <v>3269.96</v>
      </c>
      <c r="N373" s="98">
        <v>3385.87</v>
      </c>
      <c r="O373" s="70">
        <f t="shared" si="51"/>
        <v>-3.4233446647390475E-2</v>
      </c>
      <c r="P373" s="67"/>
      <c r="Q373" s="38">
        <v>44105</v>
      </c>
      <c r="R373" s="39">
        <v>3.3540000000000001</v>
      </c>
      <c r="S373" s="39">
        <v>2.5499999999999998</v>
      </c>
      <c r="T373" s="40">
        <f t="shared" si="49"/>
        <v>0.31529411764705895</v>
      </c>
      <c r="U373" s="67"/>
      <c r="V373" s="38">
        <v>44105</v>
      </c>
      <c r="W373" s="39">
        <v>1.0859000000000001</v>
      </c>
      <c r="X373" s="39">
        <v>1.1633</v>
      </c>
      <c r="Y373" s="40">
        <f t="shared" si="52"/>
        <v>-6.6534857732313157E-2</v>
      </c>
      <c r="Z373" s="67"/>
      <c r="AA373" s="71">
        <v>44105</v>
      </c>
      <c r="AB373" s="99">
        <v>1879.9</v>
      </c>
      <c r="AC373" s="99">
        <v>1891.2</v>
      </c>
      <c r="AD373" s="73">
        <f t="shared" si="53"/>
        <v>-5.9750423011843967E-3</v>
      </c>
      <c r="AE373" s="67"/>
      <c r="AF373" s="71">
        <v>44105</v>
      </c>
      <c r="AG373" s="72">
        <v>94.04</v>
      </c>
      <c r="AH373" s="72">
        <v>93.8</v>
      </c>
      <c r="AI373" s="73">
        <f t="shared" si="54"/>
        <v>2.5586353944564433E-3</v>
      </c>
      <c r="AJ373" s="67"/>
      <c r="AK373" s="74">
        <v>44135</v>
      </c>
      <c r="AL373" s="41">
        <v>8.8000000000000005E-3</v>
      </c>
      <c r="AM373" s="41">
        <f t="shared" si="56"/>
        <v>1.9000000000000006E-3</v>
      </c>
      <c r="AN373" s="67"/>
      <c r="AO373" s="75">
        <v>44105</v>
      </c>
      <c r="AP373" s="76">
        <v>640325.4</v>
      </c>
      <c r="AQ373" s="80">
        <f t="shared" si="43"/>
        <v>-7.8996132774733496E-3</v>
      </c>
      <c r="AR373" s="67"/>
      <c r="AS373" s="94">
        <v>44105</v>
      </c>
      <c r="AT373" s="78">
        <v>0.75</v>
      </c>
      <c r="AU373" s="67"/>
      <c r="AV373" s="79">
        <v>44105</v>
      </c>
      <c r="AW373" s="76">
        <v>489399.8</v>
      </c>
      <c r="AX373" s="80">
        <f t="shared" si="44"/>
        <v>-1.2964078755172581E-2</v>
      </c>
      <c r="AY373" s="67"/>
      <c r="AZ373" s="81">
        <v>44105</v>
      </c>
      <c r="BA373" s="82">
        <v>76.083168029785156</v>
      </c>
      <c r="BB373" s="82">
        <v>97.652580261230469</v>
      </c>
      <c r="BC373" s="67"/>
      <c r="BD373" s="83">
        <v>44119</v>
      </c>
      <c r="BE373" s="42">
        <v>10492</v>
      </c>
      <c r="BF373" s="41">
        <f t="shared" si="45"/>
        <v>-4.2962692693605753E-2</v>
      </c>
      <c r="BG373" s="67"/>
      <c r="BH373" s="84">
        <v>44105</v>
      </c>
      <c r="BI373" s="85">
        <v>96.739400000000003</v>
      </c>
      <c r="BJ373" s="87">
        <f t="shared" si="46"/>
        <v>8.0496504523956958E-3</v>
      </c>
      <c r="BK373" s="67"/>
      <c r="BL373" s="84">
        <v>44105</v>
      </c>
      <c r="BM373" s="86">
        <v>5.9937136000000004</v>
      </c>
      <c r="BN373" s="67"/>
      <c r="BO373" s="88">
        <v>44105</v>
      </c>
      <c r="BP373" s="89">
        <v>3.0514999999999999</v>
      </c>
      <c r="BQ373" s="89">
        <v>3.016</v>
      </c>
      <c r="BR373" s="90">
        <f t="shared" si="37"/>
        <v>1.1770557029177731E-2</v>
      </c>
    </row>
    <row r="374" spans="1:70">
      <c r="A374" s="62">
        <v>44136</v>
      </c>
      <c r="B374" s="63">
        <v>44136</v>
      </c>
      <c r="C374" s="39">
        <v>45.34</v>
      </c>
      <c r="D374" s="64">
        <v>35.24</v>
      </c>
      <c r="E374" s="40">
        <f t="shared" si="50"/>
        <v>0.28660612939841101</v>
      </c>
      <c r="F374" s="65"/>
      <c r="G374" s="63">
        <v>44136</v>
      </c>
      <c r="H374" s="39">
        <v>20.57</v>
      </c>
      <c r="I374" s="39">
        <v>38.57</v>
      </c>
      <c r="J374" s="40">
        <f t="shared" si="55"/>
        <v>-0.46668395125745399</v>
      </c>
      <c r="K374" s="67"/>
      <c r="L374" s="68">
        <v>44136</v>
      </c>
      <c r="M374" s="98">
        <v>3621.63</v>
      </c>
      <c r="N374" s="98">
        <v>3296.2</v>
      </c>
      <c r="O374" s="70">
        <f t="shared" si="51"/>
        <v>9.8728839269461854E-2</v>
      </c>
      <c r="P374" s="67"/>
      <c r="Q374" s="38">
        <v>44136</v>
      </c>
      <c r="R374" s="39">
        <v>2.8820000000000001</v>
      </c>
      <c r="S374" s="39">
        <v>3.3740000000000001</v>
      </c>
      <c r="T374" s="40">
        <f t="shared" si="49"/>
        <v>-0.14582098399525789</v>
      </c>
      <c r="U374" s="67"/>
      <c r="V374" s="38">
        <v>44136</v>
      </c>
      <c r="W374" s="39">
        <v>1.3714</v>
      </c>
      <c r="X374" s="39">
        <v>1.0754999999999999</v>
      </c>
      <c r="Y374" s="40">
        <f t="shared" si="52"/>
        <v>0.27512784751278474</v>
      </c>
      <c r="Z374" s="67"/>
      <c r="AA374" s="71">
        <v>44136</v>
      </c>
      <c r="AB374" s="99">
        <v>1780.9</v>
      </c>
      <c r="AC374" s="99">
        <v>1877</v>
      </c>
      <c r="AD374" s="73">
        <f t="shared" si="53"/>
        <v>-5.1198721363878485E-2</v>
      </c>
      <c r="AE374" s="67"/>
      <c r="AF374" s="71">
        <v>44136</v>
      </c>
      <c r="AG374" s="72">
        <v>91.87</v>
      </c>
      <c r="AH374" s="72">
        <v>93.89</v>
      </c>
      <c r="AI374" s="73">
        <f t="shared" si="54"/>
        <v>-2.1514538289487684E-2</v>
      </c>
      <c r="AJ374" s="67"/>
      <c r="AK374" s="74">
        <v>44165</v>
      </c>
      <c r="AL374" s="41">
        <v>8.3999999999999995E-3</v>
      </c>
      <c r="AM374" s="41">
        <f t="shared" si="56"/>
        <v>-4.0000000000000105E-4</v>
      </c>
      <c r="AN374" s="67"/>
      <c r="AO374" s="75">
        <v>44136</v>
      </c>
      <c r="AP374" s="76">
        <v>638346.75</v>
      </c>
      <c r="AQ374" s="80">
        <f t="shared" si="43"/>
        <v>-3.0900695177795701E-3</v>
      </c>
      <c r="AR374" s="67"/>
      <c r="AS374" s="94">
        <v>44136</v>
      </c>
      <c r="AT374" s="78">
        <v>0.77200000000000002</v>
      </c>
      <c r="AU374" s="67"/>
      <c r="AV374" s="79">
        <v>44136</v>
      </c>
      <c r="AW374" s="76">
        <v>488736</v>
      </c>
      <c r="AX374" s="80">
        <f t="shared" si="44"/>
        <v>-1.3563552743585117E-3</v>
      </c>
      <c r="AY374" s="67"/>
      <c r="AZ374" s="81">
        <v>44136</v>
      </c>
      <c r="BA374" s="82">
        <v>70.067466735839844</v>
      </c>
      <c r="BB374" s="82">
        <v>79.036445617675781</v>
      </c>
      <c r="BC374" s="67"/>
      <c r="BD374" s="83">
        <v>44150</v>
      </c>
      <c r="BE374" s="42">
        <v>11225</v>
      </c>
      <c r="BF374" s="41">
        <f t="shared" si="45"/>
        <v>6.9862752573389253E-2</v>
      </c>
      <c r="BG374" s="67"/>
      <c r="BH374" s="84">
        <v>44136</v>
      </c>
      <c r="BI374" s="85">
        <v>97.081599999999995</v>
      </c>
      <c r="BJ374" s="87">
        <f t="shared" si="46"/>
        <v>3.5373384577535028E-3</v>
      </c>
      <c r="BK374" s="67"/>
      <c r="BL374" s="84">
        <v>44136</v>
      </c>
      <c r="BM374" s="86">
        <v>-26.433962000000001</v>
      </c>
      <c r="BN374" s="67"/>
      <c r="BO374" s="88">
        <v>44136</v>
      </c>
      <c r="BP374" s="89">
        <v>3.4335</v>
      </c>
      <c r="BQ374" s="89">
        <v>3.0550000000000002</v>
      </c>
      <c r="BR374" s="90">
        <f t="shared" si="37"/>
        <v>0.12389525368248777</v>
      </c>
    </row>
    <row r="375" spans="1:70">
      <c r="A375" s="62">
        <v>44166</v>
      </c>
      <c r="B375" s="63">
        <v>44166</v>
      </c>
      <c r="C375" s="39">
        <v>48.52</v>
      </c>
      <c r="D375" s="64">
        <v>45.08</v>
      </c>
      <c r="E375" s="40">
        <f t="shared" si="50"/>
        <v>7.6308784383318562E-2</v>
      </c>
      <c r="F375" s="65"/>
      <c r="G375" s="63">
        <v>44166</v>
      </c>
      <c r="H375" s="39">
        <v>22.75</v>
      </c>
      <c r="I375" s="39">
        <v>20.21</v>
      </c>
      <c r="J375" s="40">
        <f t="shared" si="55"/>
        <v>0.12568035625927765</v>
      </c>
      <c r="K375" s="67"/>
      <c r="L375" s="68">
        <v>44166</v>
      </c>
      <c r="M375" s="98">
        <v>3756.07</v>
      </c>
      <c r="N375" s="98">
        <v>3645.87</v>
      </c>
      <c r="O375" s="70">
        <f t="shared" si="51"/>
        <v>3.0225981727269646E-2</v>
      </c>
      <c r="P375" s="67"/>
      <c r="Q375" s="38">
        <v>44166</v>
      </c>
      <c r="R375" s="39">
        <v>2.5390000000000001</v>
      </c>
      <c r="S375" s="39">
        <v>2.9340000000000002</v>
      </c>
      <c r="T375" s="40">
        <f t="shared" si="49"/>
        <v>-0.13462849352419903</v>
      </c>
      <c r="U375" s="67"/>
      <c r="V375" s="38">
        <v>44166</v>
      </c>
      <c r="W375" s="39">
        <v>1.484</v>
      </c>
      <c r="X375" s="39">
        <v>1.3766</v>
      </c>
      <c r="Y375" s="40">
        <f t="shared" si="52"/>
        <v>7.8018305971233382E-2</v>
      </c>
      <c r="Z375" s="67"/>
      <c r="AA375" s="71">
        <v>44166</v>
      </c>
      <c r="AB375" s="99">
        <v>1895.1</v>
      </c>
      <c r="AC375" s="99">
        <v>1780.3</v>
      </c>
      <c r="AD375" s="73">
        <f t="shared" si="53"/>
        <v>6.4483514014491927E-2</v>
      </c>
      <c r="AE375" s="67"/>
      <c r="AF375" s="71">
        <v>44166</v>
      </c>
      <c r="AG375" s="72">
        <v>89.94</v>
      </c>
      <c r="AH375" s="72">
        <v>91.94</v>
      </c>
      <c r="AI375" s="73">
        <f t="shared" si="54"/>
        <v>-2.1753317380900583E-2</v>
      </c>
      <c r="AJ375" s="67"/>
      <c r="AK375" s="74">
        <v>44196</v>
      </c>
      <c r="AL375" s="41">
        <v>9.300000000000001E-3</v>
      </c>
      <c r="AM375" s="41">
        <f t="shared" si="56"/>
        <v>9.0000000000000149E-4</v>
      </c>
      <c r="AN375" s="67"/>
      <c r="AO375" s="75">
        <v>44166</v>
      </c>
      <c r="AP375" s="76">
        <v>638085.25</v>
      </c>
      <c r="AQ375" s="80">
        <f t="shared" si="43"/>
        <v>-4.0965196423414785E-4</v>
      </c>
      <c r="AR375" s="67"/>
      <c r="AS375" s="94">
        <v>44166</v>
      </c>
      <c r="AT375" s="78">
        <v>0.79099999999999993</v>
      </c>
      <c r="AU375" s="67"/>
      <c r="AV375" s="79">
        <v>44166</v>
      </c>
      <c r="AW375" s="76">
        <v>499082.5</v>
      </c>
      <c r="AX375" s="80">
        <f t="shared" si="44"/>
        <v>2.116991586459771E-2</v>
      </c>
      <c r="AY375" s="67"/>
      <c r="AZ375" s="81">
        <v>44166</v>
      </c>
      <c r="BA375" s="82">
        <v>64.067291259765625</v>
      </c>
      <c r="BB375" s="82">
        <v>86.815277099609375</v>
      </c>
      <c r="BC375" s="67"/>
      <c r="BD375" s="83">
        <v>44180</v>
      </c>
      <c r="BE375" s="42">
        <v>11188</v>
      </c>
      <c r="BF375" s="41">
        <f t="shared" si="45"/>
        <v>-3.2962138084632331E-3</v>
      </c>
      <c r="BG375" s="67"/>
      <c r="BH375" s="84">
        <v>44166</v>
      </c>
      <c r="BI375" s="85">
        <v>98.363</v>
      </c>
      <c r="BJ375" s="87">
        <f t="shared" si="46"/>
        <v>1.3199205616718279E-2</v>
      </c>
      <c r="BK375" s="67"/>
      <c r="BL375" s="84">
        <v>44166</v>
      </c>
      <c r="BM375" s="86">
        <v>-21.418527000000001</v>
      </c>
      <c r="BN375" s="67"/>
      <c r="BO375" s="88">
        <v>44166</v>
      </c>
      <c r="BP375" s="89">
        <v>3.5190000000000001</v>
      </c>
      <c r="BQ375" s="89">
        <v>3.464</v>
      </c>
      <c r="BR375" s="90">
        <f t="shared" si="37"/>
        <v>1.5877598152425065E-2</v>
      </c>
    </row>
    <row r="376" spans="1:70">
      <c r="A376" s="62">
        <v>44197</v>
      </c>
      <c r="B376" s="63">
        <v>44197</v>
      </c>
      <c r="C376" s="39">
        <v>52.2</v>
      </c>
      <c r="D376" s="64">
        <v>48.4</v>
      </c>
      <c r="E376" s="40">
        <f t="shared" si="50"/>
        <v>7.8512396694214948E-2</v>
      </c>
      <c r="F376" s="65"/>
      <c r="G376" s="63">
        <v>44197</v>
      </c>
      <c r="H376" s="39">
        <v>33.090000000000003</v>
      </c>
      <c r="I376" s="39">
        <v>23.04</v>
      </c>
      <c r="J376" s="40">
        <f t="shared" si="55"/>
        <v>0.43619791666666696</v>
      </c>
      <c r="K376" s="67"/>
      <c r="L376" s="68">
        <v>44197</v>
      </c>
      <c r="M376" s="98">
        <v>3714.24</v>
      </c>
      <c r="N376" s="98">
        <v>3764.61</v>
      </c>
      <c r="O376" s="70">
        <f t="shared" si="51"/>
        <v>-1.3379872018615568E-2</v>
      </c>
      <c r="P376" s="67"/>
      <c r="Q376" s="38">
        <v>44197</v>
      </c>
      <c r="R376" s="39">
        <v>2.5640000000000001</v>
      </c>
      <c r="S376" s="39">
        <v>2.6259999999999999</v>
      </c>
      <c r="T376" s="40">
        <f t="shared" si="49"/>
        <v>-2.3610053313023571E-2</v>
      </c>
      <c r="U376" s="67"/>
      <c r="V376" s="38">
        <v>44197</v>
      </c>
      <c r="W376" s="39">
        <v>1.5984</v>
      </c>
      <c r="X376" s="39">
        <v>1.4839</v>
      </c>
      <c r="Y376" s="40">
        <f t="shared" si="52"/>
        <v>7.7161533796078041E-2</v>
      </c>
      <c r="Z376" s="67"/>
      <c r="AA376" s="71">
        <v>44197</v>
      </c>
      <c r="AB376" s="99">
        <v>1850.3</v>
      </c>
      <c r="AC376" s="99">
        <v>1908.2</v>
      </c>
      <c r="AD376" s="73">
        <f t="shared" si="53"/>
        <v>-3.0342731369877418E-2</v>
      </c>
      <c r="AE376" s="67"/>
      <c r="AF376" s="71">
        <v>44197</v>
      </c>
      <c r="AG376" s="72">
        <v>90.58</v>
      </c>
      <c r="AH376" s="72">
        <v>89.93</v>
      </c>
      <c r="AI376" s="73">
        <f t="shared" si="54"/>
        <v>7.2278438785722265E-3</v>
      </c>
      <c r="AJ376" s="67"/>
      <c r="AK376" s="74">
        <v>44227</v>
      </c>
      <c r="AL376" s="41">
        <v>1.11E-2</v>
      </c>
      <c r="AM376" s="41">
        <f t="shared" si="56"/>
        <v>1.7999999999999995E-3</v>
      </c>
      <c r="AN376" s="67"/>
      <c r="AO376" s="75">
        <v>44197</v>
      </c>
      <c r="AP376" s="76">
        <v>638085.4</v>
      </c>
      <c r="AQ376" s="80">
        <f t="shared" si="43"/>
        <v>2.3507830659852402E-7</v>
      </c>
      <c r="AR376" s="67"/>
      <c r="AS376" s="94">
        <v>44197</v>
      </c>
      <c r="AT376" s="78">
        <v>0.81840000000000002</v>
      </c>
      <c r="AU376" s="67"/>
      <c r="AV376" s="79">
        <v>44197</v>
      </c>
      <c r="AW376" s="76">
        <v>481309</v>
      </c>
      <c r="AX376" s="80">
        <f t="shared" si="44"/>
        <v>-3.5612348659790682E-2</v>
      </c>
      <c r="AY376" s="67"/>
      <c r="AZ376" s="81">
        <v>44197</v>
      </c>
      <c r="BA376" s="82">
        <v>77.418701171875</v>
      </c>
      <c r="BB376" s="82">
        <v>98.475624084472656</v>
      </c>
      <c r="BC376" s="67"/>
      <c r="BD376" s="83">
        <v>44211</v>
      </c>
      <c r="BE376" s="42">
        <v>11156</v>
      </c>
      <c r="BF376" s="41">
        <f t="shared" si="45"/>
        <v>-2.8602073650340065E-3</v>
      </c>
      <c r="BG376" s="67"/>
      <c r="BH376" s="84">
        <v>44197</v>
      </c>
      <c r="BI376" s="85">
        <v>98.882199999999997</v>
      </c>
      <c r="BJ376" s="87">
        <f t="shared" si="46"/>
        <v>5.2784075312870549E-3</v>
      </c>
      <c r="BK376" s="67"/>
      <c r="BL376" s="84">
        <v>44197</v>
      </c>
      <c r="BM376" s="86">
        <v>7.2321517999999996</v>
      </c>
      <c r="BN376" s="67"/>
      <c r="BO376" s="88">
        <v>44197</v>
      </c>
      <c r="BP376" s="89">
        <v>3.5579999999999998</v>
      </c>
      <c r="BQ376" s="89">
        <v>3.5270000000000001</v>
      </c>
      <c r="BR376" s="90">
        <f t="shared" si="37"/>
        <v>8.7893393819109544E-3</v>
      </c>
    </row>
    <row r="377" spans="1:70">
      <c r="A377" s="62">
        <v>44228</v>
      </c>
      <c r="B377" s="63">
        <v>44228</v>
      </c>
      <c r="C377" s="39">
        <v>61.5</v>
      </c>
      <c r="D377" s="64">
        <v>51.99</v>
      </c>
      <c r="E377" s="40">
        <f t="shared" si="50"/>
        <v>0.18291979226774369</v>
      </c>
      <c r="F377" s="65"/>
      <c r="G377" s="63">
        <v>44228</v>
      </c>
      <c r="H377" s="39">
        <v>27.95</v>
      </c>
      <c r="I377" s="39">
        <v>31.45</v>
      </c>
      <c r="J377" s="40">
        <f t="shared" si="55"/>
        <v>-0.11128775834658189</v>
      </c>
      <c r="K377" s="67"/>
      <c r="L377" s="68">
        <v>44228</v>
      </c>
      <c r="M377" s="98">
        <v>3811.15</v>
      </c>
      <c r="N377" s="98">
        <v>3731.17</v>
      </c>
      <c r="O377" s="70">
        <f t="shared" si="51"/>
        <v>2.1435635470911318E-2</v>
      </c>
      <c r="P377" s="67"/>
      <c r="Q377" s="38">
        <v>44228</v>
      </c>
      <c r="R377" s="39">
        <v>2.7709999999999999</v>
      </c>
      <c r="S377" s="39">
        <v>2.73</v>
      </c>
      <c r="T377" s="40">
        <f t="shared" si="49"/>
        <v>1.5018315018314965E-2</v>
      </c>
      <c r="U377" s="67"/>
      <c r="V377" s="38">
        <v>44228</v>
      </c>
      <c r="W377" s="39">
        <v>1.8431</v>
      </c>
      <c r="X377" s="39">
        <v>1.59</v>
      </c>
      <c r="Y377" s="40">
        <f t="shared" si="52"/>
        <v>0.15918238993710676</v>
      </c>
      <c r="Z377" s="67"/>
      <c r="AA377" s="71">
        <v>44228</v>
      </c>
      <c r="AB377" s="99">
        <v>1728.8</v>
      </c>
      <c r="AC377" s="99">
        <v>1865</v>
      </c>
      <c r="AD377" s="73">
        <f t="shared" si="53"/>
        <v>-7.3029490616622006E-2</v>
      </c>
      <c r="AE377" s="67"/>
      <c r="AF377" s="71">
        <v>44228</v>
      </c>
      <c r="AG377" s="72">
        <v>90.88</v>
      </c>
      <c r="AH377" s="72">
        <v>90.53</v>
      </c>
      <c r="AI377" s="73">
        <f t="shared" si="54"/>
        <v>3.8661217276041437E-3</v>
      </c>
      <c r="AJ377" s="67"/>
      <c r="AK377" s="74">
        <v>44255</v>
      </c>
      <c r="AL377" s="41">
        <v>1.44E-2</v>
      </c>
      <c r="AM377" s="41">
        <f t="shared" si="56"/>
        <v>3.2999999999999991E-3</v>
      </c>
      <c r="AN377" s="67"/>
      <c r="AO377" s="75">
        <v>44228</v>
      </c>
      <c r="AP377" s="76">
        <v>637810</v>
      </c>
      <c r="AQ377" s="80">
        <f t="shared" si="43"/>
        <v>-4.316036693521319E-4</v>
      </c>
      <c r="AR377" s="67"/>
      <c r="AS377" s="94">
        <v>44228</v>
      </c>
      <c r="AT377" s="78">
        <v>0.72675000000000001</v>
      </c>
      <c r="AU377" s="67"/>
      <c r="AV377" s="79">
        <v>44228</v>
      </c>
      <c r="AW377" s="76">
        <v>469604.5</v>
      </c>
      <c r="AX377" s="80">
        <f t="shared" si="44"/>
        <v>-2.4318057630337231E-2</v>
      </c>
      <c r="AY377" s="67"/>
      <c r="AZ377" s="81">
        <v>44228</v>
      </c>
      <c r="BA377" s="82">
        <v>73.956802368164063</v>
      </c>
      <c r="BB377" s="82">
        <v>94.483558654785156</v>
      </c>
      <c r="BC377" s="67"/>
      <c r="BD377" s="83">
        <v>44242</v>
      </c>
      <c r="BE377" s="42">
        <v>9931</v>
      </c>
      <c r="BF377" s="41">
        <f t="shared" si="45"/>
        <v>-0.10980638221584793</v>
      </c>
      <c r="BG377" s="67"/>
      <c r="BH377" s="84">
        <v>44228</v>
      </c>
      <c r="BI377" s="85">
        <v>95.614900000000006</v>
      </c>
      <c r="BJ377" s="87">
        <f t="shared" si="46"/>
        <v>-3.3042347358776314E-2</v>
      </c>
      <c r="BK377" s="67"/>
      <c r="BL377" s="84">
        <v>44228</v>
      </c>
      <c r="BM377" s="86">
        <v>-2.9541669000000002</v>
      </c>
      <c r="BN377" s="67"/>
      <c r="BO377" s="88">
        <v>44228</v>
      </c>
      <c r="BP377" s="89">
        <v>4.0925000000000002</v>
      </c>
      <c r="BQ377" s="89">
        <v>3.5470000000000002</v>
      </c>
      <c r="BR377" s="90">
        <f t="shared" si="37"/>
        <v>0.15379193684804071</v>
      </c>
    </row>
    <row r="378" spans="1:70">
      <c r="A378" s="62">
        <v>44256</v>
      </c>
      <c r="B378" s="63">
        <v>44256</v>
      </c>
      <c r="C378" s="39">
        <v>59.16</v>
      </c>
      <c r="D378" s="64">
        <v>61.95</v>
      </c>
      <c r="E378" s="40">
        <f t="shared" si="50"/>
        <v>-4.5036319612590914E-2</v>
      </c>
      <c r="F378" s="65"/>
      <c r="G378" s="63">
        <v>44256</v>
      </c>
      <c r="H378" s="39">
        <v>19.399999999999999</v>
      </c>
      <c r="I378" s="39">
        <v>25.2</v>
      </c>
      <c r="J378" s="40">
        <f t="shared" si="55"/>
        <v>-0.23015873015873023</v>
      </c>
      <c r="K378" s="67"/>
      <c r="L378" s="68">
        <v>44256</v>
      </c>
      <c r="M378" s="98">
        <v>3972.89</v>
      </c>
      <c r="N378" s="98">
        <v>3842.51</v>
      </c>
      <c r="O378" s="70">
        <f t="shared" si="51"/>
        <v>3.3930946178409416E-2</v>
      </c>
      <c r="P378" s="67"/>
      <c r="Q378" s="38">
        <v>44256</v>
      </c>
      <c r="R378" s="39">
        <v>2.6080000000000001</v>
      </c>
      <c r="S378" s="39">
        <v>2.8</v>
      </c>
      <c r="T378" s="40">
        <f t="shared" si="49"/>
        <v>-6.8571428571428505E-2</v>
      </c>
      <c r="U378" s="67"/>
      <c r="V378" s="38">
        <v>44256</v>
      </c>
      <c r="W378" s="39">
        <v>1.7698</v>
      </c>
      <c r="X378" s="39">
        <v>1.8435999999999999</v>
      </c>
      <c r="Y378" s="40">
        <f t="shared" si="52"/>
        <v>-4.0030375352571035E-2</v>
      </c>
      <c r="Z378" s="67"/>
      <c r="AA378" s="71">
        <v>44256</v>
      </c>
      <c r="AB378" s="99">
        <v>1715.6</v>
      </c>
      <c r="AC378" s="99">
        <v>1732.8</v>
      </c>
      <c r="AD378" s="73">
        <f t="shared" si="53"/>
        <v>-9.9261311172669231E-3</v>
      </c>
      <c r="AE378" s="67"/>
      <c r="AF378" s="71">
        <v>44256</v>
      </c>
      <c r="AG378" s="72">
        <v>93.23</v>
      </c>
      <c r="AH378" s="72">
        <v>90.93</v>
      </c>
      <c r="AI378" s="73">
        <f t="shared" si="54"/>
        <v>2.5294182338062132E-2</v>
      </c>
      <c r="AJ378" s="67"/>
      <c r="AK378" s="74">
        <v>44286</v>
      </c>
      <c r="AL378" s="41">
        <v>1.7399999999999999E-2</v>
      </c>
      <c r="AM378" s="41">
        <f t="shared" si="56"/>
        <v>2.9999999999999992E-3</v>
      </c>
      <c r="AN378" s="67"/>
      <c r="AO378" s="75">
        <v>44256</v>
      </c>
      <c r="AP378" s="76">
        <v>637773</v>
      </c>
      <c r="AQ378" s="80">
        <f t="shared" si="43"/>
        <v>-5.8011006412561628E-5</v>
      </c>
      <c r="AR378" s="67"/>
      <c r="AS378" s="94">
        <v>44256</v>
      </c>
      <c r="AT378" s="78">
        <v>0.77650000000000008</v>
      </c>
      <c r="AU378" s="67"/>
      <c r="AV378" s="79">
        <v>44256</v>
      </c>
      <c r="AW378" s="76">
        <v>500937</v>
      </c>
      <c r="AX378" s="80">
        <f t="shared" si="44"/>
        <v>6.6721038661256449E-2</v>
      </c>
      <c r="AY378" s="67"/>
      <c r="AZ378" s="81">
        <v>44256</v>
      </c>
      <c r="BA378" s="82">
        <v>78.618766784667969</v>
      </c>
      <c r="BB378" s="82">
        <v>100.85202026367188</v>
      </c>
      <c r="BC378" s="67"/>
      <c r="BD378" s="83">
        <v>44270</v>
      </c>
      <c r="BE378" s="42">
        <v>11376</v>
      </c>
      <c r="BF378" s="41">
        <f t="shared" si="45"/>
        <v>0.14550397744436605</v>
      </c>
      <c r="BG378" s="67"/>
      <c r="BH378" s="84">
        <v>44256</v>
      </c>
      <c r="BI378" s="85">
        <v>98.385599999999997</v>
      </c>
      <c r="BJ378" s="87">
        <f t="shared" si="46"/>
        <v>2.8977701174189185E-2</v>
      </c>
      <c r="BK378" s="67"/>
      <c r="BL378" s="84">
        <v>44256</v>
      </c>
      <c r="BM378" s="86">
        <v>26.354431999999999</v>
      </c>
      <c r="BN378" s="67"/>
      <c r="BO378" s="88">
        <v>44256</v>
      </c>
      <c r="BP378" s="89">
        <v>4</v>
      </c>
      <c r="BQ378" s="89">
        <v>4.1059999999999999</v>
      </c>
      <c r="BR378" s="90">
        <f t="shared" si="37"/>
        <v>-2.5815879201169012E-2</v>
      </c>
    </row>
    <row r="379" spans="1:70">
      <c r="A379" s="62">
        <v>44287</v>
      </c>
      <c r="B379" s="63">
        <v>44287</v>
      </c>
      <c r="C379" s="39">
        <v>63.58</v>
      </c>
      <c r="D379" s="64">
        <v>59.49</v>
      </c>
      <c r="E379" s="40">
        <f t="shared" si="50"/>
        <v>6.8751050596738805E-2</v>
      </c>
      <c r="F379" s="65"/>
      <c r="G379" s="63">
        <v>44287</v>
      </c>
      <c r="H379" s="39">
        <v>18.61</v>
      </c>
      <c r="I379" s="39">
        <v>18.600000000000001</v>
      </c>
      <c r="J379" s="40">
        <f t="shared" si="55"/>
        <v>5.3763440860210565E-4</v>
      </c>
      <c r="K379" s="67"/>
      <c r="L379" s="68">
        <v>44287</v>
      </c>
      <c r="M379" s="98">
        <v>4181.17</v>
      </c>
      <c r="N379" s="98">
        <v>3992.78</v>
      </c>
      <c r="O379" s="70">
        <f t="shared" si="51"/>
        <v>4.7182664709801259E-2</v>
      </c>
      <c r="P379" s="67"/>
      <c r="Q379" s="38">
        <v>44287</v>
      </c>
      <c r="R379" s="39">
        <v>2.931</v>
      </c>
      <c r="S379" s="39">
        <v>2.605</v>
      </c>
      <c r="T379" s="40">
        <f t="shared" si="49"/>
        <v>0.12514395393474098</v>
      </c>
      <c r="U379" s="67"/>
      <c r="V379" s="38">
        <v>44287</v>
      </c>
      <c r="W379" s="39">
        <v>1.9224000000000001</v>
      </c>
      <c r="X379" s="39">
        <v>1.7779</v>
      </c>
      <c r="Y379" s="40">
        <f t="shared" si="52"/>
        <v>8.1275662298217144E-2</v>
      </c>
      <c r="Z379" s="67"/>
      <c r="AA379" s="71">
        <v>44287</v>
      </c>
      <c r="AB379" s="99">
        <v>1767.7</v>
      </c>
      <c r="AC379" s="99">
        <v>1709</v>
      </c>
      <c r="AD379" s="73">
        <f t="shared" si="53"/>
        <v>3.4347571679344657E-2</v>
      </c>
      <c r="AE379" s="67"/>
      <c r="AF379" s="71">
        <v>44287</v>
      </c>
      <c r="AG379" s="72">
        <v>91.28</v>
      </c>
      <c r="AH379" s="72">
        <v>93.22</v>
      </c>
      <c r="AI379" s="73">
        <f t="shared" si="54"/>
        <v>-2.0810984767217322E-2</v>
      </c>
      <c r="AJ379" s="67"/>
      <c r="AK379" s="74">
        <v>44316</v>
      </c>
      <c r="AL379" s="41">
        <v>1.6500000000000001E-2</v>
      </c>
      <c r="AM379" s="41">
        <f t="shared" si="56"/>
        <v>-8.9999999999999802E-4</v>
      </c>
      <c r="AN379" s="67"/>
      <c r="AO379" s="75">
        <v>44287</v>
      </c>
      <c r="AP379" s="76">
        <v>635653.19999999995</v>
      </c>
      <c r="AQ379" s="80">
        <f t="shared" si="43"/>
        <v>-3.3237531221924632E-3</v>
      </c>
      <c r="AR379" s="67"/>
      <c r="AS379" s="94">
        <v>44287</v>
      </c>
      <c r="AT379" s="78">
        <v>0.85180000000000011</v>
      </c>
      <c r="AU379" s="67"/>
      <c r="AV379" s="79">
        <v>44287</v>
      </c>
      <c r="AW379" s="76">
        <v>492395.4</v>
      </c>
      <c r="AX379" s="80">
        <f t="shared" si="44"/>
        <v>-1.7051245965061468E-2</v>
      </c>
      <c r="AY379" s="67"/>
      <c r="AZ379" s="81">
        <v>44287</v>
      </c>
      <c r="BA379" s="82">
        <v>88.166221618652344</v>
      </c>
      <c r="BB379" s="82">
        <v>109.58695983886719</v>
      </c>
      <c r="BC379" s="67"/>
      <c r="BD379" s="83">
        <v>44301</v>
      </c>
      <c r="BE379" s="42">
        <v>11355</v>
      </c>
      <c r="BF379" s="41">
        <f t="shared" si="45"/>
        <v>-1.8459915611814814E-3</v>
      </c>
      <c r="BG379" s="67"/>
      <c r="BH379" s="84">
        <v>44287</v>
      </c>
      <c r="BI379" s="85">
        <v>98.558700000000002</v>
      </c>
      <c r="BJ379" s="87">
        <f t="shared" si="46"/>
        <v>1.7594038151924618E-3</v>
      </c>
      <c r="BK379" s="67"/>
      <c r="BL379" s="84">
        <v>44287</v>
      </c>
      <c r="BM379" s="86">
        <v>46.313220000000001</v>
      </c>
      <c r="BN379" s="67"/>
      <c r="BO379" s="88">
        <v>44287</v>
      </c>
      <c r="BP379" s="89">
        <v>4.468</v>
      </c>
      <c r="BQ379" s="89">
        <v>3.99</v>
      </c>
      <c r="BR379" s="90">
        <f t="shared" si="37"/>
        <v>0.11979949874686713</v>
      </c>
    </row>
    <row r="380" spans="1:70">
      <c r="A380" s="62">
        <v>44317</v>
      </c>
      <c r="B380" s="63">
        <v>44317</v>
      </c>
      <c r="C380" s="39">
        <v>66.319999999999993</v>
      </c>
      <c r="D380" s="64">
        <v>63.64</v>
      </c>
      <c r="E380" s="40">
        <f t="shared" si="50"/>
        <v>4.2111879321181434E-2</v>
      </c>
      <c r="F380" s="65"/>
      <c r="G380" s="63">
        <v>44317</v>
      </c>
      <c r="H380" s="39">
        <v>16.760000000000002</v>
      </c>
      <c r="I380" s="39">
        <v>18.649999999999999</v>
      </c>
      <c r="J380" s="40">
        <f t="shared" si="55"/>
        <v>-0.10134048257372641</v>
      </c>
      <c r="K380" s="67"/>
      <c r="L380" s="68">
        <v>44317</v>
      </c>
      <c r="M380" s="98">
        <v>4204.1099999999997</v>
      </c>
      <c r="N380" s="98">
        <v>4191.9799999999996</v>
      </c>
      <c r="O380" s="70">
        <f t="shared" si="51"/>
        <v>2.8936206756711158E-3</v>
      </c>
      <c r="P380" s="67"/>
      <c r="Q380" s="38">
        <v>44317</v>
      </c>
      <c r="R380" s="39">
        <v>2.9860000000000002</v>
      </c>
      <c r="S380" s="39">
        <v>2.9380000000000002</v>
      </c>
      <c r="T380" s="40">
        <f t="shared" si="49"/>
        <v>1.6337644656228667E-2</v>
      </c>
      <c r="U380" s="67"/>
      <c r="V380" s="38">
        <v>44317</v>
      </c>
      <c r="W380" s="39">
        <v>2.0383</v>
      </c>
      <c r="X380" s="39">
        <v>1.9259999999999999</v>
      </c>
      <c r="Y380" s="40">
        <f t="shared" si="52"/>
        <v>5.8307372793354073E-2</v>
      </c>
      <c r="Z380" s="67"/>
      <c r="AA380" s="71">
        <v>44317</v>
      </c>
      <c r="AB380" s="99">
        <v>1905.3</v>
      </c>
      <c r="AC380" s="99">
        <v>1768.1</v>
      </c>
      <c r="AD380" s="73">
        <f t="shared" si="53"/>
        <v>7.7597420960352936E-2</v>
      </c>
      <c r="AE380" s="67"/>
      <c r="AF380" s="71">
        <v>44317</v>
      </c>
      <c r="AG380" s="72">
        <v>90.03</v>
      </c>
      <c r="AH380" s="72">
        <v>91.3</v>
      </c>
      <c r="AI380" s="73">
        <f t="shared" si="54"/>
        <v>-1.3910186199342811E-2</v>
      </c>
      <c r="AJ380" s="67"/>
      <c r="AK380" s="74">
        <v>44347</v>
      </c>
      <c r="AL380" s="41">
        <v>1.5800000000000002E-2</v>
      </c>
      <c r="AM380" s="41">
        <f t="shared" si="56"/>
        <v>-6.9999999999999923E-4</v>
      </c>
      <c r="AN380" s="67"/>
      <c r="AO380" s="92">
        <v>44317</v>
      </c>
      <c r="AP380" s="76">
        <v>629617.25</v>
      </c>
      <c r="AQ380" s="80">
        <f t="shared" si="43"/>
        <v>-9.495665246395335E-3</v>
      </c>
      <c r="AR380" s="67"/>
      <c r="AS380" s="97">
        <v>44317</v>
      </c>
      <c r="AT380" s="78">
        <v>0.87025000000000008</v>
      </c>
      <c r="AU380" s="67"/>
      <c r="AV380" s="93">
        <v>44317</v>
      </c>
      <c r="AW380" s="76">
        <v>483580.25</v>
      </c>
      <c r="AX380" s="80">
        <f t="shared" si="44"/>
        <v>-1.7902583980272779E-2</v>
      </c>
      <c r="AY380" s="67"/>
      <c r="AZ380" s="81">
        <v>44317</v>
      </c>
      <c r="BA380" s="82">
        <v>93.007133483886719</v>
      </c>
      <c r="BB380" s="82">
        <v>120.7828369140625</v>
      </c>
      <c r="BC380" s="67"/>
      <c r="BD380" s="83">
        <v>44331</v>
      </c>
      <c r="BE380" s="42">
        <v>11425</v>
      </c>
      <c r="BF380" s="41">
        <f t="shared" si="45"/>
        <v>6.1646851607222164E-3</v>
      </c>
      <c r="BG380" s="67"/>
      <c r="BH380" s="84">
        <v>44317</v>
      </c>
      <c r="BI380" s="85">
        <v>99.433300000000003</v>
      </c>
      <c r="BJ380" s="87">
        <f t="shared" si="46"/>
        <v>8.873899513690775E-3</v>
      </c>
      <c r="BK380" s="67"/>
      <c r="BL380" s="84">
        <v>44317</v>
      </c>
      <c r="BM380" s="86">
        <v>63.882938000000003</v>
      </c>
      <c r="BN380" s="67"/>
      <c r="BO380" s="88">
        <v>44317</v>
      </c>
      <c r="BP380" s="89">
        <v>4.681</v>
      </c>
      <c r="BQ380" s="89">
        <v>4.4619999999999997</v>
      </c>
      <c r="BR380" s="90">
        <f t="shared" si="37"/>
        <v>4.9081129538323776E-2</v>
      </c>
    </row>
    <row r="381" spans="1:70">
      <c r="A381" s="62">
        <v>44348</v>
      </c>
      <c r="B381" s="63">
        <v>44348</v>
      </c>
      <c r="C381" s="39">
        <v>73.47</v>
      </c>
      <c r="D381" s="64">
        <v>66.680000000000007</v>
      </c>
      <c r="E381" s="40">
        <f t="shared" si="50"/>
        <v>0.10182963407318524</v>
      </c>
      <c r="F381" s="65"/>
      <c r="G381" s="63">
        <v>44348</v>
      </c>
      <c r="H381" s="39">
        <v>15.83</v>
      </c>
      <c r="I381" s="39">
        <v>17.239999999999998</v>
      </c>
      <c r="J381" s="40">
        <f t="shared" si="55"/>
        <v>-8.1786542923433792E-2</v>
      </c>
      <c r="K381" s="67"/>
      <c r="L381" s="68">
        <v>44348</v>
      </c>
      <c r="M381" s="98">
        <v>4297.5</v>
      </c>
      <c r="N381" s="98">
        <v>4216.5200000000004</v>
      </c>
      <c r="O381" s="70">
        <f t="shared" si="51"/>
        <v>1.9205411097302783E-2</v>
      </c>
      <c r="P381" s="67"/>
      <c r="Q381" s="38">
        <v>44348</v>
      </c>
      <c r="R381" s="39">
        <v>3.65</v>
      </c>
      <c r="S381" s="39">
        <v>3.036</v>
      </c>
      <c r="T381" s="40">
        <f t="shared" si="49"/>
        <v>0.2022397891963108</v>
      </c>
      <c r="U381" s="67"/>
      <c r="V381" s="38">
        <v>44348</v>
      </c>
      <c r="W381" s="39">
        <v>2.1282999999999999</v>
      </c>
      <c r="X381" s="39">
        <v>2.0417999999999998</v>
      </c>
      <c r="Y381" s="40">
        <f t="shared" si="52"/>
        <v>4.2364580272308716E-2</v>
      </c>
      <c r="Z381" s="67"/>
      <c r="AA381" s="71">
        <v>44348</v>
      </c>
      <c r="AB381" s="99">
        <v>1771.6</v>
      </c>
      <c r="AC381" s="99">
        <v>1906.8</v>
      </c>
      <c r="AD381" s="73">
        <f t="shared" si="53"/>
        <v>-7.0904132578141432E-2</v>
      </c>
      <c r="AE381" s="67"/>
      <c r="AF381" s="71">
        <v>44348</v>
      </c>
      <c r="AG381" s="72">
        <v>92.44</v>
      </c>
      <c r="AH381" s="72">
        <v>89.81</v>
      </c>
      <c r="AI381" s="73">
        <f t="shared" si="54"/>
        <v>2.9284044093085271E-2</v>
      </c>
      <c r="AJ381" s="67"/>
      <c r="AK381" s="74">
        <v>44377</v>
      </c>
      <c r="AL381" s="41">
        <v>1.4499999999999999E-2</v>
      </c>
      <c r="AM381" s="41">
        <f t="shared" si="56"/>
        <v>-1.3000000000000025E-3</v>
      </c>
      <c r="AN381" s="67"/>
      <c r="AO381" s="75">
        <v>44348</v>
      </c>
      <c r="AP381" s="76">
        <v>624613</v>
      </c>
      <c r="AQ381" s="80">
        <f t="shared" si="43"/>
        <v>-7.9480827439210033E-3</v>
      </c>
      <c r="AR381" s="67"/>
      <c r="AS381" s="94">
        <v>44348</v>
      </c>
      <c r="AT381" s="78">
        <v>0.92249999999999999</v>
      </c>
      <c r="AU381" s="67"/>
      <c r="AV381" s="79">
        <v>44348</v>
      </c>
      <c r="AW381" s="76">
        <v>463026.25</v>
      </c>
      <c r="AX381" s="80">
        <f t="shared" si="44"/>
        <v>-4.2503803660302486E-2</v>
      </c>
      <c r="AY381" s="67"/>
      <c r="AZ381" s="81">
        <v>44348</v>
      </c>
      <c r="BA381" s="82">
        <v>74.127120971679688</v>
      </c>
      <c r="BB381" s="82">
        <v>92.546546936035156</v>
      </c>
      <c r="BC381" s="67"/>
      <c r="BD381" s="83">
        <v>44362</v>
      </c>
      <c r="BE381" s="42">
        <v>11401</v>
      </c>
      <c r="BF381" s="41">
        <f t="shared" si="45"/>
        <v>-2.1006564551422358E-3</v>
      </c>
      <c r="BG381" s="67"/>
      <c r="BH381" s="84">
        <v>44348</v>
      </c>
      <c r="BI381" s="85">
        <v>99.798699999999997</v>
      </c>
      <c r="BJ381" s="87">
        <f t="shared" si="46"/>
        <v>3.6748252346043841E-3</v>
      </c>
      <c r="BK381" s="67"/>
      <c r="BL381" s="84">
        <v>44348</v>
      </c>
      <c r="BM381" s="86">
        <v>62.088462999999997</v>
      </c>
      <c r="BN381" s="67"/>
      <c r="BO381" s="88">
        <v>44348</v>
      </c>
      <c r="BP381" s="89">
        <v>4.2889999999999997</v>
      </c>
      <c r="BQ381" s="89">
        <v>4.6924999999999999</v>
      </c>
      <c r="BR381" s="90">
        <f t="shared" si="37"/>
        <v>-8.5988279168886517E-2</v>
      </c>
    </row>
    <row r="382" spans="1:70">
      <c r="A382" s="62">
        <v>44378</v>
      </c>
      <c r="B382" s="63">
        <v>44378</v>
      </c>
      <c r="C382" s="39">
        <v>73.95</v>
      </c>
      <c r="D382" s="64">
        <v>73.5</v>
      </c>
      <c r="E382" s="40">
        <f t="shared" si="50"/>
        <v>6.1224489795919101E-3</v>
      </c>
      <c r="F382" s="65"/>
      <c r="G382" s="63">
        <v>44378</v>
      </c>
      <c r="H382" s="39">
        <v>18.239999999999998</v>
      </c>
      <c r="I382" s="39">
        <v>15.62</v>
      </c>
      <c r="J382" s="40">
        <f t="shared" si="55"/>
        <v>0.16773367477592815</v>
      </c>
      <c r="K382" s="67"/>
      <c r="L382" s="68">
        <v>44378</v>
      </c>
      <c r="M382" s="98">
        <v>4395.26</v>
      </c>
      <c r="N382" s="98">
        <v>4300.7299999999996</v>
      </c>
      <c r="O382" s="70">
        <f t="shared" si="51"/>
        <v>2.1979989443652759E-2</v>
      </c>
      <c r="P382" s="67"/>
      <c r="Q382" s="38">
        <v>44378</v>
      </c>
      <c r="R382" s="39">
        <v>3.9140000000000001</v>
      </c>
      <c r="S382" s="39">
        <v>3.746</v>
      </c>
      <c r="T382" s="40">
        <f t="shared" si="49"/>
        <v>4.4847837693539727E-2</v>
      </c>
      <c r="U382" s="67"/>
      <c r="V382" s="38">
        <v>44378</v>
      </c>
      <c r="W382" s="39">
        <v>2.1956000000000002</v>
      </c>
      <c r="X382" s="39">
        <v>2.1316000000000002</v>
      </c>
      <c r="Y382" s="40">
        <f t="shared" si="52"/>
        <v>3.0024394820791889E-2</v>
      </c>
      <c r="Z382" s="67"/>
      <c r="AA382" s="71">
        <v>44378</v>
      </c>
      <c r="AB382" s="99">
        <v>1817.2</v>
      </c>
      <c r="AC382" s="99">
        <v>1770.8</v>
      </c>
      <c r="AD382" s="73">
        <f t="shared" si="53"/>
        <v>2.6202846171222038E-2</v>
      </c>
      <c r="AE382" s="67"/>
      <c r="AF382" s="71">
        <v>44378</v>
      </c>
      <c r="AG382" s="72">
        <v>92.17</v>
      </c>
      <c r="AH382" s="72">
        <v>92.35</v>
      </c>
      <c r="AI382" s="73">
        <f t="shared" si="54"/>
        <v>-1.9491066594476969E-3</v>
      </c>
      <c r="AJ382" s="67"/>
      <c r="AK382" s="74">
        <v>44408</v>
      </c>
      <c r="AL382" s="41">
        <v>1.24E-2</v>
      </c>
      <c r="AM382" s="41">
        <f t="shared" si="56"/>
        <v>-2.0999999999999994E-3</v>
      </c>
      <c r="AN382" s="67"/>
      <c r="AO382" s="75">
        <v>44378</v>
      </c>
      <c r="AP382" s="76">
        <v>621304</v>
      </c>
      <c r="AQ382" s="80">
        <f t="shared" si="43"/>
        <v>-5.2976803236564063E-3</v>
      </c>
      <c r="AR382" s="67"/>
      <c r="AS382" s="94">
        <v>44378</v>
      </c>
      <c r="AT382" s="78">
        <v>0.91559999999999997</v>
      </c>
      <c r="AU382" s="67"/>
      <c r="AV382" s="79">
        <v>44378</v>
      </c>
      <c r="AW382" s="76">
        <v>439513.2</v>
      </c>
      <c r="AX382" s="80">
        <f t="shared" si="44"/>
        <v>-5.0781246203643882E-2</v>
      </c>
      <c r="AY382" s="67"/>
      <c r="AZ382" s="81">
        <v>44378</v>
      </c>
      <c r="BA382" s="82">
        <v>58.420768737792969</v>
      </c>
      <c r="BB382" s="82">
        <v>64.03631591796875</v>
      </c>
      <c r="BC382" s="67"/>
      <c r="BD382" s="83">
        <v>44392</v>
      </c>
      <c r="BE382" s="42">
        <v>11420</v>
      </c>
      <c r="BF382" s="41">
        <f t="shared" si="45"/>
        <v>1.6665204806596279E-3</v>
      </c>
      <c r="BG382" s="67"/>
      <c r="BH382" s="84">
        <v>44378</v>
      </c>
      <c r="BI382" s="85">
        <v>100.25190000000001</v>
      </c>
      <c r="BJ382" s="87">
        <f t="shared" si="46"/>
        <v>4.5411413174720749E-3</v>
      </c>
      <c r="BK382" s="67"/>
      <c r="BL382" s="84">
        <v>44378</v>
      </c>
      <c r="BM382" s="86">
        <v>70.166315999999995</v>
      </c>
      <c r="BN382" s="67"/>
      <c r="BO382" s="88">
        <v>44378</v>
      </c>
      <c r="BP382" s="89">
        <v>4.4654999999999996</v>
      </c>
      <c r="BQ382" s="89">
        <v>4.2889999999999997</v>
      </c>
      <c r="BR382" s="90">
        <f t="shared" si="37"/>
        <v>4.1151783632548344E-2</v>
      </c>
    </row>
    <row r="383" spans="1:70">
      <c r="A383" s="62">
        <v>44409</v>
      </c>
      <c r="B383" s="63">
        <v>44409</v>
      </c>
      <c r="C383" s="39">
        <v>68.5</v>
      </c>
      <c r="D383" s="64">
        <v>73.91</v>
      </c>
      <c r="E383" s="40">
        <f t="shared" si="50"/>
        <v>-7.3197131646597136E-2</v>
      </c>
      <c r="F383" s="65"/>
      <c r="G383" s="63">
        <v>44409</v>
      </c>
      <c r="H383" s="39">
        <v>16.48</v>
      </c>
      <c r="I383" s="39">
        <v>18.16</v>
      </c>
      <c r="J383" s="40">
        <f t="shared" si="55"/>
        <v>-9.2511013215858973E-2</v>
      </c>
      <c r="K383" s="67"/>
      <c r="L383" s="68">
        <v>44409</v>
      </c>
      <c r="M383" s="98">
        <v>4522.68</v>
      </c>
      <c r="N383" s="98">
        <v>4406.8599999999997</v>
      </c>
      <c r="O383" s="70">
        <f t="shared" si="51"/>
        <v>2.6281751632681871E-2</v>
      </c>
      <c r="P383" s="67"/>
      <c r="Q383" s="38">
        <v>44409</v>
      </c>
      <c r="R383" s="39">
        <v>4.3769999999999998</v>
      </c>
      <c r="S383" s="39">
        <v>3.9729999999999999</v>
      </c>
      <c r="T383" s="40">
        <f t="shared" si="49"/>
        <v>0.10168638308582922</v>
      </c>
      <c r="U383" s="67"/>
      <c r="V383" s="38">
        <v>44409</v>
      </c>
      <c r="W383" s="39">
        <v>2.1301999999999999</v>
      </c>
      <c r="X383" s="39">
        <v>2.1919</v>
      </c>
      <c r="Y383" s="40">
        <f t="shared" si="52"/>
        <v>-2.8149094392992402E-2</v>
      </c>
      <c r="Z383" s="67"/>
      <c r="AA383" s="71">
        <v>44409</v>
      </c>
      <c r="AB383" s="99">
        <v>1818.1</v>
      </c>
      <c r="AC383" s="99">
        <v>1817</v>
      </c>
      <c r="AD383" s="73">
        <f t="shared" si="53"/>
        <v>6.053935057785953E-4</v>
      </c>
      <c r="AE383" s="67"/>
      <c r="AF383" s="71">
        <v>44409</v>
      </c>
      <c r="AG383" s="72">
        <v>92.63</v>
      </c>
      <c r="AH383" s="72">
        <v>92.09</v>
      </c>
      <c r="AI383" s="73">
        <f t="shared" si="54"/>
        <v>5.8638288630685764E-3</v>
      </c>
      <c r="AJ383" s="67"/>
      <c r="AK383" s="74">
        <v>44439</v>
      </c>
      <c r="AL383" s="41">
        <v>1.3000000000000001E-2</v>
      </c>
      <c r="AM383" s="41">
        <f t="shared" si="56"/>
        <v>6.0000000000000157E-4</v>
      </c>
      <c r="AN383" s="67"/>
      <c r="AO383" s="75">
        <v>44409</v>
      </c>
      <c r="AP383" s="76">
        <v>621302.5</v>
      </c>
      <c r="AQ383" s="80">
        <f t="shared" si="43"/>
        <v>-2.4142770689294935E-6</v>
      </c>
      <c r="AR383" s="67"/>
      <c r="AS383" s="94">
        <v>44409</v>
      </c>
      <c r="AT383" s="78">
        <v>0.91925000000000001</v>
      </c>
      <c r="AU383" s="67"/>
      <c r="AV383" s="79">
        <v>44409</v>
      </c>
      <c r="AW383" s="76">
        <v>433070</v>
      </c>
      <c r="AX383" s="80">
        <f t="shared" si="44"/>
        <v>-1.4659855494670082E-2</v>
      </c>
      <c r="AY383" s="67"/>
      <c r="AZ383" s="81">
        <v>44409</v>
      </c>
      <c r="BA383" s="82">
        <v>89.486549377441406</v>
      </c>
      <c r="BB383" s="82">
        <v>103.20159149169922</v>
      </c>
      <c r="BC383" s="67"/>
      <c r="BD383" s="83">
        <v>44423</v>
      </c>
      <c r="BE383" s="42">
        <v>11318</v>
      </c>
      <c r="BF383" s="41">
        <f t="shared" si="45"/>
        <v>-8.9316987740805098E-3</v>
      </c>
      <c r="BG383" s="67"/>
      <c r="BH383" s="84">
        <v>44409</v>
      </c>
      <c r="BI383" s="85">
        <v>100.0437</v>
      </c>
      <c r="BJ383" s="87">
        <f t="shared" si="46"/>
        <v>-2.0767686198466251E-3</v>
      </c>
      <c r="BK383" s="67"/>
      <c r="BL383" s="84">
        <v>44409</v>
      </c>
      <c r="BM383" s="86">
        <v>85.482786000000004</v>
      </c>
      <c r="BN383" s="67"/>
      <c r="BO383" s="88">
        <v>44409</v>
      </c>
      <c r="BP383" s="89">
        <v>4.37</v>
      </c>
      <c r="BQ383" s="89">
        <v>4.4785000000000004</v>
      </c>
      <c r="BR383" s="90">
        <f t="shared" si="37"/>
        <v>-2.4226861672435041E-2</v>
      </c>
    </row>
    <row r="384" spans="1:70">
      <c r="A384" s="62">
        <v>44440</v>
      </c>
      <c r="B384" s="63">
        <v>44440</v>
      </c>
      <c r="C384" s="39">
        <v>75.03</v>
      </c>
      <c r="D384" s="64">
        <v>68.55</v>
      </c>
      <c r="E384" s="40">
        <f t="shared" si="50"/>
        <v>9.4529540481400609E-2</v>
      </c>
      <c r="F384" s="65"/>
      <c r="G384" s="63">
        <v>44440</v>
      </c>
      <c r="H384" s="39">
        <v>23.14</v>
      </c>
      <c r="I384" s="39">
        <v>16.059999999999999</v>
      </c>
      <c r="J384" s="40">
        <f t="shared" si="55"/>
        <v>0.44084682440846845</v>
      </c>
      <c r="K384" s="67"/>
      <c r="L384" s="68">
        <v>44440</v>
      </c>
      <c r="M384" s="98">
        <v>4307.54</v>
      </c>
      <c r="N384" s="98">
        <v>4528.8</v>
      </c>
      <c r="O384" s="70">
        <f t="shared" si="51"/>
        <v>-4.8856209150326846E-2</v>
      </c>
      <c r="P384" s="67"/>
      <c r="Q384" s="38">
        <v>44440</v>
      </c>
      <c r="R384" s="39">
        <v>5.867</v>
      </c>
      <c r="S384" s="39">
        <v>4.4029999999999996</v>
      </c>
      <c r="T384" s="40">
        <f t="shared" si="49"/>
        <v>0.33250056779468551</v>
      </c>
      <c r="U384" s="67"/>
      <c r="V384" s="38">
        <v>44440</v>
      </c>
      <c r="W384" s="39">
        <v>2.3384999999999998</v>
      </c>
      <c r="X384" s="39">
        <v>2.1276999999999999</v>
      </c>
      <c r="Y384" s="40">
        <f t="shared" si="52"/>
        <v>9.9074117591765765E-2</v>
      </c>
      <c r="Z384" s="67"/>
      <c r="AA384" s="71">
        <v>44440</v>
      </c>
      <c r="AB384" s="99">
        <v>1757</v>
      </c>
      <c r="AC384" s="99">
        <v>1816.7</v>
      </c>
      <c r="AD384" s="73">
        <f t="shared" si="53"/>
        <v>-3.2861782352617386E-2</v>
      </c>
      <c r="AE384" s="67"/>
      <c r="AF384" s="71">
        <v>44440</v>
      </c>
      <c r="AG384" s="72">
        <v>94.23</v>
      </c>
      <c r="AH384" s="72">
        <v>92.66</v>
      </c>
      <c r="AI384" s="73">
        <f t="shared" si="54"/>
        <v>1.69436650118715E-2</v>
      </c>
      <c r="AJ384" s="67"/>
      <c r="AK384" s="74">
        <v>44469</v>
      </c>
      <c r="AL384" s="41">
        <v>1.52E-2</v>
      </c>
      <c r="AM384" s="41">
        <f t="shared" si="56"/>
        <v>2.1999999999999988E-3</v>
      </c>
      <c r="AN384" s="67"/>
      <c r="AO384" s="75">
        <v>44440</v>
      </c>
      <c r="AP384" s="76">
        <v>620083.25</v>
      </c>
      <c r="AQ384" s="80">
        <f t="shared" si="43"/>
        <v>-1.9624096152840442E-3</v>
      </c>
      <c r="AR384" s="67"/>
      <c r="AS384" s="94">
        <v>44440</v>
      </c>
      <c r="AT384" s="78">
        <v>0.84900000000000009</v>
      </c>
      <c r="AU384" s="67"/>
      <c r="AV384" s="79">
        <v>44440</v>
      </c>
      <c r="AW384" s="76">
        <v>418454.5</v>
      </c>
      <c r="AX384" s="80">
        <f t="shared" si="44"/>
        <v>-3.3748585678989529E-2</v>
      </c>
      <c r="AY384" s="67"/>
      <c r="AZ384" s="81">
        <v>44440</v>
      </c>
      <c r="BA384" s="82">
        <v>80.696968078613281</v>
      </c>
      <c r="BB384" s="82">
        <v>92.047317504882813</v>
      </c>
      <c r="BC384" s="67"/>
      <c r="BD384" s="83">
        <v>44454</v>
      </c>
      <c r="BE384" s="42">
        <v>10961</v>
      </c>
      <c r="BF384" s="41">
        <f t="shared" si="45"/>
        <v>-3.1542675384343521E-2</v>
      </c>
      <c r="BG384" s="67"/>
      <c r="BH384" s="84">
        <v>44440</v>
      </c>
      <c r="BI384" s="85">
        <v>98.857900000000001</v>
      </c>
      <c r="BJ384" s="87">
        <f t="shared" si="46"/>
        <v>-1.1852820317521218E-2</v>
      </c>
      <c r="BK384" s="67"/>
      <c r="BL384" s="84">
        <v>44440</v>
      </c>
      <c r="BM384" s="86">
        <v>99.408299</v>
      </c>
      <c r="BN384" s="67"/>
      <c r="BO384" s="88">
        <v>44440</v>
      </c>
      <c r="BP384" s="89">
        <v>4.0890000000000004</v>
      </c>
      <c r="BQ384" s="89">
        <v>4.3615000000000004</v>
      </c>
      <c r="BR384" s="90">
        <f t="shared" si="37"/>
        <v>-6.2478505101455917E-2</v>
      </c>
    </row>
    <row r="385" spans="1:70">
      <c r="A385" s="62">
        <v>44470</v>
      </c>
      <c r="B385" s="63">
        <v>44470</v>
      </c>
      <c r="C385" s="39">
        <v>83.57</v>
      </c>
      <c r="D385" s="64">
        <v>75.12</v>
      </c>
      <c r="E385" s="40">
        <f t="shared" si="50"/>
        <v>0.11248668796592098</v>
      </c>
      <c r="F385" s="65"/>
      <c r="G385" s="63">
        <v>44470</v>
      </c>
      <c r="H385" s="39">
        <v>16.260000000000002</v>
      </c>
      <c r="I385" s="39">
        <v>24.78</v>
      </c>
      <c r="J385" s="40">
        <f t="shared" si="55"/>
        <v>-0.34382566585956409</v>
      </c>
      <c r="K385" s="67"/>
      <c r="L385" s="68">
        <v>44470</v>
      </c>
      <c r="M385" s="98">
        <v>4605.38</v>
      </c>
      <c r="N385" s="98">
        <v>4317.16</v>
      </c>
      <c r="O385" s="70">
        <f t="shared" si="51"/>
        <v>6.676148208544519E-2</v>
      </c>
      <c r="P385" s="67"/>
      <c r="Q385" s="38">
        <v>44470</v>
      </c>
      <c r="R385" s="39">
        <v>5.4260000000000002</v>
      </c>
      <c r="S385" s="39">
        <v>5.9749999999999996</v>
      </c>
      <c r="T385" s="40">
        <f t="shared" si="49"/>
        <v>-9.188284518828449E-2</v>
      </c>
      <c r="U385" s="67"/>
      <c r="V385" s="38">
        <v>44470</v>
      </c>
      <c r="W385" s="39">
        <v>2.4786999999999999</v>
      </c>
      <c r="X385" s="39">
        <v>2.3371</v>
      </c>
      <c r="Y385" s="40">
        <f t="shared" si="52"/>
        <v>6.0587908091224163E-2</v>
      </c>
      <c r="Z385" s="67"/>
      <c r="AA385" s="71">
        <v>44470</v>
      </c>
      <c r="AB385" s="99">
        <v>1783.9</v>
      </c>
      <c r="AC385" s="99">
        <v>1757.2</v>
      </c>
      <c r="AD385" s="73">
        <f t="shared" si="53"/>
        <v>1.5194627816981665E-2</v>
      </c>
      <c r="AE385" s="67"/>
      <c r="AF385" s="71">
        <v>44470</v>
      </c>
      <c r="AG385" s="72">
        <v>94.12</v>
      </c>
      <c r="AH385" s="72">
        <v>94.31</v>
      </c>
      <c r="AI385" s="73">
        <f t="shared" si="54"/>
        <v>-2.0146325946347465E-3</v>
      </c>
      <c r="AJ385" s="67"/>
      <c r="AK385" s="74">
        <v>44500</v>
      </c>
      <c r="AL385" s="41">
        <v>1.55E-2</v>
      </c>
      <c r="AM385" s="41">
        <f t="shared" si="56"/>
        <v>2.9999999999999992E-4</v>
      </c>
      <c r="AN385" s="67"/>
      <c r="AO385" s="75">
        <v>44470</v>
      </c>
      <c r="AP385" s="76">
        <v>615348.6</v>
      </c>
      <c r="AQ385" s="80">
        <f t="shared" si="43"/>
        <v>-7.6355070065189379E-3</v>
      </c>
      <c r="AR385" s="67"/>
      <c r="AS385" s="94">
        <v>44470</v>
      </c>
      <c r="AT385" s="78">
        <v>0.86480000000000001</v>
      </c>
      <c r="AU385" s="67"/>
      <c r="AV385" s="79">
        <v>44470</v>
      </c>
      <c r="AW385" s="76">
        <v>427864</v>
      </c>
      <c r="AX385" s="80">
        <f t="shared" si="44"/>
        <v>2.2486315716523597E-2</v>
      </c>
      <c r="AY385" s="67"/>
      <c r="AZ385" s="81">
        <v>44470</v>
      </c>
      <c r="BA385" s="82">
        <v>79.02923583984375</v>
      </c>
      <c r="BB385" s="82">
        <v>93.808029174804688</v>
      </c>
      <c r="BC385" s="67"/>
      <c r="BD385" s="83">
        <v>44484</v>
      </c>
      <c r="BE385" s="42">
        <v>11640</v>
      </c>
      <c r="BF385" s="41">
        <f t="shared" si="45"/>
        <v>6.1946902654867353E-2</v>
      </c>
      <c r="BG385" s="67"/>
      <c r="BH385" s="84">
        <v>44470</v>
      </c>
      <c r="BI385" s="85">
        <v>100.1861</v>
      </c>
      <c r="BJ385" s="87">
        <f t="shared" si="46"/>
        <v>1.3435446231408799E-2</v>
      </c>
      <c r="BK385" s="67"/>
      <c r="BL385" s="84">
        <v>44470</v>
      </c>
      <c r="BM385" s="86">
        <v>110.31180999999999</v>
      </c>
      <c r="BN385" s="67"/>
      <c r="BO385" s="88">
        <v>44470</v>
      </c>
      <c r="BP385" s="89">
        <v>4.359</v>
      </c>
      <c r="BQ385" s="89">
        <v>4.1064999999999996</v>
      </c>
      <c r="BR385" s="90">
        <f t="shared" si="37"/>
        <v>6.1487885060270475E-2</v>
      </c>
    </row>
    <row r="386" spans="1:70">
      <c r="A386" s="62">
        <v>44501</v>
      </c>
      <c r="B386" s="63">
        <v>44501</v>
      </c>
      <c r="C386" s="39">
        <v>66.180000000000007</v>
      </c>
      <c r="D386" s="64">
        <v>83.36</v>
      </c>
      <c r="E386" s="40">
        <f t="shared" si="50"/>
        <v>-0.20609404990403057</v>
      </c>
      <c r="F386" s="65"/>
      <c r="G386" s="63">
        <v>44501</v>
      </c>
      <c r="H386" s="39">
        <v>27.19</v>
      </c>
      <c r="I386" s="39">
        <v>16.850000000000001</v>
      </c>
      <c r="J386" s="40">
        <f t="shared" si="55"/>
        <v>0.61364985163204744</v>
      </c>
      <c r="K386" s="67"/>
      <c r="L386" s="68">
        <v>44501</v>
      </c>
      <c r="M386" s="98">
        <v>4567</v>
      </c>
      <c r="N386" s="98">
        <v>4610.62</v>
      </c>
      <c r="O386" s="70">
        <f t="shared" si="51"/>
        <v>-9.4607666647869015E-3</v>
      </c>
      <c r="P386" s="67"/>
      <c r="Q386" s="38">
        <v>44501</v>
      </c>
      <c r="R386" s="39">
        <v>4.5670000000000002</v>
      </c>
      <c r="S386" s="39">
        <v>5.31</v>
      </c>
      <c r="T386" s="40">
        <f t="shared" si="49"/>
        <v>-0.13992467043314494</v>
      </c>
      <c r="U386" s="67"/>
      <c r="V386" s="38">
        <v>44501</v>
      </c>
      <c r="W386" s="39">
        <v>2.0602999999999998</v>
      </c>
      <c r="X386" s="39">
        <v>2.4626999999999999</v>
      </c>
      <c r="Y386" s="40">
        <f t="shared" si="52"/>
        <v>-0.16339789661753368</v>
      </c>
      <c r="Z386" s="67"/>
      <c r="AA386" s="71">
        <v>44501</v>
      </c>
      <c r="AB386" s="99">
        <v>1776.5</v>
      </c>
      <c r="AC386" s="99">
        <v>1785.3</v>
      </c>
      <c r="AD386" s="73">
        <f t="shared" si="53"/>
        <v>-4.9291435613062484E-3</v>
      </c>
      <c r="AE386" s="67"/>
      <c r="AF386" s="71">
        <v>44501</v>
      </c>
      <c r="AG386" s="72">
        <v>95.99</v>
      </c>
      <c r="AH386" s="72">
        <v>94.13</v>
      </c>
      <c r="AI386" s="73">
        <f t="shared" si="54"/>
        <v>1.975990651227022E-2</v>
      </c>
      <c r="AJ386" s="67"/>
      <c r="AK386" s="74">
        <v>44530</v>
      </c>
      <c r="AL386" s="41">
        <v>1.43E-2</v>
      </c>
      <c r="AM386" s="41">
        <f t="shared" si="56"/>
        <v>-1.1999999999999997E-3</v>
      </c>
      <c r="AN386" s="67"/>
      <c r="AO386" s="75">
        <v>44501</v>
      </c>
      <c r="AP386" s="76">
        <v>605651</v>
      </c>
      <c r="AQ386" s="80">
        <f t="shared" si="43"/>
        <v>-1.5759522326044051E-2</v>
      </c>
      <c r="AR386" s="67"/>
      <c r="AS386" s="94">
        <v>44501</v>
      </c>
      <c r="AT386" s="78">
        <v>0.88</v>
      </c>
      <c r="AU386" s="67"/>
      <c r="AV386" s="79">
        <v>44501</v>
      </c>
      <c r="AW386" s="76">
        <v>433809.5</v>
      </c>
      <c r="AX386" s="80">
        <f t="shared" si="44"/>
        <v>1.3895770618701286E-2</v>
      </c>
      <c r="AY386" s="67"/>
      <c r="AZ386" s="81">
        <v>44501</v>
      </c>
      <c r="BA386" s="82">
        <v>86.569145202636719</v>
      </c>
      <c r="BB386" s="82">
        <v>121.50095367431641</v>
      </c>
      <c r="BC386" s="67"/>
      <c r="BD386" s="83">
        <v>44515</v>
      </c>
      <c r="BE386" s="42">
        <v>11871</v>
      </c>
      <c r="BF386" s="41">
        <f t="shared" si="45"/>
        <v>1.9845360824742198E-2</v>
      </c>
      <c r="BG386" s="67"/>
      <c r="BH386" s="84">
        <v>44501</v>
      </c>
      <c r="BI386" s="85">
        <v>100.86539999999999</v>
      </c>
      <c r="BJ386" s="87">
        <f t="shared" si="46"/>
        <v>6.7803817096383501E-3</v>
      </c>
      <c r="BK386" s="67"/>
      <c r="BL386" s="84">
        <v>44501</v>
      </c>
      <c r="BM386" s="86">
        <v>54.593904000000002</v>
      </c>
      <c r="BN386" s="67"/>
      <c r="BO386" s="88">
        <v>44501</v>
      </c>
      <c r="BP386" s="89">
        <v>4.2805</v>
      </c>
      <c r="BQ386" s="89">
        <v>4.3789999999999996</v>
      </c>
      <c r="BR386" s="90">
        <f t="shared" si="37"/>
        <v>-2.2493720027403463E-2</v>
      </c>
    </row>
    <row r="387" spans="1:70">
      <c r="A387" s="62">
        <v>44531</v>
      </c>
      <c r="B387" s="63">
        <v>44531</v>
      </c>
      <c r="C387" s="39">
        <v>75.209999999999994</v>
      </c>
      <c r="D387" s="64">
        <v>67.010000000000005</v>
      </c>
      <c r="E387" s="40">
        <f t="shared" si="50"/>
        <v>0.12236979555290239</v>
      </c>
      <c r="F387" s="65"/>
      <c r="G387" s="63">
        <v>44531</v>
      </c>
      <c r="H387" s="39">
        <v>17.22</v>
      </c>
      <c r="I387" s="39">
        <v>24.92</v>
      </c>
      <c r="J387" s="40">
        <f t="shared" si="55"/>
        <v>-0.30898876404494391</v>
      </c>
      <c r="K387" s="67"/>
      <c r="L387" s="68">
        <v>44531</v>
      </c>
      <c r="M387" s="98">
        <v>4766.18</v>
      </c>
      <c r="N387" s="98">
        <v>4602.82</v>
      </c>
      <c r="O387" s="70">
        <f t="shared" si="51"/>
        <v>3.5491285776980241E-2</v>
      </c>
      <c r="P387" s="67"/>
      <c r="Q387" s="38">
        <v>44531</v>
      </c>
      <c r="R387" s="39">
        <v>3.73</v>
      </c>
      <c r="S387" s="39">
        <v>4.6059999999999999</v>
      </c>
      <c r="T387" s="40">
        <f t="shared" si="49"/>
        <v>-0.19018671298306555</v>
      </c>
      <c r="U387" s="67"/>
      <c r="V387" s="38">
        <v>44531</v>
      </c>
      <c r="W387" s="39">
        <v>2.3252999999999999</v>
      </c>
      <c r="X387" s="39">
        <v>2.0804999999999998</v>
      </c>
      <c r="Y387" s="40">
        <f t="shared" si="52"/>
        <v>0.11766402307137724</v>
      </c>
      <c r="Z387" s="67"/>
      <c r="AA387" s="71">
        <v>44531</v>
      </c>
      <c r="AB387" s="99">
        <v>1828.6</v>
      </c>
      <c r="AC387" s="99">
        <v>1777.4</v>
      </c>
      <c r="AD387" s="73">
        <f t="shared" si="53"/>
        <v>2.8806121300776422E-2</v>
      </c>
      <c r="AE387" s="67"/>
      <c r="AF387" s="71">
        <v>44531</v>
      </c>
      <c r="AG387" s="72">
        <v>95.97</v>
      </c>
      <c r="AH387" s="72">
        <v>95.94</v>
      </c>
      <c r="AI387" s="73">
        <f t="shared" si="54"/>
        <v>3.1269543464662597E-4</v>
      </c>
      <c r="AJ387" s="67"/>
      <c r="AK387" s="74">
        <v>44561</v>
      </c>
      <c r="AL387" s="41">
        <v>1.52E-2</v>
      </c>
      <c r="AM387" s="41">
        <f t="shared" si="56"/>
        <v>8.9999999999999976E-4</v>
      </c>
      <c r="AN387" s="67"/>
      <c r="AO387" s="75">
        <v>44531</v>
      </c>
      <c r="AP387" s="76">
        <v>596975</v>
      </c>
      <c r="AQ387" s="80">
        <f t="shared" si="43"/>
        <v>-1.4325081606403667E-2</v>
      </c>
      <c r="AR387" s="67"/>
      <c r="AS387" s="94">
        <v>44531</v>
      </c>
      <c r="AT387" s="78">
        <v>0.89739999999999998</v>
      </c>
      <c r="AU387" s="67"/>
      <c r="AV387" s="79">
        <v>44531</v>
      </c>
      <c r="AW387" s="76">
        <v>424514.6</v>
      </c>
      <c r="AX387" s="80">
        <f t="shared" si="44"/>
        <v>-2.1426225105720453E-2</v>
      </c>
      <c r="AY387" s="67"/>
      <c r="AZ387" s="81">
        <v>44531</v>
      </c>
      <c r="BA387" s="82">
        <v>105.34542083740234</v>
      </c>
      <c r="BB387" s="82">
        <v>155.31025695800781</v>
      </c>
      <c r="BC387" s="67"/>
      <c r="BD387" s="83">
        <v>44545</v>
      </c>
      <c r="BE387" s="42">
        <v>11760</v>
      </c>
      <c r="BF387" s="41">
        <f t="shared" si="45"/>
        <v>-9.3505180692443624E-3</v>
      </c>
      <c r="BG387" s="67"/>
      <c r="BH387" s="84">
        <v>44531</v>
      </c>
      <c r="BI387" s="85">
        <v>100.57259999999999</v>
      </c>
      <c r="BJ387" s="87">
        <f t="shared" si="46"/>
        <v>-2.902878489551397E-3</v>
      </c>
      <c r="BK387" s="67"/>
      <c r="BL387" s="84">
        <v>44531</v>
      </c>
      <c r="BM387" s="86">
        <v>55.926347</v>
      </c>
      <c r="BN387" s="67"/>
      <c r="BO387" s="88">
        <v>44531</v>
      </c>
      <c r="BP387" s="89">
        <v>4.4634999999999998</v>
      </c>
      <c r="BQ387" s="89">
        <v>4.3155000000000001</v>
      </c>
      <c r="BR387" s="90">
        <f t="shared" si="37"/>
        <v>3.4294983200092721E-2</v>
      </c>
    </row>
    <row r="388" spans="1:70">
      <c r="A388" s="62">
        <v>44562</v>
      </c>
      <c r="B388" s="63">
        <v>44562</v>
      </c>
      <c r="C388" s="39">
        <v>88.15</v>
      </c>
      <c r="D388" s="64">
        <v>75.69</v>
      </c>
      <c r="E388" s="40">
        <f t="shared" ref="E388:E451" si="57">C388/D388-1</f>
        <v>0.16461884000528482</v>
      </c>
      <c r="F388" s="65"/>
      <c r="G388" s="63">
        <v>44562</v>
      </c>
      <c r="H388" s="39">
        <v>24.83</v>
      </c>
      <c r="I388" s="39">
        <v>17.600000000000001</v>
      </c>
      <c r="J388" s="40">
        <f t="shared" si="55"/>
        <v>0.41079545454545441</v>
      </c>
      <c r="K388" s="67"/>
      <c r="L388" s="68">
        <v>44562</v>
      </c>
      <c r="M388" s="98">
        <v>4515.55</v>
      </c>
      <c r="N388" s="98">
        <v>4778.1400000000003</v>
      </c>
      <c r="O388" s="70">
        <f t="shared" ref="O388:O451" si="58">M388/N388-1</f>
        <v>-5.49565312025182E-2</v>
      </c>
      <c r="P388" s="67"/>
      <c r="Q388" s="38">
        <v>44562</v>
      </c>
      <c r="R388" s="39">
        <v>4.8739999999999997</v>
      </c>
      <c r="S388" s="39">
        <v>3.702</v>
      </c>
      <c r="T388" s="40">
        <f t="shared" si="49"/>
        <v>0.31658562938951906</v>
      </c>
      <c r="U388" s="67"/>
      <c r="V388" s="38">
        <v>44562</v>
      </c>
      <c r="W388" s="39">
        <v>2.7157</v>
      </c>
      <c r="X388" s="39">
        <v>2.3140999999999998</v>
      </c>
      <c r="Y388" s="40">
        <f t="shared" ref="Y388:Y451" si="59">W388/X388-1</f>
        <v>0.17354479063134698</v>
      </c>
      <c r="Z388" s="67"/>
      <c r="AA388" s="71">
        <v>44562</v>
      </c>
      <c r="AB388" s="99">
        <v>1796.4</v>
      </c>
      <c r="AC388" s="99">
        <v>1830.1</v>
      </c>
      <c r="AD388" s="73">
        <f t="shared" ref="AD388:AD451" si="60">AB388/AC388-1</f>
        <v>-1.8414294300857725E-2</v>
      </c>
      <c r="AE388" s="67"/>
      <c r="AF388" s="71">
        <v>44562</v>
      </c>
      <c r="AG388" s="72">
        <v>96.54</v>
      </c>
      <c r="AH388" s="72">
        <v>95.67</v>
      </c>
      <c r="AI388" s="73">
        <f t="shared" ref="AI388:AI451" si="61">AG388/AH388-1</f>
        <v>9.0937597993101527E-3</v>
      </c>
      <c r="AJ388" s="67"/>
      <c r="AK388" s="74">
        <v>44592</v>
      </c>
      <c r="AL388" s="41">
        <v>1.7899999999999999E-2</v>
      </c>
      <c r="AM388" s="41">
        <f t="shared" si="56"/>
        <v>2.6999999999999993E-3</v>
      </c>
      <c r="AN388" s="67"/>
      <c r="AO388" s="75">
        <v>44562</v>
      </c>
      <c r="AP388" s="76">
        <v>591277.5</v>
      </c>
      <c r="AQ388" s="80">
        <f t="shared" si="43"/>
        <v>-9.5439507517065536E-3</v>
      </c>
      <c r="AR388" s="67"/>
      <c r="AS388" s="94">
        <v>44562</v>
      </c>
      <c r="AT388" s="78">
        <v>0.87724999999999997</v>
      </c>
      <c r="AU388" s="67"/>
      <c r="AV388" s="79">
        <v>44562</v>
      </c>
      <c r="AW388" s="76">
        <v>414611</v>
      </c>
      <c r="AX388" s="80">
        <f t="shared" si="44"/>
        <v>-2.3329232963954505E-2</v>
      </c>
      <c r="AY388" s="67"/>
      <c r="AZ388" s="81">
        <v>44562</v>
      </c>
      <c r="BA388" s="82">
        <v>138.67498779296875</v>
      </c>
      <c r="BB388" s="82">
        <v>199.48751831054688</v>
      </c>
      <c r="BC388" s="67"/>
      <c r="BD388" s="83">
        <v>44576</v>
      </c>
      <c r="BE388" s="42">
        <v>11451</v>
      </c>
      <c r="BF388" s="41">
        <f t="shared" si="45"/>
        <v>-2.6275510204081587E-2</v>
      </c>
      <c r="BG388" s="67"/>
      <c r="BH388" s="84">
        <v>44562</v>
      </c>
      <c r="BI388" s="85">
        <v>100.18559999999999</v>
      </c>
      <c r="BJ388" s="87">
        <f t="shared" si="46"/>
        <v>-3.8479665435715571E-3</v>
      </c>
      <c r="BK388" s="67"/>
      <c r="BL388" s="84">
        <v>44562</v>
      </c>
      <c r="BM388" s="86">
        <v>7.9807974000000002</v>
      </c>
      <c r="BN388" s="67"/>
      <c r="BO388" s="88">
        <v>44562</v>
      </c>
      <c r="BP388" s="89">
        <v>4.3265000000000002</v>
      </c>
      <c r="BQ388" s="89">
        <v>4.4584999999999999</v>
      </c>
      <c r="BR388" s="90">
        <f t="shared" si="37"/>
        <v>-2.9606369855332493E-2</v>
      </c>
    </row>
    <row r="389" spans="1:70">
      <c r="A389" s="62">
        <v>44593</v>
      </c>
      <c r="B389" s="63">
        <v>44593</v>
      </c>
      <c r="C389" s="39">
        <v>95.72</v>
      </c>
      <c r="D389" s="64">
        <v>88.15</v>
      </c>
      <c r="E389" s="40">
        <f t="shared" si="57"/>
        <v>8.5876347135564357E-2</v>
      </c>
      <c r="F389" s="65"/>
      <c r="G389" s="63">
        <v>44593</v>
      </c>
      <c r="H389" s="39">
        <v>30.15</v>
      </c>
      <c r="I389" s="39">
        <v>24.57</v>
      </c>
      <c r="J389" s="40">
        <f t="shared" ref="J389:J452" si="62">H389/I389-1</f>
        <v>0.22710622710622697</v>
      </c>
      <c r="K389" s="67"/>
      <c r="L389" s="68">
        <v>44593</v>
      </c>
      <c r="M389" s="98">
        <v>4373.9399999999996</v>
      </c>
      <c r="N389" s="98">
        <v>4519.57</v>
      </c>
      <c r="O389" s="70">
        <f t="shared" si="58"/>
        <v>-3.222209192467429E-2</v>
      </c>
      <c r="P389" s="67"/>
      <c r="Q389" s="38">
        <v>44593</v>
      </c>
      <c r="R389" s="39">
        <v>4.4020000000000001</v>
      </c>
      <c r="S389" s="39">
        <v>4.9210000000000003</v>
      </c>
      <c r="T389" s="40">
        <f t="shared" si="49"/>
        <v>-0.1054663686242634</v>
      </c>
      <c r="U389" s="67"/>
      <c r="V389" s="38">
        <v>44593</v>
      </c>
      <c r="W389" s="39">
        <v>2.9312999999999998</v>
      </c>
      <c r="X389" s="39">
        <v>2.64</v>
      </c>
      <c r="Y389" s="40">
        <f t="shared" si="59"/>
        <v>0.11034090909090888</v>
      </c>
      <c r="Z389" s="67"/>
      <c r="AA389" s="71">
        <v>44593</v>
      </c>
      <c r="AB389" s="99">
        <v>1900.7</v>
      </c>
      <c r="AC389" s="99">
        <v>1900.3</v>
      </c>
      <c r="AD389" s="73">
        <f t="shared" si="60"/>
        <v>2.1049308003995293E-4</v>
      </c>
      <c r="AE389" s="67"/>
      <c r="AF389" s="71">
        <v>44593</v>
      </c>
      <c r="AG389" s="72">
        <v>96.71</v>
      </c>
      <c r="AH389" s="72">
        <v>96.7</v>
      </c>
      <c r="AI389" s="73">
        <f t="shared" si="61"/>
        <v>1.0341261633906029E-4</v>
      </c>
      <c r="AJ389" s="67"/>
      <c r="AK389" s="74">
        <v>44620</v>
      </c>
      <c r="AL389" s="41">
        <v>1.83E-2</v>
      </c>
      <c r="AM389" s="41">
        <f t="shared" si="56"/>
        <v>4.0000000000000105E-4</v>
      </c>
      <c r="AN389" s="67"/>
      <c r="AO389" s="75">
        <v>44593</v>
      </c>
      <c r="AP389" s="76">
        <v>583686.75</v>
      </c>
      <c r="AQ389" s="80">
        <f t="shared" si="43"/>
        <v>-1.2837880690538706E-2</v>
      </c>
      <c r="AR389" s="67"/>
      <c r="AS389" s="94">
        <v>44593</v>
      </c>
      <c r="AT389" s="78">
        <v>0.87150000000000005</v>
      </c>
      <c r="AU389" s="67"/>
      <c r="AV389" s="79">
        <v>44593</v>
      </c>
      <c r="AW389" s="76">
        <v>412835.5</v>
      </c>
      <c r="AX389" s="80">
        <f t="shared" si="44"/>
        <v>-4.2823272899175091E-3</v>
      </c>
      <c r="AY389" s="67"/>
      <c r="AZ389" s="81">
        <v>44593</v>
      </c>
      <c r="BA389" s="82">
        <v>216.15901184082031</v>
      </c>
      <c r="BB389" s="82">
        <v>320.60586547851563</v>
      </c>
      <c r="BC389" s="67"/>
      <c r="BD389" s="83">
        <v>44607</v>
      </c>
      <c r="BE389" s="42">
        <v>11465</v>
      </c>
      <c r="BF389" s="41">
        <f t="shared" si="45"/>
        <v>1.2226006462316974E-3</v>
      </c>
      <c r="BG389" s="67"/>
      <c r="BH389" s="84">
        <v>44593</v>
      </c>
      <c r="BI389" s="85">
        <v>100.8064</v>
      </c>
      <c r="BJ389" s="87">
        <f t="shared" si="46"/>
        <v>6.1964992973042587E-3</v>
      </c>
      <c r="BK389" s="67"/>
      <c r="BL389" s="84">
        <v>44593</v>
      </c>
      <c r="BM389" s="86">
        <v>11.574180999999999</v>
      </c>
      <c r="BN389" s="67"/>
      <c r="BO389" s="88">
        <v>44593</v>
      </c>
      <c r="BP389" s="89">
        <v>4.4545000000000003</v>
      </c>
      <c r="BQ389" s="89">
        <v>4.33</v>
      </c>
      <c r="BR389" s="90">
        <f t="shared" si="37"/>
        <v>2.8752886836027836E-2</v>
      </c>
    </row>
    <row r="390" spans="1:70">
      <c r="A390" s="62">
        <v>44621</v>
      </c>
      <c r="B390" s="63">
        <v>44621</v>
      </c>
      <c r="C390" s="39">
        <v>100.28</v>
      </c>
      <c r="D390" s="64">
        <v>96.09</v>
      </c>
      <c r="E390" s="40">
        <f t="shared" si="57"/>
        <v>4.3604953689249548E-2</v>
      </c>
      <c r="F390" s="65"/>
      <c r="G390" s="63">
        <v>44621</v>
      </c>
      <c r="H390" s="39">
        <v>20.56</v>
      </c>
      <c r="I390" s="39">
        <v>29.45</v>
      </c>
      <c r="J390" s="40">
        <f t="shared" si="62"/>
        <v>-0.30186757215619697</v>
      </c>
      <c r="K390" s="67"/>
      <c r="L390" s="68">
        <v>44621</v>
      </c>
      <c r="M390" s="98">
        <v>4530.41</v>
      </c>
      <c r="N390" s="98">
        <v>4363.1400000000003</v>
      </c>
      <c r="O390" s="70">
        <f t="shared" si="58"/>
        <v>3.8337069174951832E-2</v>
      </c>
      <c r="P390" s="67"/>
      <c r="Q390" s="38">
        <v>44621</v>
      </c>
      <c r="R390" s="39">
        <v>5.6420000000000003</v>
      </c>
      <c r="S390" s="39">
        <v>4.4080000000000004</v>
      </c>
      <c r="T390" s="40">
        <f t="shared" si="49"/>
        <v>0.27994555353901984</v>
      </c>
      <c r="U390" s="67"/>
      <c r="V390" s="38">
        <v>44621</v>
      </c>
      <c r="W390" s="39">
        <v>3.3609</v>
      </c>
      <c r="X390" s="39">
        <v>2.8532999999999999</v>
      </c>
      <c r="Y390" s="40">
        <f t="shared" si="59"/>
        <v>0.17789927452423515</v>
      </c>
      <c r="Z390" s="67"/>
      <c r="AA390" s="71">
        <v>44621</v>
      </c>
      <c r="AB390" s="99">
        <v>1951.1</v>
      </c>
      <c r="AC390" s="99">
        <v>1908.4</v>
      </c>
      <c r="AD390" s="73">
        <f t="shared" si="60"/>
        <v>2.2374764200377095E-2</v>
      </c>
      <c r="AE390" s="67"/>
      <c r="AF390" s="71">
        <v>44621</v>
      </c>
      <c r="AG390" s="72">
        <v>98.31</v>
      </c>
      <c r="AH390" s="72">
        <v>96.77</v>
      </c>
      <c r="AI390" s="73">
        <f t="shared" si="61"/>
        <v>1.5914022940994199E-2</v>
      </c>
      <c r="AJ390" s="67"/>
      <c r="AK390" s="74">
        <v>44651</v>
      </c>
      <c r="AL390" s="41">
        <v>2.3199999999999998E-2</v>
      </c>
      <c r="AM390" s="41">
        <f t="shared" ref="AM390:AM436" si="63">AL390-AL389</f>
        <v>4.8999999999999981E-3</v>
      </c>
      <c r="AN390" s="67"/>
      <c r="AO390" s="75">
        <v>44621</v>
      </c>
      <c r="AP390" s="76">
        <v>573163.5</v>
      </c>
      <c r="AQ390" s="80">
        <f t="shared" si="43"/>
        <v>-1.8028934184303513E-2</v>
      </c>
      <c r="AR390" s="67"/>
      <c r="AS390" s="94">
        <v>44621</v>
      </c>
      <c r="AT390" s="78">
        <v>0.90724999999999989</v>
      </c>
      <c r="AU390" s="67"/>
      <c r="AV390" s="79">
        <v>44621</v>
      </c>
      <c r="AW390" s="76">
        <v>412704.5</v>
      </c>
      <c r="AX390" s="80">
        <f t="shared" si="44"/>
        <v>-3.1731767253539989E-4</v>
      </c>
      <c r="AY390" s="67"/>
      <c r="AZ390" s="81">
        <v>44621</v>
      </c>
      <c r="BA390" s="82">
        <v>318.95492553710938</v>
      </c>
      <c r="BB390" s="82">
        <v>403.713623046875</v>
      </c>
      <c r="BC390" s="67"/>
      <c r="BD390" s="83">
        <v>44635</v>
      </c>
      <c r="BE390" s="42">
        <v>11888</v>
      </c>
      <c r="BF390" s="41">
        <f t="shared" si="45"/>
        <v>3.689489751417363E-2</v>
      </c>
      <c r="BG390" s="67"/>
      <c r="BH390" s="84">
        <v>44621</v>
      </c>
      <c r="BI390" s="85">
        <v>101.3907</v>
      </c>
      <c r="BJ390" s="87">
        <f t="shared" si="46"/>
        <v>5.7962589676845422E-3</v>
      </c>
      <c r="BK390" s="67"/>
      <c r="BL390" s="84">
        <v>44621</v>
      </c>
      <c r="BM390" s="86">
        <v>40.106242000000002</v>
      </c>
      <c r="BN390" s="67"/>
      <c r="BO390" s="88">
        <v>44621</v>
      </c>
      <c r="BP390" s="89">
        <v>4.7519999999999998</v>
      </c>
      <c r="BQ390" s="89">
        <v>4.5060000000000002</v>
      </c>
      <c r="BR390" s="90">
        <f t="shared" si="37"/>
        <v>5.4593874833555267E-2</v>
      </c>
    </row>
    <row r="391" spans="1:70">
      <c r="A391" s="62">
        <v>44652</v>
      </c>
      <c r="B391" s="63">
        <v>44652</v>
      </c>
      <c r="C391" s="39">
        <v>104.69</v>
      </c>
      <c r="D391" s="64">
        <v>101.23</v>
      </c>
      <c r="E391" s="40">
        <f t="shared" si="57"/>
        <v>3.4179591030326861E-2</v>
      </c>
      <c r="F391" s="65"/>
      <c r="G391" s="63">
        <v>44652</v>
      </c>
      <c r="H391" s="39">
        <v>33.4</v>
      </c>
      <c r="I391" s="39">
        <v>20.62</v>
      </c>
      <c r="J391" s="40">
        <f t="shared" si="62"/>
        <v>0.61978661493695419</v>
      </c>
      <c r="K391" s="67"/>
      <c r="L391" s="68">
        <v>44652</v>
      </c>
      <c r="M391" s="98">
        <v>4131.93</v>
      </c>
      <c r="N391" s="98">
        <v>4540.32</v>
      </c>
      <c r="O391" s="70">
        <f t="shared" si="58"/>
        <v>-8.9947404588222701E-2</v>
      </c>
      <c r="P391" s="67"/>
      <c r="Q391" s="38">
        <v>44652</v>
      </c>
      <c r="R391" s="39">
        <v>7.2439999999999998</v>
      </c>
      <c r="S391" s="39">
        <v>5.6269999999999998</v>
      </c>
      <c r="T391" s="40">
        <f t="shared" si="49"/>
        <v>0.28736449262484443</v>
      </c>
      <c r="U391" s="67"/>
      <c r="V391" s="38">
        <v>44652</v>
      </c>
      <c r="W391" s="39">
        <v>4.0171999999999999</v>
      </c>
      <c r="X391" s="39">
        <v>3.2349000000000001</v>
      </c>
      <c r="Y391" s="40">
        <f t="shared" si="59"/>
        <v>0.24183127762836554</v>
      </c>
      <c r="Z391" s="67"/>
      <c r="AA391" s="71">
        <v>44652</v>
      </c>
      <c r="AB391" s="99">
        <v>1891.3</v>
      </c>
      <c r="AC391" s="99">
        <v>1924.5</v>
      </c>
      <c r="AD391" s="73">
        <f t="shared" si="60"/>
        <v>-1.7251234086775757E-2</v>
      </c>
      <c r="AE391" s="67"/>
      <c r="AF391" s="71">
        <v>44652</v>
      </c>
      <c r="AG391" s="72">
        <v>102.96</v>
      </c>
      <c r="AH391" s="72">
        <v>98.33</v>
      </c>
      <c r="AI391" s="73">
        <f t="shared" si="61"/>
        <v>4.7086341909895246E-2</v>
      </c>
      <c r="AJ391" s="67"/>
      <c r="AK391" s="74">
        <v>44681</v>
      </c>
      <c r="AL391" s="41">
        <v>2.8900000000000002E-2</v>
      </c>
      <c r="AM391" s="41">
        <f t="shared" si="63"/>
        <v>5.7000000000000037E-3</v>
      </c>
      <c r="AN391" s="67"/>
      <c r="AO391" s="75">
        <v>44652</v>
      </c>
      <c r="AP391" s="76">
        <v>556859.19999999995</v>
      </c>
      <c r="AQ391" s="80">
        <f t="shared" si="43"/>
        <v>-2.8446158905792274E-2</v>
      </c>
      <c r="AR391" s="67"/>
      <c r="AS391" s="94">
        <v>44652</v>
      </c>
      <c r="AT391" s="78">
        <v>0.90439999999999998</v>
      </c>
      <c r="AU391" s="67"/>
      <c r="AV391" s="79">
        <v>44652</v>
      </c>
      <c r="AW391" s="76">
        <v>415601.6</v>
      </c>
      <c r="AX391" s="80">
        <f t="shared" si="44"/>
        <v>7.0197926119051068E-3</v>
      </c>
      <c r="AY391" s="67"/>
      <c r="AZ391" s="81">
        <v>44652</v>
      </c>
      <c r="BA391" s="82">
        <v>191.14309692382813</v>
      </c>
      <c r="BB391" s="82">
        <v>221.91055297851563</v>
      </c>
      <c r="BC391" s="67"/>
      <c r="BD391" s="83">
        <v>44666</v>
      </c>
      <c r="BE391" s="42">
        <v>11830</v>
      </c>
      <c r="BF391" s="41">
        <f t="shared" si="45"/>
        <v>-4.8788694481830541E-3</v>
      </c>
      <c r="BG391" s="67"/>
      <c r="BH391" s="84">
        <v>44652</v>
      </c>
      <c r="BI391" s="85">
        <v>101.44</v>
      </c>
      <c r="BJ391" s="87">
        <f t="shared" si="46"/>
        <v>4.8623788966839498E-4</v>
      </c>
      <c r="BK391" s="67"/>
      <c r="BL391" s="84">
        <v>44652</v>
      </c>
      <c r="BM391" s="86">
        <v>29.537865</v>
      </c>
      <c r="BN391" s="67"/>
      <c r="BO391" s="88">
        <v>44652</v>
      </c>
      <c r="BP391" s="89">
        <v>4.4085000000000001</v>
      </c>
      <c r="BQ391" s="89">
        <v>4.7169999999999996</v>
      </c>
      <c r="BR391" s="90">
        <f t="shared" si="37"/>
        <v>-6.5401738393046305E-2</v>
      </c>
    </row>
    <row r="392" spans="1:70">
      <c r="A392" s="62">
        <v>44682</v>
      </c>
      <c r="B392" s="63">
        <v>44682</v>
      </c>
      <c r="C392" s="39">
        <v>114.67</v>
      </c>
      <c r="D392" s="64">
        <v>104</v>
      </c>
      <c r="E392" s="40">
        <f t="shared" si="57"/>
        <v>0.10259615384615395</v>
      </c>
      <c r="F392" s="65"/>
      <c r="G392" s="63">
        <v>44682</v>
      </c>
      <c r="H392" s="39">
        <v>26.19</v>
      </c>
      <c r="I392" s="39">
        <v>33.35</v>
      </c>
      <c r="J392" s="40">
        <f t="shared" si="62"/>
        <v>-0.21469265367316337</v>
      </c>
      <c r="K392" s="67"/>
      <c r="L392" s="68">
        <v>44682</v>
      </c>
      <c r="M392" s="98">
        <v>4132.1499999999996</v>
      </c>
      <c r="N392" s="98">
        <v>4130.6099999999997</v>
      </c>
      <c r="O392" s="70">
        <f t="shared" si="58"/>
        <v>3.7282628957946429E-4</v>
      </c>
      <c r="P392" s="67"/>
      <c r="Q392" s="38">
        <v>44682</v>
      </c>
      <c r="R392" s="39">
        <v>8.1449999999999996</v>
      </c>
      <c r="S392" s="39">
        <v>7.4119999999999999</v>
      </c>
      <c r="T392" s="40">
        <f t="shared" si="49"/>
        <v>9.8893685914732909E-2</v>
      </c>
      <c r="U392" s="67"/>
      <c r="V392" s="38">
        <v>44682</v>
      </c>
      <c r="W392" s="39">
        <v>3.9350000000000001</v>
      </c>
      <c r="X392" s="39">
        <v>3.6726000000000001</v>
      </c>
      <c r="Y392" s="40">
        <f t="shared" si="59"/>
        <v>7.1448020475957108E-2</v>
      </c>
      <c r="Z392" s="67"/>
      <c r="AA392" s="71">
        <v>44682</v>
      </c>
      <c r="AB392" s="99">
        <v>1845.2</v>
      </c>
      <c r="AC392" s="99">
        <v>1896.2</v>
      </c>
      <c r="AD392" s="73">
        <f t="shared" si="60"/>
        <v>-2.6895897057272466E-2</v>
      </c>
      <c r="AE392" s="67"/>
      <c r="AF392" s="71">
        <v>44682</v>
      </c>
      <c r="AG392" s="72">
        <v>101.75</v>
      </c>
      <c r="AH392" s="72">
        <v>103.21</v>
      </c>
      <c r="AI392" s="73">
        <f t="shared" si="61"/>
        <v>-1.4145916093401767E-2</v>
      </c>
      <c r="AJ392" s="67"/>
      <c r="AK392" s="74">
        <v>44712</v>
      </c>
      <c r="AL392" s="41">
        <v>2.8500000000000001E-2</v>
      </c>
      <c r="AM392" s="41">
        <f t="shared" si="63"/>
        <v>-4.0000000000000105E-4</v>
      </c>
      <c r="AN392" s="67"/>
      <c r="AO392" s="92">
        <v>44682</v>
      </c>
      <c r="AP392" s="76">
        <v>534895.75</v>
      </c>
      <c r="AQ392" s="80">
        <f t="shared" si="43"/>
        <v>-3.9441657783511497E-2</v>
      </c>
      <c r="AR392" s="67"/>
      <c r="AS392" s="97">
        <v>44682</v>
      </c>
      <c r="AT392" s="78">
        <v>0.91900000000000004</v>
      </c>
      <c r="AU392" s="67"/>
      <c r="AV392" s="93">
        <v>44682</v>
      </c>
      <c r="AW392" s="76">
        <v>419892</v>
      </c>
      <c r="AX392" s="80">
        <f t="shared" si="44"/>
        <v>1.0323348129554821E-2</v>
      </c>
      <c r="AY392" s="67"/>
      <c r="AZ392" s="81">
        <v>44682</v>
      </c>
      <c r="BA392" s="82">
        <v>142.25848388671875</v>
      </c>
      <c r="BB392" s="82">
        <v>166.424560546875</v>
      </c>
      <c r="BC392" s="67"/>
      <c r="BD392" s="83">
        <v>44696</v>
      </c>
      <c r="BE392" s="42">
        <v>11758</v>
      </c>
      <c r="BF392" s="41">
        <f t="shared" si="45"/>
        <v>-6.0862214708368167E-3</v>
      </c>
      <c r="BG392" s="67"/>
      <c r="BH392" s="84">
        <v>44682</v>
      </c>
      <c r="BI392" s="85">
        <v>101.3335</v>
      </c>
      <c r="BJ392" s="87">
        <f t="shared" si="46"/>
        <v>-1.0498817034699792E-3</v>
      </c>
      <c r="BK392" s="67"/>
      <c r="BL392" s="84">
        <v>44682</v>
      </c>
      <c r="BM392" s="86">
        <v>56.953431000000002</v>
      </c>
      <c r="BN392" s="67"/>
      <c r="BO392" s="88">
        <v>44682</v>
      </c>
      <c r="BP392" s="89">
        <v>4.2990000000000004</v>
      </c>
      <c r="BQ392" s="89">
        <v>4.3929999999999998</v>
      </c>
      <c r="BR392" s="90">
        <f t="shared" si="37"/>
        <v>-2.1397678124288499E-2</v>
      </c>
    </row>
    <row r="393" spans="1:70">
      <c r="A393" s="62">
        <v>44713</v>
      </c>
      <c r="B393" s="63">
        <v>44713</v>
      </c>
      <c r="C393" s="39">
        <v>105.76</v>
      </c>
      <c r="D393" s="64">
        <v>115.4</v>
      </c>
      <c r="E393" s="40">
        <f t="shared" si="57"/>
        <v>-8.3535528596187181E-2</v>
      </c>
      <c r="F393" s="65"/>
      <c r="G393" s="63">
        <v>44713</v>
      </c>
      <c r="H393" s="39">
        <v>28.71</v>
      </c>
      <c r="I393" s="39">
        <v>26.05</v>
      </c>
      <c r="J393" s="40">
        <f t="shared" si="62"/>
        <v>0.10211132437619952</v>
      </c>
      <c r="K393" s="67"/>
      <c r="L393" s="68">
        <v>44713</v>
      </c>
      <c r="M393" s="98">
        <v>3785.38</v>
      </c>
      <c r="N393" s="98">
        <v>4149.78</v>
      </c>
      <c r="O393" s="70">
        <f t="shared" si="58"/>
        <v>-8.7811884003489271E-2</v>
      </c>
      <c r="P393" s="67"/>
      <c r="Q393" s="38">
        <v>44713</v>
      </c>
      <c r="R393" s="39">
        <v>5.4240000000000004</v>
      </c>
      <c r="S393" s="39">
        <v>8.2710000000000008</v>
      </c>
      <c r="T393" s="40">
        <f t="shared" si="49"/>
        <v>-0.34421472615161408</v>
      </c>
      <c r="U393" s="67"/>
      <c r="V393" s="38">
        <v>44713</v>
      </c>
      <c r="W393" s="39">
        <v>3.8304999999999998</v>
      </c>
      <c r="X393" s="39">
        <v>3.9198</v>
      </c>
      <c r="Y393" s="40">
        <f t="shared" si="59"/>
        <v>-2.2781774580335812E-2</v>
      </c>
      <c r="Z393" s="67"/>
      <c r="AA393" s="71">
        <v>44713</v>
      </c>
      <c r="AB393" s="99">
        <v>1807.3</v>
      </c>
      <c r="AC393" s="99">
        <v>1837.1</v>
      </c>
      <c r="AD393" s="73">
        <f t="shared" si="60"/>
        <v>-1.6221218224375389E-2</v>
      </c>
      <c r="AE393" s="67"/>
      <c r="AF393" s="71">
        <v>44713</v>
      </c>
      <c r="AG393" s="72">
        <v>104.69</v>
      </c>
      <c r="AH393" s="72">
        <v>101.76</v>
      </c>
      <c r="AI393" s="73">
        <f t="shared" si="61"/>
        <v>2.8793238993710668E-2</v>
      </c>
      <c r="AJ393" s="67"/>
      <c r="AK393" s="74">
        <v>44742</v>
      </c>
      <c r="AL393" s="41">
        <v>2.98E-2</v>
      </c>
      <c r="AM393" s="41">
        <f t="shared" si="63"/>
        <v>1.2999999999999991E-3</v>
      </c>
      <c r="AN393" s="67"/>
      <c r="AO393" s="75">
        <v>44713</v>
      </c>
      <c r="AP393" s="76">
        <v>508405.25</v>
      </c>
      <c r="AQ393" s="80">
        <f t="shared" si="43"/>
        <v>-4.9524603626033725E-2</v>
      </c>
      <c r="AR393" s="67"/>
      <c r="AS393" s="94">
        <v>44713</v>
      </c>
      <c r="AT393" s="78">
        <v>0.94224999999999992</v>
      </c>
      <c r="AU393" s="67"/>
      <c r="AV393" s="79">
        <v>44713</v>
      </c>
      <c r="AW393" s="76">
        <v>417341.5</v>
      </c>
      <c r="AX393" s="80">
        <f t="shared" si="44"/>
        <v>-6.0741809798710023E-3</v>
      </c>
      <c r="AY393" s="67"/>
      <c r="AZ393" s="81">
        <v>44713</v>
      </c>
      <c r="BA393" s="82">
        <v>130.70732116699219</v>
      </c>
      <c r="BB393" s="82">
        <v>160.72695922851563</v>
      </c>
      <c r="BC393" s="67"/>
      <c r="BD393" s="83">
        <v>44727</v>
      </c>
      <c r="BE393" s="42">
        <v>11919</v>
      </c>
      <c r="BF393" s="41">
        <f t="shared" si="45"/>
        <v>1.3692804898792321E-2</v>
      </c>
      <c r="BG393" s="67"/>
      <c r="BH393" s="84">
        <v>44713</v>
      </c>
      <c r="BI393" s="85">
        <v>101.018</v>
      </c>
      <c r="BJ393" s="87">
        <f t="shared" si="46"/>
        <v>-3.1134817212471466E-3</v>
      </c>
      <c r="BK393" s="67"/>
      <c r="BL393" s="84">
        <v>44713</v>
      </c>
      <c r="BM393" s="86">
        <v>35.017060999999998</v>
      </c>
      <c r="BN393" s="67"/>
      <c r="BO393" s="88">
        <v>44713</v>
      </c>
      <c r="BP393" s="89">
        <v>3.71</v>
      </c>
      <c r="BQ393" s="89">
        <v>4.2750000000000004</v>
      </c>
      <c r="BR393" s="90">
        <f t="shared" si="37"/>
        <v>-0.13216374269005859</v>
      </c>
    </row>
    <row r="394" spans="1:70">
      <c r="A394" s="62">
        <v>44743</v>
      </c>
      <c r="B394" s="63">
        <v>44743</v>
      </c>
      <c r="C394" s="39">
        <v>98.62</v>
      </c>
      <c r="D394" s="64">
        <v>106.01</v>
      </c>
      <c r="E394" s="40">
        <f t="shared" si="57"/>
        <v>-6.971040467880385E-2</v>
      </c>
      <c r="F394" s="65"/>
      <c r="G394" s="63">
        <v>44743</v>
      </c>
      <c r="H394" s="39">
        <v>21.33</v>
      </c>
      <c r="I394" s="39">
        <v>29.53</v>
      </c>
      <c r="J394" s="40">
        <f t="shared" si="62"/>
        <v>-0.27768371147985105</v>
      </c>
      <c r="K394" s="67"/>
      <c r="L394" s="68">
        <v>44743</v>
      </c>
      <c r="M394" s="98">
        <v>4130.29</v>
      </c>
      <c r="N394" s="98">
        <v>3781</v>
      </c>
      <c r="O394" s="70">
        <f t="shared" si="58"/>
        <v>9.2380322665961412E-2</v>
      </c>
      <c r="P394" s="67"/>
      <c r="Q394" s="38">
        <v>44743</v>
      </c>
      <c r="R394" s="39">
        <v>8.2289999999999992</v>
      </c>
      <c r="S394" s="39">
        <v>5.7009999999999996</v>
      </c>
      <c r="T394" s="40">
        <f t="shared" si="49"/>
        <v>0.44343097702157519</v>
      </c>
      <c r="U394" s="67"/>
      <c r="V394" s="38">
        <v>44743</v>
      </c>
      <c r="W394" s="39">
        <v>3.5489999999999999</v>
      </c>
      <c r="X394" s="39">
        <v>3.7913999999999999</v>
      </c>
      <c r="Y394" s="40">
        <f t="shared" si="59"/>
        <v>-6.3934166798544023E-2</v>
      </c>
      <c r="Z394" s="67"/>
      <c r="AA394" s="71">
        <v>44743</v>
      </c>
      <c r="AB394" s="99">
        <v>1754.4</v>
      </c>
      <c r="AC394" s="99">
        <v>1814.4</v>
      </c>
      <c r="AD394" s="73">
        <f t="shared" si="60"/>
        <v>-3.3068783068783025E-2</v>
      </c>
      <c r="AE394" s="67"/>
      <c r="AF394" s="71">
        <v>44743</v>
      </c>
      <c r="AG394" s="72">
        <v>105.9</v>
      </c>
      <c r="AH394" s="72">
        <v>104.78</v>
      </c>
      <c r="AI394" s="73">
        <f t="shared" si="61"/>
        <v>1.0689062798243887E-2</v>
      </c>
      <c r="AJ394" s="67"/>
      <c r="AK394" s="74">
        <v>44773</v>
      </c>
      <c r="AL394" s="41">
        <v>2.6699999999999998E-2</v>
      </c>
      <c r="AM394" s="41">
        <f t="shared" si="63"/>
        <v>-3.1000000000000021E-3</v>
      </c>
      <c r="AN394" s="67"/>
      <c r="AO394" s="75">
        <v>44743</v>
      </c>
      <c r="AP394" s="76">
        <v>480344.8</v>
      </c>
      <c r="AQ394" s="80">
        <f t="shared" si="43"/>
        <v>-5.5193076782743655E-2</v>
      </c>
      <c r="AR394" s="67"/>
      <c r="AS394" s="94">
        <v>44743</v>
      </c>
      <c r="AT394" s="78">
        <v>0.9326000000000001</v>
      </c>
      <c r="AU394" s="67"/>
      <c r="AV394" s="79">
        <v>44743</v>
      </c>
      <c r="AW394" s="76">
        <v>425220.4</v>
      </c>
      <c r="AX394" s="80">
        <f t="shared" si="44"/>
        <v>1.8878783921560727E-2</v>
      </c>
      <c r="AY394" s="67"/>
      <c r="AZ394" s="81">
        <v>44743</v>
      </c>
      <c r="BA394" s="82">
        <v>117.17676544189453</v>
      </c>
      <c r="BB394" s="82">
        <v>141.24293518066406</v>
      </c>
      <c r="BC394" s="67"/>
      <c r="BD394" s="83">
        <v>44757</v>
      </c>
      <c r="BE394" s="42">
        <v>12009</v>
      </c>
      <c r="BF394" s="41">
        <f t="shared" si="45"/>
        <v>7.5509690410269226E-3</v>
      </c>
      <c r="BG394" s="67"/>
      <c r="BH394" s="84">
        <v>44743</v>
      </c>
      <c r="BI394" s="85">
        <v>101.223</v>
      </c>
      <c r="BJ394" s="87">
        <f t="shared" si="46"/>
        <v>2.029341305509913E-3</v>
      </c>
      <c r="BK394" s="67"/>
      <c r="BL394" s="84">
        <v>44743</v>
      </c>
      <c r="BM394" s="86">
        <v>21.204315999999999</v>
      </c>
      <c r="BN394" s="67"/>
      <c r="BO394" s="88">
        <v>44743</v>
      </c>
      <c r="BP394" s="89">
        <v>3.5750000000000002</v>
      </c>
      <c r="BQ394" s="89">
        <v>3.6779999999999999</v>
      </c>
      <c r="BR394" s="90">
        <f t="shared" si="37"/>
        <v>-2.800435019032077E-2</v>
      </c>
    </row>
    <row r="395" spans="1:70">
      <c r="A395" s="62">
        <v>44774</v>
      </c>
      <c r="B395" s="63">
        <v>44774</v>
      </c>
      <c r="C395" s="39">
        <v>89.55</v>
      </c>
      <c r="D395" s="64">
        <v>98.46</v>
      </c>
      <c r="E395" s="40">
        <f t="shared" si="57"/>
        <v>-9.0493601462522832E-2</v>
      </c>
      <c r="F395" s="65"/>
      <c r="G395" s="63">
        <v>44774</v>
      </c>
      <c r="H395" s="39">
        <v>25.87</v>
      </c>
      <c r="I395" s="39">
        <v>22.41</v>
      </c>
      <c r="J395" s="40">
        <f t="shared" si="62"/>
        <v>0.15439535921463632</v>
      </c>
      <c r="K395" s="67"/>
      <c r="L395" s="68">
        <v>44774</v>
      </c>
      <c r="M395" s="98">
        <v>3955</v>
      </c>
      <c r="N395" s="98">
        <v>4112.38</v>
      </c>
      <c r="O395" s="70">
        <f t="shared" si="58"/>
        <v>-3.8269809696574786E-2</v>
      </c>
      <c r="P395" s="67"/>
      <c r="Q395" s="38">
        <v>44774</v>
      </c>
      <c r="R395" s="39">
        <v>9.1270000000000007</v>
      </c>
      <c r="S395" s="39">
        <v>7.91</v>
      </c>
      <c r="T395" s="40">
        <f t="shared" si="49"/>
        <v>0.15385587863463979</v>
      </c>
      <c r="U395" s="67"/>
      <c r="V395" s="38">
        <v>44774</v>
      </c>
      <c r="W395" s="39">
        <v>3.6674000000000002</v>
      </c>
      <c r="X395" s="39">
        <v>3.5103</v>
      </c>
      <c r="Y395" s="40">
        <f t="shared" si="59"/>
        <v>4.4754009628806823E-2</v>
      </c>
      <c r="Z395" s="67"/>
      <c r="AA395" s="71">
        <v>44774</v>
      </c>
      <c r="AB395" s="99">
        <v>1716.9</v>
      </c>
      <c r="AC395" s="99">
        <v>1767.7</v>
      </c>
      <c r="AD395" s="73">
        <f t="shared" si="60"/>
        <v>-2.8737908016066016E-2</v>
      </c>
      <c r="AE395" s="67"/>
      <c r="AF395" s="71">
        <v>44774</v>
      </c>
      <c r="AG395" s="72">
        <v>108.7</v>
      </c>
      <c r="AH395" s="72">
        <v>105.83</v>
      </c>
      <c r="AI395" s="73">
        <f t="shared" si="61"/>
        <v>2.7118964376830812E-2</v>
      </c>
      <c r="AJ395" s="67"/>
      <c r="AK395" s="74">
        <v>44804</v>
      </c>
      <c r="AL395" s="41">
        <v>3.15E-2</v>
      </c>
      <c r="AM395" s="41">
        <f t="shared" si="63"/>
        <v>4.8000000000000022E-3</v>
      </c>
      <c r="AN395" s="67"/>
      <c r="AO395" s="75">
        <v>44774</v>
      </c>
      <c r="AP395" s="76">
        <v>457194.25</v>
      </c>
      <c r="AQ395" s="80">
        <f t="shared" si="43"/>
        <v>-4.8195691927965023E-2</v>
      </c>
      <c r="AR395" s="67"/>
      <c r="AS395" s="94">
        <v>44774</v>
      </c>
      <c r="AT395" s="78">
        <v>0.93575000000000008</v>
      </c>
      <c r="AU395" s="67"/>
      <c r="AV395" s="79">
        <v>44774</v>
      </c>
      <c r="AW395" s="76">
        <v>424245.5</v>
      </c>
      <c r="AX395" s="80">
        <f t="shared" si="44"/>
        <v>-2.2926933891225243E-3</v>
      </c>
      <c r="AY395" s="67"/>
      <c r="AZ395" s="81">
        <v>44774</v>
      </c>
      <c r="BA395" s="82">
        <v>132.86322021484375</v>
      </c>
      <c r="BB395" s="82">
        <v>159.38302612304688</v>
      </c>
      <c r="BC395" s="67"/>
      <c r="BD395" s="83">
        <v>44788</v>
      </c>
      <c r="BE395" s="42">
        <v>12134</v>
      </c>
      <c r="BF395" s="41">
        <f t="shared" si="45"/>
        <v>1.0408860021650534E-2</v>
      </c>
      <c r="BG395" s="67"/>
      <c r="BH395" s="84">
        <v>44774</v>
      </c>
      <c r="BI395" s="85">
        <v>101.0963</v>
      </c>
      <c r="BJ395" s="87">
        <f t="shared" si="46"/>
        <v>-1.2516918091738383E-3</v>
      </c>
      <c r="BK395" s="67"/>
      <c r="BL395" s="84">
        <v>44774</v>
      </c>
      <c r="BM395" s="86">
        <v>-17.282427999999999</v>
      </c>
      <c r="BN395" s="67"/>
      <c r="BO395" s="88">
        <v>44774</v>
      </c>
      <c r="BP395" s="89">
        <v>3.5190000000000001</v>
      </c>
      <c r="BQ395" s="89">
        <v>3.5529999999999999</v>
      </c>
      <c r="BR395" s="90">
        <f t="shared" si="37"/>
        <v>-9.5693779904305609E-3</v>
      </c>
    </row>
    <row r="396" spans="1:70">
      <c r="A396" s="62">
        <v>44805</v>
      </c>
      <c r="B396" s="63">
        <v>44805</v>
      </c>
      <c r="C396" s="39">
        <v>79.489999999999995</v>
      </c>
      <c r="D396" s="64">
        <v>88.83</v>
      </c>
      <c r="E396" s="40">
        <f t="shared" si="57"/>
        <v>-0.10514465833614772</v>
      </c>
      <c r="F396" s="65"/>
      <c r="G396" s="63">
        <v>44805</v>
      </c>
      <c r="H396" s="39">
        <v>31.62</v>
      </c>
      <c r="I396" s="39">
        <v>26.88</v>
      </c>
      <c r="J396" s="40">
        <f t="shared" si="62"/>
        <v>0.17633928571428581</v>
      </c>
      <c r="K396" s="67"/>
      <c r="L396" s="68">
        <v>44805</v>
      </c>
      <c r="M396" s="98">
        <v>3585.62</v>
      </c>
      <c r="N396" s="98">
        <v>3936.73</v>
      </c>
      <c r="O396" s="70">
        <f t="shared" si="58"/>
        <v>-8.9188234905619668E-2</v>
      </c>
      <c r="P396" s="67"/>
      <c r="Q396" s="38">
        <v>44805</v>
      </c>
      <c r="R396" s="39">
        <v>6.766</v>
      </c>
      <c r="S396" s="39">
        <v>9.1329999999999991</v>
      </c>
      <c r="T396" s="40">
        <f t="shared" si="49"/>
        <v>-0.25917004270228838</v>
      </c>
      <c r="U396" s="67"/>
      <c r="V396" s="38">
        <v>44805</v>
      </c>
      <c r="W396" s="39">
        <v>3.2216</v>
      </c>
      <c r="X396" s="39">
        <v>3.5891999999999999</v>
      </c>
      <c r="Y396" s="40">
        <f t="shared" si="59"/>
        <v>-0.10241836620974032</v>
      </c>
      <c r="Z396" s="67"/>
      <c r="AA396" s="71">
        <v>44805</v>
      </c>
      <c r="AB396" s="99">
        <v>1663.6</v>
      </c>
      <c r="AC396" s="99">
        <v>1713.1</v>
      </c>
      <c r="AD396" s="73">
        <f t="shared" si="60"/>
        <v>-2.88949856984414E-2</v>
      </c>
      <c r="AE396" s="67"/>
      <c r="AF396" s="71">
        <v>44805</v>
      </c>
      <c r="AG396" s="72">
        <v>112.12</v>
      </c>
      <c r="AH396" s="72">
        <v>108.84</v>
      </c>
      <c r="AI396" s="73">
        <f t="shared" si="61"/>
        <v>3.0135979419331216E-2</v>
      </c>
      <c r="AJ396" s="67"/>
      <c r="AK396" s="74">
        <v>44834</v>
      </c>
      <c r="AL396" s="41">
        <v>3.8300000000000001E-2</v>
      </c>
      <c r="AM396" s="41">
        <f t="shared" si="63"/>
        <v>6.8000000000000005E-3</v>
      </c>
      <c r="AN396" s="67"/>
      <c r="AO396" s="75">
        <v>44805</v>
      </c>
      <c r="AP396" s="76">
        <v>428531.6</v>
      </c>
      <c r="AQ396" s="80">
        <f t="shared" si="43"/>
        <v>-6.2692498866729007E-2</v>
      </c>
      <c r="AR396" s="67"/>
      <c r="AS396" s="94">
        <v>44805</v>
      </c>
      <c r="AT396" s="78">
        <v>0.91579999999999995</v>
      </c>
      <c r="AU396" s="67"/>
      <c r="AV396" s="79">
        <v>44805</v>
      </c>
      <c r="AW396" s="76">
        <v>429472</v>
      </c>
      <c r="AX396" s="80">
        <f t="shared" si="44"/>
        <v>1.2319517826352877E-2</v>
      </c>
      <c r="AY396" s="67"/>
      <c r="AZ396" s="81">
        <v>44805</v>
      </c>
      <c r="BA396" s="82">
        <v>131.98587036132813</v>
      </c>
      <c r="BB396" s="82">
        <v>170.31179809570313</v>
      </c>
      <c r="BC396" s="67"/>
      <c r="BD396" s="83">
        <v>44819</v>
      </c>
      <c r="BE396" s="42">
        <v>12429</v>
      </c>
      <c r="BF396" s="41">
        <f t="shared" si="45"/>
        <v>2.4311850997198015E-2</v>
      </c>
      <c r="BG396" s="67"/>
      <c r="BH396" s="84">
        <v>44805</v>
      </c>
      <c r="BI396" s="85">
        <v>101.29179999999999</v>
      </c>
      <c r="BJ396" s="87">
        <f t="shared" si="46"/>
        <v>1.9337997533044327E-3</v>
      </c>
      <c r="BK396" s="67"/>
      <c r="BL396" s="84">
        <v>44805</v>
      </c>
      <c r="BM396" s="86">
        <v>-12.363077000000001</v>
      </c>
      <c r="BN396" s="67"/>
      <c r="BO396" s="88">
        <v>44805</v>
      </c>
      <c r="BP396" s="89">
        <v>3.4125000000000001</v>
      </c>
      <c r="BQ396" s="89">
        <v>3.5024999999999999</v>
      </c>
      <c r="BR396" s="90">
        <f t="shared" si="37"/>
        <v>-2.5695931477516032E-2</v>
      </c>
    </row>
    <row r="397" spans="1:70">
      <c r="A397" s="62">
        <v>44835</v>
      </c>
      <c r="B397" s="63">
        <v>44835</v>
      </c>
      <c r="C397" s="39">
        <v>86.53</v>
      </c>
      <c r="D397" s="64">
        <v>81.02</v>
      </c>
      <c r="E397" s="40">
        <f t="shared" si="57"/>
        <v>6.8007899284127538E-2</v>
      </c>
      <c r="F397" s="65"/>
      <c r="G397" s="63">
        <v>44835</v>
      </c>
      <c r="H397" s="39">
        <v>25.88</v>
      </c>
      <c r="I397" s="39">
        <v>33</v>
      </c>
      <c r="J397" s="40">
        <f t="shared" si="62"/>
        <v>-0.21575757575757581</v>
      </c>
      <c r="K397" s="67"/>
      <c r="L397" s="68">
        <v>44835</v>
      </c>
      <c r="M397" s="98">
        <v>3871.98</v>
      </c>
      <c r="N397" s="98">
        <v>3609.78</v>
      </c>
      <c r="O397" s="70">
        <f t="shared" si="58"/>
        <v>7.2636005518341706E-2</v>
      </c>
      <c r="P397" s="67"/>
      <c r="Q397" s="38">
        <v>44835</v>
      </c>
      <c r="R397" s="39">
        <v>6.3550000000000004</v>
      </c>
      <c r="S397" s="39">
        <v>6.8</v>
      </c>
      <c r="T397" s="40">
        <f t="shared" si="49"/>
        <v>-6.5441176470588114E-2</v>
      </c>
      <c r="U397" s="67"/>
      <c r="V397" s="38">
        <v>44835</v>
      </c>
      <c r="W397" s="39">
        <v>3.6928000000000001</v>
      </c>
      <c r="X397" s="39">
        <v>3.2841999999999998</v>
      </c>
      <c r="Y397" s="40">
        <f t="shared" si="59"/>
        <v>0.12441386030083446</v>
      </c>
      <c r="Z397" s="67"/>
      <c r="AA397" s="71">
        <v>44835</v>
      </c>
      <c r="AB397" s="99">
        <v>1640.7</v>
      </c>
      <c r="AC397" s="99">
        <v>1667.9</v>
      </c>
      <c r="AD397" s="73">
        <f t="shared" si="60"/>
        <v>-1.6307932130223635E-2</v>
      </c>
      <c r="AE397" s="67"/>
      <c r="AF397" s="71">
        <v>44835</v>
      </c>
      <c r="AG397" s="72">
        <v>111.53</v>
      </c>
      <c r="AH397" s="72">
        <v>112.17</v>
      </c>
      <c r="AI397" s="73">
        <f t="shared" si="61"/>
        <v>-5.7056253900329423E-3</v>
      </c>
      <c r="AJ397" s="67"/>
      <c r="AK397" s="74">
        <v>44865</v>
      </c>
      <c r="AL397" s="41">
        <v>4.0999999999999995E-2</v>
      </c>
      <c r="AM397" s="41">
        <f t="shared" si="63"/>
        <v>2.6999999999999941E-3</v>
      </c>
      <c r="AN397" s="67"/>
      <c r="AO397" s="75">
        <v>44835</v>
      </c>
      <c r="AP397" s="76">
        <v>403836</v>
      </c>
      <c r="AQ397" s="80">
        <f t="shared" si="43"/>
        <v>-5.7628422268042767E-2</v>
      </c>
      <c r="AR397" s="67"/>
      <c r="AS397" s="94">
        <v>44835</v>
      </c>
      <c r="AT397" s="78">
        <v>0.89724999999999999</v>
      </c>
      <c r="AU397" s="67"/>
      <c r="AV397" s="79">
        <v>44835</v>
      </c>
      <c r="AW397" s="76">
        <v>438303.5</v>
      </c>
      <c r="AX397" s="80">
        <f t="shared" si="44"/>
        <v>2.056362230832276E-2</v>
      </c>
      <c r="AY397" s="67"/>
      <c r="AZ397" s="81">
        <v>44835</v>
      </c>
      <c r="BA397" s="82">
        <v>143.16241455078125</v>
      </c>
      <c r="BB397" s="82">
        <v>185.2843017578125</v>
      </c>
      <c r="BC397" s="67"/>
      <c r="BD397" s="83">
        <v>44849</v>
      </c>
      <c r="BE397" s="42">
        <v>12442</v>
      </c>
      <c r="BF397" s="41">
        <f t="shared" si="45"/>
        <v>1.0459409445651158E-3</v>
      </c>
      <c r="BG397" s="67"/>
      <c r="BH397" s="84">
        <v>44835</v>
      </c>
      <c r="BI397" s="85">
        <v>101.2529</v>
      </c>
      <c r="BJ397" s="87">
        <f t="shared" si="46"/>
        <v>-3.8403898439953732E-4</v>
      </c>
      <c r="BK397" s="67"/>
      <c r="BL397" s="84">
        <v>44835</v>
      </c>
      <c r="BM397" s="86">
        <v>7.1237440999999997</v>
      </c>
      <c r="BN397" s="67"/>
      <c r="BO397" s="88">
        <v>44835</v>
      </c>
      <c r="BP397" s="89">
        <v>3.375</v>
      </c>
      <c r="BQ397" s="89">
        <v>3.3965000000000001</v>
      </c>
      <c r="BR397" s="90">
        <f t="shared" si="37"/>
        <v>-6.3300456352127776E-3</v>
      </c>
    </row>
    <row r="398" spans="1:70">
      <c r="A398" s="62">
        <v>44866</v>
      </c>
      <c r="B398" s="63">
        <v>44866</v>
      </c>
      <c r="C398" s="39">
        <v>80.56</v>
      </c>
      <c r="D398" s="64">
        <v>86.17</v>
      </c>
      <c r="E398" s="40">
        <f t="shared" si="57"/>
        <v>-6.5103864453986304E-2</v>
      </c>
      <c r="F398" s="65"/>
      <c r="G398" s="63">
        <v>44866</v>
      </c>
      <c r="H398" s="39">
        <v>20.58</v>
      </c>
      <c r="I398" s="39">
        <v>25.96</v>
      </c>
      <c r="J398" s="40">
        <f t="shared" si="62"/>
        <v>-0.20724191063174124</v>
      </c>
      <c r="K398" s="67"/>
      <c r="L398" s="68">
        <v>44866</v>
      </c>
      <c r="M398" s="98">
        <v>4080.11</v>
      </c>
      <c r="N398" s="98">
        <v>3901.79</v>
      </c>
      <c r="O398" s="70">
        <f t="shared" si="58"/>
        <v>4.570210083064441E-2</v>
      </c>
      <c r="P398" s="67"/>
      <c r="Q398" s="38">
        <v>44866</v>
      </c>
      <c r="R398" s="39">
        <v>6.93</v>
      </c>
      <c r="S398" s="39">
        <v>6.27</v>
      </c>
      <c r="T398" s="40">
        <f t="shared" si="49"/>
        <v>0.10526315789473695</v>
      </c>
      <c r="U398" s="67"/>
      <c r="V398" s="38">
        <v>44866</v>
      </c>
      <c r="W398" s="39">
        <v>3.3628999999999998</v>
      </c>
      <c r="X398" s="39">
        <v>3.6817000000000002</v>
      </c>
      <c r="Y398" s="40">
        <f t="shared" si="59"/>
        <v>-8.6590433767009922E-2</v>
      </c>
      <c r="Z398" s="67"/>
      <c r="AA398" s="71">
        <v>44866</v>
      </c>
      <c r="AB398" s="99">
        <v>1753.2</v>
      </c>
      <c r="AC398" s="99">
        <v>1636.1</v>
      </c>
      <c r="AD398" s="73">
        <f t="shared" si="60"/>
        <v>7.1572642259030816E-2</v>
      </c>
      <c r="AE398" s="67"/>
      <c r="AF398" s="71">
        <v>44866</v>
      </c>
      <c r="AG398" s="72">
        <v>105.95</v>
      </c>
      <c r="AH398" s="72">
        <v>111.52</v>
      </c>
      <c r="AI398" s="73">
        <f t="shared" si="61"/>
        <v>-4.9946197991391661E-2</v>
      </c>
      <c r="AJ398" s="67"/>
      <c r="AK398" s="74">
        <v>44895</v>
      </c>
      <c r="AL398" s="41">
        <v>3.6799999999999999E-2</v>
      </c>
      <c r="AM398" s="41">
        <f t="shared" si="63"/>
        <v>-4.1999999999999954E-3</v>
      </c>
      <c r="AN398" s="67"/>
      <c r="AO398" s="75">
        <v>44866</v>
      </c>
      <c r="AP398" s="76">
        <v>391993</v>
      </c>
      <c r="AQ398" s="80">
        <f t="shared" si="43"/>
        <v>-2.9326261155518618E-2</v>
      </c>
      <c r="AR398" s="67"/>
      <c r="AS398" s="94">
        <v>44866</v>
      </c>
      <c r="AT398" s="78">
        <v>0.93525000000000003</v>
      </c>
      <c r="AU398" s="67"/>
      <c r="AV398" s="79">
        <v>44866</v>
      </c>
      <c r="AW398" s="76">
        <v>431714.75</v>
      </c>
      <c r="AX398" s="80">
        <f t="shared" si="44"/>
        <v>-1.503239193846273E-2</v>
      </c>
      <c r="AY398" s="67"/>
      <c r="AZ398" s="81">
        <v>44866</v>
      </c>
      <c r="BA398" s="82">
        <v>116.71628570556641</v>
      </c>
      <c r="BB398" s="82">
        <v>143.04655456542969</v>
      </c>
      <c r="BC398" s="67"/>
      <c r="BD398" s="83">
        <v>44880</v>
      </c>
      <c r="BE398" s="42">
        <v>12493</v>
      </c>
      <c r="BF398" s="41">
        <f t="shared" si="45"/>
        <v>4.0990194502492638E-3</v>
      </c>
      <c r="BG398" s="67"/>
      <c r="BH398" s="84">
        <v>44866</v>
      </c>
      <c r="BI398" s="85">
        <v>100.9552</v>
      </c>
      <c r="BJ398" s="87">
        <f t="shared" si="46"/>
        <v>-2.9401627015126497E-3</v>
      </c>
      <c r="BK398" s="67"/>
      <c r="BL398" s="84">
        <v>44866</v>
      </c>
      <c r="BM398" s="86">
        <v>-26.363911000000002</v>
      </c>
      <c r="BN398" s="67"/>
      <c r="BO398" s="88">
        <v>44866</v>
      </c>
      <c r="BP398" s="89">
        <v>3.738</v>
      </c>
      <c r="BQ398" s="89">
        <v>3.415</v>
      </c>
      <c r="BR398" s="90">
        <f t="shared" si="37"/>
        <v>9.4582723279648562E-2</v>
      </c>
    </row>
    <row r="399" spans="1:70">
      <c r="A399" s="62">
        <v>44896</v>
      </c>
      <c r="B399" s="63">
        <v>44896</v>
      </c>
      <c r="C399" s="39">
        <v>80.47</v>
      </c>
      <c r="D399" s="64">
        <v>80.56</v>
      </c>
      <c r="E399" s="40">
        <f t="shared" si="57"/>
        <v>-1.1171797418073615E-3</v>
      </c>
      <c r="F399" s="65"/>
      <c r="G399" s="63">
        <v>44896</v>
      </c>
      <c r="H399" s="39">
        <v>21.67</v>
      </c>
      <c r="I399" s="39">
        <v>20.83</v>
      </c>
      <c r="J399" s="40">
        <f t="shared" si="62"/>
        <v>4.0326452232357424E-2</v>
      </c>
      <c r="K399" s="67"/>
      <c r="L399" s="68">
        <v>44896</v>
      </c>
      <c r="M399" s="98">
        <v>3839.5</v>
      </c>
      <c r="N399" s="98">
        <v>4087.14</v>
      </c>
      <c r="O399" s="70">
        <f t="shared" si="58"/>
        <v>-6.0590045851133034E-2</v>
      </c>
      <c r="P399" s="67"/>
      <c r="Q399" s="38">
        <v>44896</v>
      </c>
      <c r="R399" s="39">
        <v>4.4749999999999996</v>
      </c>
      <c r="S399" s="39">
        <v>6.9660000000000002</v>
      </c>
      <c r="T399" s="40">
        <f t="shared" si="49"/>
        <v>-0.35759402813666386</v>
      </c>
      <c r="U399" s="67"/>
      <c r="V399" s="38">
        <v>44896</v>
      </c>
      <c r="W399" s="39">
        <v>3.3622000000000001</v>
      </c>
      <c r="X399" s="39">
        <v>3.3538999999999999</v>
      </c>
      <c r="Y399" s="40">
        <f t="shared" si="59"/>
        <v>2.4747309102837178E-3</v>
      </c>
      <c r="Z399" s="67"/>
      <c r="AA399" s="71">
        <v>44896</v>
      </c>
      <c r="AB399" s="99">
        <v>1826</v>
      </c>
      <c r="AC399" s="99">
        <v>1778.4</v>
      </c>
      <c r="AD399" s="73">
        <f t="shared" si="60"/>
        <v>2.6765632028789899E-2</v>
      </c>
      <c r="AE399" s="67"/>
      <c r="AF399" s="71">
        <v>44896</v>
      </c>
      <c r="AG399" s="72">
        <v>103.52</v>
      </c>
      <c r="AH399" s="72">
        <v>105.7</v>
      </c>
      <c r="AI399" s="73">
        <f t="shared" si="61"/>
        <v>-2.0624408703878938E-2</v>
      </c>
      <c r="AJ399" s="67"/>
      <c r="AK399" s="74">
        <v>44926</v>
      </c>
      <c r="AL399" s="41">
        <v>3.8800000000000001E-2</v>
      </c>
      <c r="AM399" s="41">
        <f t="shared" si="63"/>
        <v>2.0000000000000018E-3</v>
      </c>
      <c r="AN399" s="67"/>
      <c r="AO399" s="75">
        <v>44896</v>
      </c>
      <c r="AP399" s="76">
        <v>379084.4</v>
      </c>
      <c r="AQ399" s="80">
        <f t="shared" si="43"/>
        <v>-3.293069008885352E-2</v>
      </c>
      <c r="AR399" s="67"/>
      <c r="AS399" s="94">
        <v>44896</v>
      </c>
      <c r="AT399" s="78">
        <v>0.90040000000000009</v>
      </c>
      <c r="AU399" s="67"/>
      <c r="AV399" s="79">
        <v>44896</v>
      </c>
      <c r="AW399" s="76">
        <v>419171.8</v>
      </c>
      <c r="AX399" s="80">
        <f t="shared" si="44"/>
        <v>-2.9053790726399797E-2</v>
      </c>
      <c r="AY399" s="67"/>
      <c r="AZ399" s="81">
        <v>44896</v>
      </c>
      <c r="BA399" s="82">
        <v>111.19593811035156</v>
      </c>
      <c r="BB399" s="82">
        <v>119.13852691650391</v>
      </c>
      <c r="BC399" s="67"/>
      <c r="BD399" s="83">
        <v>44910</v>
      </c>
      <c r="BE399" s="42">
        <v>12202</v>
      </c>
      <c r="BF399" s="41">
        <f t="shared" si="45"/>
        <v>-2.3293044104698679E-2</v>
      </c>
      <c r="BG399" s="67"/>
      <c r="BH399" s="84">
        <v>44896</v>
      </c>
      <c r="BI399" s="85">
        <v>99.766400000000004</v>
      </c>
      <c r="BJ399" s="87">
        <f t="shared" si="46"/>
        <v>-1.1775520230755787E-2</v>
      </c>
      <c r="BK399" s="67"/>
      <c r="BL399" s="84">
        <v>44896</v>
      </c>
      <c r="BM399" s="86">
        <v>-15.008372</v>
      </c>
      <c r="BN399" s="67"/>
      <c r="BO399" s="88">
        <v>44896</v>
      </c>
      <c r="BP399" s="89">
        <v>3.8105000000000002</v>
      </c>
      <c r="BQ399" s="89">
        <v>3.782</v>
      </c>
      <c r="BR399" s="90">
        <f t="shared" si="37"/>
        <v>7.5356953992598008E-3</v>
      </c>
    </row>
    <row r="400" spans="1:70">
      <c r="A400" s="62">
        <v>44927</v>
      </c>
      <c r="B400" s="63">
        <v>44927</v>
      </c>
      <c r="C400" s="39">
        <v>80.11</v>
      </c>
      <c r="D400" s="64">
        <v>80.569999999999993</v>
      </c>
      <c r="E400" s="40">
        <f t="shared" si="57"/>
        <v>-5.7093210872531941E-3</v>
      </c>
      <c r="F400" s="65"/>
      <c r="G400" s="63">
        <v>44927</v>
      </c>
      <c r="H400" s="39">
        <v>19.399999999999999</v>
      </c>
      <c r="I400" s="39">
        <v>23.09</v>
      </c>
      <c r="J400" s="40">
        <f t="shared" si="62"/>
        <v>-0.15980944131658736</v>
      </c>
      <c r="K400" s="67"/>
      <c r="L400" s="68">
        <v>44927</v>
      </c>
      <c r="M400" s="98">
        <v>4076.6</v>
      </c>
      <c r="N400" s="98">
        <v>3853.29</v>
      </c>
      <c r="O400" s="70">
        <f t="shared" si="58"/>
        <v>5.7953073866747529E-2</v>
      </c>
      <c r="P400" s="67"/>
      <c r="Q400" s="38">
        <v>44927</v>
      </c>
      <c r="R400" s="39">
        <v>2.6840000000000002</v>
      </c>
      <c r="S400" s="39">
        <v>4.3929999999999998</v>
      </c>
      <c r="T400" s="40">
        <f t="shared" si="49"/>
        <v>-0.3890279990894604</v>
      </c>
      <c r="U400" s="67"/>
      <c r="V400" s="38">
        <v>44927</v>
      </c>
      <c r="W400" s="39">
        <v>3.1823000000000001</v>
      </c>
      <c r="X400" s="39">
        <v>3.2965</v>
      </c>
      <c r="Y400" s="40">
        <f t="shared" si="59"/>
        <v>-3.464280297284994E-2</v>
      </c>
      <c r="Z400" s="67"/>
      <c r="AA400" s="71">
        <v>44927</v>
      </c>
      <c r="AB400" s="99">
        <v>1936.6</v>
      </c>
      <c r="AC400" s="99">
        <v>1831.8</v>
      </c>
      <c r="AD400" s="73">
        <f t="shared" si="60"/>
        <v>5.7211485970084075E-2</v>
      </c>
      <c r="AE400" s="67"/>
      <c r="AF400" s="71">
        <v>44927</v>
      </c>
      <c r="AG400" s="72">
        <v>102.1</v>
      </c>
      <c r="AH400" s="72">
        <v>103.66</v>
      </c>
      <c r="AI400" s="73">
        <f t="shared" si="61"/>
        <v>-1.504919930542159E-2</v>
      </c>
      <c r="AJ400" s="67"/>
      <c r="AK400" s="74">
        <v>44957</v>
      </c>
      <c r="AL400" s="41">
        <v>3.5200000000000002E-2</v>
      </c>
      <c r="AM400" s="41">
        <f t="shared" si="63"/>
        <v>-3.599999999999999E-3</v>
      </c>
      <c r="AN400" s="67"/>
      <c r="AO400" s="75">
        <v>44927</v>
      </c>
      <c r="AP400" s="76">
        <v>371579.25</v>
      </c>
      <c r="AQ400" s="80">
        <f t="shared" si="43"/>
        <v>-1.9798097732325659E-2</v>
      </c>
      <c r="AR400" s="67"/>
      <c r="AS400" s="94">
        <v>44927</v>
      </c>
      <c r="AT400" s="78">
        <v>0.85299999999999998</v>
      </c>
      <c r="AU400" s="67"/>
      <c r="AV400" s="79">
        <v>44927</v>
      </c>
      <c r="AW400" s="76">
        <v>447214.5</v>
      </c>
      <c r="AX400" s="80">
        <f t="shared" si="44"/>
        <v>6.6900254263287717E-2</v>
      </c>
      <c r="AY400" s="67"/>
      <c r="AZ400" s="81">
        <v>44927</v>
      </c>
      <c r="BA400" s="82">
        <v>104.26704406738281</v>
      </c>
      <c r="BB400" s="82">
        <v>113.02135467529297</v>
      </c>
      <c r="BC400" s="67"/>
      <c r="BD400" s="83">
        <v>44941</v>
      </c>
      <c r="BE400" s="42">
        <v>12640</v>
      </c>
      <c r="BF400" s="41">
        <f t="shared" si="45"/>
        <v>3.5895754794295964E-2</v>
      </c>
      <c r="BG400" s="67"/>
      <c r="BH400" s="84">
        <v>44927</v>
      </c>
      <c r="BI400" s="85">
        <v>100.505</v>
      </c>
      <c r="BJ400" s="87">
        <f t="shared" si="46"/>
        <v>7.4032940950059523E-3</v>
      </c>
      <c r="BK400" s="67"/>
      <c r="BL400" s="84">
        <v>44927</v>
      </c>
      <c r="BM400" s="86">
        <v>-62.275055999999999</v>
      </c>
      <c r="BN400" s="67"/>
      <c r="BO400" s="88">
        <v>44927</v>
      </c>
      <c r="BP400" s="89">
        <v>4.226</v>
      </c>
      <c r="BQ400" s="89">
        <v>3.8355000000000001</v>
      </c>
      <c r="BR400" s="90">
        <f t="shared" si="37"/>
        <v>0.10181201929344286</v>
      </c>
    </row>
    <row r="401" spans="1:70">
      <c r="A401" s="62">
        <v>44958</v>
      </c>
      <c r="B401" s="63">
        <v>44958</v>
      </c>
      <c r="C401" s="39">
        <v>77.05</v>
      </c>
      <c r="D401" s="64">
        <v>79.12</v>
      </c>
      <c r="E401" s="40">
        <f t="shared" si="57"/>
        <v>-2.6162790697674465E-2</v>
      </c>
      <c r="F401" s="65"/>
      <c r="G401" s="63">
        <v>44958</v>
      </c>
      <c r="H401" s="39">
        <v>20.7</v>
      </c>
      <c r="I401" s="39">
        <v>19.62</v>
      </c>
      <c r="J401" s="40">
        <f t="shared" si="62"/>
        <v>5.504587155963292E-2</v>
      </c>
      <c r="K401" s="67"/>
      <c r="L401" s="68">
        <v>44958</v>
      </c>
      <c r="M401" s="98">
        <v>3970.15</v>
      </c>
      <c r="N401" s="98">
        <v>4070.07</v>
      </c>
      <c r="O401" s="70">
        <f t="shared" si="58"/>
        <v>-2.4549946315419624E-2</v>
      </c>
      <c r="P401" s="67"/>
      <c r="Q401" s="38">
        <v>44958</v>
      </c>
      <c r="R401" s="39">
        <v>2.7469999999999999</v>
      </c>
      <c r="S401" s="39">
        <v>2.73</v>
      </c>
      <c r="T401" s="40">
        <f t="shared" si="49"/>
        <v>6.227106227106205E-3</v>
      </c>
      <c r="U401" s="67"/>
      <c r="V401" s="38">
        <v>44958</v>
      </c>
      <c r="W401" s="39">
        <v>2.8209</v>
      </c>
      <c r="X401" s="39">
        <v>3.1398999999999999</v>
      </c>
      <c r="Y401" s="40">
        <f t="shared" si="59"/>
        <v>-0.10159559221631265</v>
      </c>
      <c r="Z401" s="67"/>
      <c r="AA401" s="71">
        <v>44958</v>
      </c>
      <c r="AB401" s="99">
        <v>1836.7</v>
      </c>
      <c r="AC401" s="99">
        <v>1935.1</v>
      </c>
      <c r="AD401" s="73">
        <f t="shared" si="60"/>
        <v>-5.0850085266911149E-2</v>
      </c>
      <c r="AE401" s="67"/>
      <c r="AF401" s="71">
        <v>44958</v>
      </c>
      <c r="AG401" s="72">
        <v>104.87</v>
      </c>
      <c r="AH401" s="72">
        <v>102.09</v>
      </c>
      <c r="AI401" s="73">
        <f t="shared" si="61"/>
        <v>2.7230874718385811E-2</v>
      </c>
      <c r="AJ401" s="67"/>
      <c r="AK401" s="74">
        <v>44985</v>
      </c>
      <c r="AL401" s="41">
        <v>3.9199999999999999E-2</v>
      </c>
      <c r="AM401" s="41">
        <f t="shared" si="63"/>
        <v>3.9999999999999966E-3</v>
      </c>
      <c r="AN401" s="67"/>
      <c r="AO401" s="75">
        <v>44958</v>
      </c>
      <c r="AP401" s="76">
        <v>371579</v>
      </c>
      <c r="AQ401" s="80">
        <f t="shared" si="43"/>
        <v>-6.7280398463598345E-7</v>
      </c>
      <c r="AR401" s="67"/>
      <c r="AS401" s="94">
        <v>44958</v>
      </c>
      <c r="AT401" s="78">
        <v>0.86525000000000007</v>
      </c>
      <c r="AU401" s="67"/>
      <c r="AV401" s="79">
        <v>44958</v>
      </c>
      <c r="AW401" s="76">
        <v>471438.25</v>
      </c>
      <c r="AX401" s="80">
        <f t="shared" si="44"/>
        <v>5.4165842118267582E-2</v>
      </c>
      <c r="AY401" s="67"/>
      <c r="AZ401" s="81">
        <v>44958</v>
      </c>
      <c r="BA401" s="82">
        <v>120.99437713623047</v>
      </c>
      <c r="BB401" s="82">
        <v>147.05015563964844</v>
      </c>
      <c r="BC401" s="67"/>
      <c r="BD401" s="83">
        <v>44972</v>
      </c>
      <c r="BE401" s="42">
        <v>12621</v>
      </c>
      <c r="BF401" s="41">
        <f t="shared" si="45"/>
        <v>-1.5031645569619778E-3</v>
      </c>
      <c r="BG401" s="67"/>
      <c r="BH401" s="84">
        <v>44958</v>
      </c>
      <c r="BI401" s="85">
        <v>100.6416</v>
      </c>
      <c r="BJ401" s="87">
        <f t="shared" si="46"/>
        <v>1.3591363613749685E-3</v>
      </c>
      <c r="BK401" s="67"/>
      <c r="BL401" s="84">
        <v>44958</v>
      </c>
      <c r="BM401" s="86">
        <v>-94.76397</v>
      </c>
      <c r="BN401" s="67"/>
      <c r="BO401" s="88">
        <v>44958</v>
      </c>
      <c r="BP401" s="89">
        <v>4.0739999999999998</v>
      </c>
      <c r="BQ401" s="89">
        <v>4.218</v>
      </c>
      <c r="BR401" s="90">
        <f t="shared" si="37"/>
        <v>-3.4139402560455223E-2</v>
      </c>
    </row>
    <row r="402" spans="1:70">
      <c r="A402" s="62">
        <v>44986</v>
      </c>
      <c r="B402" s="63">
        <v>44986</v>
      </c>
      <c r="C402" s="39">
        <v>75.67</v>
      </c>
      <c r="D402" s="64">
        <v>76.849999999999994</v>
      </c>
      <c r="E402" s="40">
        <f t="shared" si="57"/>
        <v>-1.5354586857514563E-2</v>
      </c>
      <c r="F402" s="65"/>
      <c r="G402" s="63">
        <v>44986</v>
      </c>
      <c r="H402" s="39">
        <v>18.7</v>
      </c>
      <c r="I402" s="39">
        <v>20.39</v>
      </c>
      <c r="J402" s="40">
        <f t="shared" si="62"/>
        <v>-8.2883766552231508E-2</v>
      </c>
      <c r="K402" s="67"/>
      <c r="L402" s="68">
        <v>44986</v>
      </c>
      <c r="M402" s="98">
        <v>4109.3100000000004</v>
      </c>
      <c r="N402" s="98">
        <v>3963.34</v>
      </c>
      <c r="O402" s="70">
        <f t="shared" si="58"/>
        <v>3.6830047384276865E-2</v>
      </c>
      <c r="P402" s="67"/>
      <c r="Q402" s="38">
        <v>44986</v>
      </c>
      <c r="R402" s="39">
        <v>2.2160000000000002</v>
      </c>
      <c r="S402" s="39">
        <v>2.7690000000000001</v>
      </c>
      <c r="T402" s="40">
        <f t="shared" si="49"/>
        <v>-0.19971108703503071</v>
      </c>
      <c r="U402" s="67"/>
      <c r="V402" s="38">
        <v>44986</v>
      </c>
      <c r="W402" s="39">
        <v>2.6762999999999999</v>
      </c>
      <c r="X402" s="39">
        <v>2.7982</v>
      </c>
      <c r="Y402" s="40">
        <f t="shared" si="59"/>
        <v>-4.3563719533986189E-2</v>
      </c>
      <c r="Z402" s="67"/>
      <c r="AA402" s="71">
        <v>44986</v>
      </c>
      <c r="AB402" s="99">
        <v>1988.5</v>
      </c>
      <c r="AC402" s="99">
        <v>1834</v>
      </c>
      <c r="AD402" s="73">
        <f t="shared" si="60"/>
        <v>8.4242093784078431E-2</v>
      </c>
      <c r="AE402" s="67"/>
      <c r="AF402" s="71">
        <v>44986</v>
      </c>
      <c r="AG402" s="72">
        <v>102.51</v>
      </c>
      <c r="AH402" s="72">
        <v>105.04</v>
      </c>
      <c r="AI402" s="73">
        <f t="shared" si="61"/>
        <v>-2.4086062452399082E-2</v>
      </c>
      <c r="AJ402" s="67"/>
      <c r="AK402" s="74">
        <v>45016</v>
      </c>
      <c r="AL402" s="41">
        <v>3.4799999999999998E-2</v>
      </c>
      <c r="AM402" s="41">
        <f t="shared" si="63"/>
        <v>-4.4000000000000011E-3</v>
      </c>
      <c r="AN402" s="67"/>
      <c r="AO402" s="75">
        <v>44986</v>
      </c>
      <c r="AP402" s="76">
        <v>371498.2</v>
      </c>
      <c r="AQ402" s="80">
        <f t="shared" si="43"/>
        <v>-2.1745039412879308E-4</v>
      </c>
      <c r="AR402" s="67"/>
      <c r="AS402" s="94">
        <v>44986</v>
      </c>
      <c r="AT402" s="78">
        <v>0.88540000000000008</v>
      </c>
      <c r="AU402" s="67"/>
      <c r="AV402" s="79">
        <v>44986</v>
      </c>
      <c r="AW402" s="76">
        <v>476679.8</v>
      </c>
      <c r="AX402" s="80">
        <f t="shared" si="44"/>
        <v>1.1118211133695599E-2</v>
      </c>
      <c r="AY402" s="67"/>
      <c r="AZ402" s="81">
        <v>44986</v>
      </c>
      <c r="BA402" s="82">
        <v>105.37997436523438</v>
      </c>
      <c r="BB402" s="82">
        <v>125.08584594726563</v>
      </c>
      <c r="BC402" s="67"/>
      <c r="BD402" s="83">
        <v>45000</v>
      </c>
      <c r="BE402" s="42">
        <v>12867</v>
      </c>
      <c r="BF402" s="41">
        <f t="shared" si="45"/>
        <v>1.9491323983836573E-2</v>
      </c>
      <c r="BG402" s="67"/>
      <c r="BH402" s="84">
        <v>44986</v>
      </c>
      <c r="BI402" s="85">
        <v>101.0205</v>
      </c>
      <c r="BJ402" s="87">
        <f t="shared" si="46"/>
        <v>3.7648447560452158E-3</v>
      </c>
      <c r="BK402" s="67"/>
      <c r="BL402" s="84">
        <v>44986</v>
      </c>
      <c r="BM402" s="86">
        <v>-18.505593000000001</v>
      </c>
      <c r="BN402" s="67"/>
      <c r="BO402" s="88">
        <v>44986</v>
      </c>
      <c r="BP402" s="89">
        <v>4.0945</v>
      </c>
      <c r="BQ402" s="89">
        <v>4.0744999999999996</v>
      </c>
      <c r="BR402" s="90">
        <f t="shared" si="37"/>
        <v>4.9085777396000729E-3</v>
      </c>
    </row>
    <row r="403" spans="1:70">
      <c r="A403" s="62">
        <v>45017</v>
      </c>
      <c r="B403" s="63">
        <v>45017</v>
      </c>
      <c r="C403" s="39">
        <v>76.78</v>
      </c>
      <c r="D403" s="64">
        <v>80.27</v>
      </c>
      <c r="E403" s="40">
        <f t="shared" si="57"/>
        <v>-4.3478260869565188E-2</v>
      </c>
      <c r="F403" s="65"/>
      <c r="G403" s="63">
        <v>45017</v>
      </c>
      <c r="H403" s="39">
        <v>15.78</v>
      </c>
      <c r="I403" s="39">
        <v>19.79</v>
      </c>
      <c r="J403" s="40">
        <f t="shared" si="62"/>
        <v>-0.20262758969176353</v>
      </c>
      <c r="K403" s="67"/>
      <c r="L403" s="68">
        <v>45017</v>
      </c>
      <c r="M403" s="98">
        <v>4169.4799999999996</v>
      </c>
      <c r="N403" s="98">
        <v>4102.2</v>
      </c>
      <c r="O403" s="70">
        <f t="shared" si="58"/>
        <v>1.6400955584808141E-2</v>
      </c>
      <c r="P403" s="67"/>
      <c r="Q403" s="38">
        <v>45017</v>
      </c>
      <c r="R403" s="39">
        <v>2.41</v>
      </c>
      <c r="S403" s="39">
        <v>2.085</v>
      </c>
      <c r="T403" s="40">
        <f t="shared" si="49"/>
        <v>0.15587529976019199</v>
      </c>
      <c r="U403" s="67"/>
      <c r="V403" s="38">
        <v>45017</v>
      </c>
      <c r="W403" s="39">
        <v>2.3786999999999998</v>
      </c>
      <c r="X403" s="39">
        <v>2.7591000000000001</v>
      </c>
      <c r="Y403" s="40">
        <f t="shared" si="59"/>
        <v>-0.1378710449059477</v>
      </c>
      <c r="Z403" s="67"/>
      <c r="AA403" s="71">
        <v>45017</v>
      </c>
      <c r="AB403" s="99">
        <v>1999</v>
      </c>
      <c r="AC403" s="99">
        <v>1982.6</v>
      </c>
      <c r="AD403" s="73">
        <f t="shared" si="60"/>
        <v>8.2719661051144922E-3</v>
      </c>
      <c r="AE403" s="67"/>
      <c r="AF403" s="71">
        <v>45017</v>
      </c>
      <c r="AG403" s="72">
        <v>101.66</v>
      </c>
      <c r="AH403" s="72">
        <v>102.59</v>
      </c>
      <c r="AI403" s="73">
        <f t="shared" si="61"/>
        <v>-9.0652110342139824E-3</v>
      </c>
      <c r="AJ403" s="67"/>
      <c r="AK403" s="74">
        <v>45046</v>
      </c>
      <c r="AL403" s="41">
        <v>3.44E-2</v>
      </c>
      <c r="AM403" s="41">
        <f t="shared" si="63"/>
        <v>-3.9999999999999758E-4</v>
      </c>
      <c r="AN403" s="67"/>
      <c r="AO403" s="75">
        <v>45017</v>
      </c>
      <c r="AP403" s="76">
        <v>367354.5</v>
      </c>
      <c r="AQ403" s="80">
        <f t="shared" si="43"/>
        <v>-1.1154024434035015E-2</v>
      </c>
      <c r="AR403" s="67"/>
      <c r="AS403" s="94">
        <v>45017</v>
      </c>
      <c r="AT403" s="78">
        <v>0.90575000000000006</v>
      </c>
      <c r="AU403" s="67"/>
      <c r="AV403" s="79">
        <v>45017</v>
      </c>
      <c r="AW403" s="76">
        <v>464266</v>
      </c>
      <c r="AX403" s="80">
        <f t="shared" si="44"/>
        <v>-2.6042219536049127E-2</v>
      </c>
      <c r="AY403" s="67"/>
      <c r="AZ403" s="81">
        <v>45017</v>
      </c>
      <c r="BA403" s="82">
        <v>106.80965423583984</v>
      </c>
      <c r="BB403" s="82">
        <v>118.16682434082031</v>
      </c>
      <c r="BC403" s="67"/>
      <c r="BD403" s="83">
        <v>45031</v>
      </c>
      <c r="BE403" s="42">
        <v>12734</v>
      </c>
      <c r="BF403" s="41">
        <f t="shared" si="45"/>
        <v>-1.0336519779280295E-2</v>
      </c>
      <c r="BG403" s="67"/>
      <c r="BH403" s="84">
        <v>45017</v>
      </c>
      <c r="BI403" s="85">
        <v>101.253</v>
      </c>
      <c r="BJ403" s="87">
        <f t="shared" si="46"/>
        <v>2.3015130592305422E-3</v>
      </c>
      <c r="BK403" s="67"/>
      <c r="BL403" s="84">
        <v>45017</v>
      </c>
      <c r="BM403" s="86">
        <v>-13.831685999999999</v>
      </c>
      <c r="BN403" s="67"/>
      <c r="BO403" s="88">
        <v>45017</v>
      </c>
      <c r="BP403" s="89">
        <v>3.8812000000000002</v>
      </c>
      <c r="BQ403" s="89">
        <v>4.0842000000000001</v>
      </c>
      <c r="BR403" s="90">
        <f t="shared" si="37"/>
        <v>-4.9703736349835936E-2</v>
      </c>
    </row>
    <row r="404" spans="1:70">
      <c r="A404" s="62">
        <v>45047</v>
      </c>
      <c r="B404" s="63">
        <v>45047</v>
      </c>
      <c r="C404" s="39">
        <v>68.09</v>
      </c>
      <c r="D404" s="64">
        <v>76.13</v>
      </c>
      <c r="E404" s="40">
        <f t="shared" si="57"/>
        <v>-0.10560882700643626</v>
      </c>
      <c r="F404" s="65"/>
      <c r="G404" s="63">
        <v>45047</v>
      </c>
      <c r="H404" s="39">
        <v>17.940000000000001</v>
      </c>
      <c r="I404" s="39">
        <v>16.41</v>
      </c>
      <c r="J404" s="40">
        <f t="shared" si="62"/>
        <v>9.323583180987205E-2</v>
      </c>
      <c r="K404" s="67"/>
      <c r="L404" s="68">
        <v>45047</v>
      </c>
      <c r="M404" s="98">
        <v>4179.83</v>
      </c>
      <c r="N404" s="98">
        <v>4166.79</v>
      </c>
      <c r="O404" s="70">
        <f t="shared" si="58"/>
        <v>3.1295073665820183E-3</v>
      </c>
      <c r="P404" s="67"/>
      <c r="Q404" s="38">
        <v>45047</v>
      </c>
      <c r="R404" s="39">
        <v>2.266</v>
      </c>
      <c r="S404" s="39">
        <v>2.3980000000000001</v>
      </c>
      <c r="T404" s="40">
        <f t="shared" si="49"/>
        <v>-5.5045871559633031E-2</v>
      </c>
      <c r="U404" s="67"/>
      <c r="V404" s="38">
        <v>45047</v>
      </c>
      <c r="W404" s="39">
        <v>2.2370999999999999</v>
      </c>
      <c r="X404" s="39">
        <v>2.3559999999999999</v>
      </c>
      <c r="Y404" s="40">
        <f t="shared" si="59"/>
        <v>-5.0466893039049276E-2</v>
      </c>
      <c r="Z404" s="67"/>
      <c r="AA404" s="71">
        <v>45047</v>
      </c>
      <c r="AB404" s="99">
        <v>1973.1</v>
      </c>
      <c r="AC404" s="99">
        <v>2000.2</v>
      </c>
      <c r="AD404" s="73">
        <f t="shared" si="60"/>
        <v>-1.3548645135486481E-2</v>
      </c>
      <c r="AE404" s="67"/>
      <c r="AF404" s="71">
        <v>45047</v>
      </c>
      <c r="AG404" s="72">
        <v>104.33</v>
      </c>
      <c r="AH404" s="72">
        <v>101.67</v>
      </c>
      <c r="AI404" s="73">
        <f t="shared" si="61"/>
        <v>2.6163076620438597E-2</v>
      </c>
      <c r="AJ404" s="67"/>
      <c r="AK404" s="74">
        <v>45077</v>
      </c>
      <c r="AL404" s="41">
        <v>3.6400000000000002E-2</v>
      </c>
      <c r="AM404" s="41">
        <f t="shared" si="63"/>
        <v>2.0000000000000018E-3</v>
      </c>
      <c r="AN404" s="67"/>
      <c r="AO404" s="92">
        <v>45047</v>
      </c>
      <c r="AP404" s="76">
        <v>358747.5</v>
      </c>
      <c r="AQ404" s="80">
        <f t="shared" si="43"/>
        <v>-2.3429684405662621E-2</v>
      </c>
      <c r="AR404" s="67"/>
      <c r="AS404" s="97">
        <v>45047</v>
      </c>
      <c r="AT404" s="78">
        <v>0.91949999999999998</v>
      </c>
      <c r="AU404" s="67"/>
      <c r="AV404" s="93">
        <v>45047</v>
      </c>
      <c r="AW404" s="76">
        <v>461258.25</v>
      </c>
      <c r="AX404" s="80">
        <f t="shared" si="44"/>
        <v>-6.4785058565564047E-3</v>
      </c>
      <c r="AY404" s="67"/>
      <c r="AZ404" s="81">
        <v>45047</v>
      </c>
      <c r="BA404" s="82">
        <v>108.46768188476563</v>
      </c>
      <c r="BB404" s="82">
        <v>122.47150421142578</v>
      </c>
      <c r="BC404" s="67"/>
      <c r="BD404" s="83">
        <v>45061</v>
      </c>
      <c r="BE404" s="42">
        <v>12732</v>
      </c>
      <c r="BF404" s="41">
        <f t="shared" si="45"/>
        <v>-1.5705983979896754E-4</v>
      </c>
      <c r="BG404" s="67"/>
      <c r="BH404" s="84">
        <v>45047</v>
      </c>
      <c r="BI404" s="85">
        <v>100.9286</v>
      </c>
      <c r="BJ404" s="87">
        <f t="shared" si="46"/>
        <v>-3.2038556882264535E-3</v>
      </c>
      <c r="BK404" s="67"/>
      <c r="BL404" s="84">
        <v>45047</v>
      </c>
      <c r="BM404" s="86">
        <v>-18.246265000000001</v>
      </c>
      <c r="BN404" s="67"/>
      <c r="BO404" s="88">
        <v>45047</v>
      </c>
      <c r="BP404" s="89">
        <v>3.637</v>
      </c>
      <c r="BQ404" s="89">
        <v>3.8815</v>
      </c>
      <c r="BR404" s="90">
        <f t="shared" si="37"/>
        <v>-6.2991111683627476E-2</v>
      </c>
    </row>
    <row r="405" spans="1:70">
      <c r="A405" s="62">
        <v>45078</v>
      </c>
      <c r="B405" s="63">
        <v>45078</v>
      </c>
      <c r="C405" s="39">
        <v>70.64</v>
      </c>
      <c r="D405" s="64">
        <v>67.599999999999994</v>
      </c>
      <c r="E405" s="40">
        <f t="shared" si="57"/>
        <v>4.4970414201183528E-2</v>
      </c>
      <c r="F405" s="65"/>
      <c r="G405" s="63">
        <v>45078</v>
      </c>
      <c r="H405" s="39">
        <v>13.59</v>
      </c>
      <c r="I405" s="39">
        <v>17.239999999999998</v>
      </c>
      <c r="J405" s="40">
        <f t="shared" si="62"/>
        <v>-0.21171693735498831</v>
      </c>
      <c r="K405" s="67"/>
      <c r="L405" s="68">
        <v>45078</v>
      </c>
      <c r="M405" s="98">
        <v>4450.38</v>
      </c>
      <c r="N405" s="98">
        <v>4183.03</v>
      </c>
      <c r="O405" s="70">
        <f t="shared" si="58"/>
        <v>6.3913000863010883E-2</v>
      </c>
      <c r="P405" s="67"/>
      <c r="Q405" s="38">
        <v>45078</v>
      </c>
      <c r="R405" s="39">
        <v>2.798</v>
      </c>
      <c r="S405" s="39">
        <v>2.2549999999999999</v>
      </c>
      <c r="T405" s="40">
        <f t="shared" si="49"/>
        <v>0.24079822616407998</v>
      </c>
      <c r="U405" s="67"/>
      <c r="V405" s="38">
        <v>45078</v>
      </c>
      <c r="W405" s="39">
        <v>2.4481999999999999</v>
      </c>
      <c r="X405" s="39">
        <v>2.2400000000000002</v>
      </c>
      <c r="Y405" s="40">
        <f t="shared" si="59"/>
        <v>9.2946428571428541E-2</v>
      </c>
      <c r="Z405" s="67"/>
      <c r="AA405" s="71">
        <v>45078</v>
      </c>
      <c r="AB405" s="99">
        <v>1917.9</v>
      </c>
      <c r="AC405" s="99">
        <v>1972.3</v>
      </c>
      <c r="AD405" s="73">
        <f t="shared" si="60"/>
        <v>-2.7582010850276228E-2</v>
      </c>
      <c r="AE405" s="67"/>
      <c r="AF405" s="71">
        <v>45078</v>
      </c>
      <c r="AG405" s="72">
        <v>102.91</v>
      </c>
      <c r="AH405" s="72">
        <v>104.15</v>
      </c>
      <c r="AI405" s="73">
        <f t="shared" si="61"/>
        <v>-1.1905904944791268E-2</v>
      </c>
      <c r="AJ405" s="67"/>
      <c r="AK405" s="74">
        <v>45107</v>
      </c>
      <c r="AL405" s="41">
        <v>3.8100000000000002E-2</v>
      </c>
      <c r="AM405" s="41">
        <f t="shared" si="63"/>
        <v>1.7000000000000001E-3</v>
      </c>
      <c r="AN405" s="67"/>
      <c r="AO405" s="75">
        <v>45078</v>
      </c>
      <c r="AP405" s="76">
        <v>350200</v>
      </c>
      <c r="AQ405" s="80">
        <f t="shared" si="43"/>
        <v>-2.3825950006620245E-2</v>
      </c>
      <c r="AR405" s="67"/>
      <c r="AS405" s="94">
        <v>45078</v>
      </c>
      <c r="AT405" s="78">
        <v>0.93180000000000007</v>
      </c>
      <c r="AU405" s="67"/>
      <c r="AV405" s="79">
        <v>45078</v>
      </c>
      <c r="AW405" s="76">
        <v>459098.8</v>
      </c>
      <c r="AX405" s="80">
        <f t="shared" si="44"/>
        <v>-4.6816506805027469E-3</v>
      </c>
      <c r="AY405" s="67"/>
      <c r="AZ405" s="81">
        <v>45078</v>
      </c>
      <c r="BA405" s="82">
        <v>110.52894592285156</v>
      </c>
      <c r="BB405" s="82">
        <v>129.40652465820313</v>
      </c>
      <c r="BC405" s="67"/>
      <c r="BD405" s="83">
        <v>45092</v>
      </c>
      <c r="BE405" s="42">
        <v>12787</v>
      </c>
      <c r="BF405" s="41">
        <f t="shared" si="45"/>
        <v>4.3198240653472553E-3</v>
      </c>
      <c r="BG405" s="67"/>
      <c r="BH405" s="84">
        <v>45078</v>
      </c>
      <c r="BI405" s="85">
        <v>100.11960000000001</v>
      </c>
      <c r="BJ405" s="87">
        <f t="shared" si="46"/>
        <v>-8.0155674407451638E-3</v>
      </c>
      <c r="BK405" s="67"/>
      <c r="BL405" s="84">
        <v>45078</v>
      </c>
      <c r="BM405" s="86">
        <v>-45.205302000000003</v>
      </c>
      <c r="BN405" s="67"/>
      <c r="BO405" s="88">
        <v>45078</v>
      </c>
      <c r="BP405" s="89">
        <v>3.7595000000000001</v>
      </c>
      <c r="BQ405" s="89">
        <v>3.6819999999999999</v>
      </c>
      <c r="BR405" s="90">
        <f t="shared" si="37"/>
        <v>2.1048343291689253E-2</v>
      </c>
    </row>
    <row r="406" spans="1:70">
      <c r="A406" s="62">
        <v>45108</v>
      </c>
      <c r="B406" s="63">
        <v>45108</v>
      </c>
      <c r="C406" s="39">
        <v>81.8</v>
      </c>
      <c r="D406" s="64">
        <v>70.459999999999994</v>
      </c>
      <c r="E406" s="40">
        <f t="shared" si="57"/>
        <v>0.16094237865455585</v>
      </c>
      <c r="F406" s="65"/>
      <c r="G406" s="63">
        <v>45108</v>
      </c>
      <c r="H406" s="39">
        <v>13.63</v>
      </c>
      <c r="I406" s="39">
        <v>13.85</v>
      </c>
      <c r="J406" s="40">
        <f t="shared" si="62"/>
        <v>-1.5884476534295922E-2</v>
      </c>
      <c r="K406" s="67"/>
      <c r="L406" s="68">
        <v>45108</v>
      </c>
      <c r="M406" s="98">
        <v>4588.96</v>
      </c>
      <c r="N406" s="98">
        <v>4450.4799999999996</v>
      </c>
      <c r="O406" s="70">
        <f t="shared" si="58"/>
        <v>3.1115744818536628E-2</v>
      </c>
      <c r="P406" s="67"/>
      <c r="Q406" s="38">
        <v>45108</v>
      </c>
      <c r="R406" s="39">
        <v>2.6339999999999999</v>
      </c>
      <c r="S406" s="39">
        <v>2.7290000000000001</v>
      </c>
      <c r="T406" s="40">
        <f t="shared" si="49"/>
        <v>-3.4811286185415957E-2</v>
      </c>
      <c r="U406" s="67"/>
      <c r="V406" s="38">
        <v>45108</v>
      </c>
      <c r="W406" s="39">
        <v>2.9908999999999999</v>
      </c>
      <c r="X406" s="39">
        <v>2.4365999999999999</v>
      </c>
      <c r="Y406" s="40">
        <f t="shared" si="59"/>
        <v>0.22748912418944434</v>
      </c>
      <c r="Z406" s="67"/>
      <c r="AA406" s="71">
        <v>45108</v>
      </c>
      <c r="AB406" s="99">
        <v>1979.6</v>
      </c>
      <c r="AC406" s="99">
        <v>1927.8</v>
      </c>
      <c r="AD406" s="73">
        <f t="shared" si="60"/>
        <v>2.6870007262164153E-2</v>
      </c>
      <c r="AE406" s="67"/>
      <c r="AF406" s="71">
        <v>45108</v>
      </c>
      <c r="AG406" s="72">
        <v>101.86</v>
      </c>
      <c r="AH406" s="72">
        <v>102.93</v>
      </c>
      <c r="AI406" s="73">
        <f t="shared" si="61"/>
        <v>-1.0395414359273381E-2</v>
      </c>
      <c r="AJ406" s="67"/>
      <c r="AK406" s="74">
        <v>45138</v>
      </c>
      <c r="AL406" s="41">
        <v>3.9699999999999999E-2</v>
      </c>
      <c r="AM406" s="41">
        <f t="shared" si="63"/>
        <v>1.5999999999999973E-3</v>
      </c>
      <c r="AN406" s="67"/>
      <c r="AO406" s="75">
        <v>45108</v>
      </c>
      <c r="AP406" s="76">
        <v>346758.75</v>
      </c>
      <c r="AQ406" s="80">
        <f t="shared" si="43"/>
        <v>-9.826527698458043E-3</v>
      </c>
      <c r="AR406" s="67"/>
      <c r="AS406" s="94">
        <v>45108</v>
      </c>
      <c r="AT406" s="78">
        <v>0.93525000000000003</v>
      </c>
      <c r="AU406" s="67"/>
      <c r="AV406" s="79">
        <v>45108</v>
      </c>
      <c r="AW406" s="76">
        <v>453034.75</v>
      </c>
      <c r="AX406" s="80">
        <f t="shared" si="44"/>
        <v>-1.3208594751282221E-2</v>
      </c>
      <c r="AY406" s="67"/>
      <c r="AZ406" s="81">
        <v>45108</v>
      </c>
      <c r="BA406" s="82">
        <v>107.44878387451172</v>
      </c>
      <c r="BB406" s="82">
        <v>123.80915069580078</v>
      </c>
      <c r="BC406" s="67"/>
      <c r="BD406" s="83">
        <v>45122</v>
      </c>
      <c r="BE406" s="42">
        <v>12912</v>
      </c>
      <c r="BF406" s="41">
        <f t="shared" si="45"/>
        <v>9.7755532963166303E-3</v>
      </c>
      <c r="BG406" s="67"/>
      <c r="BH406" s="84">
        <v>45108</v>
      </c>
      <c r="BI406" s="85">
        <v>100.9067</v>
      </c>
      <c r="BJ406" s="87">
        <f t="shared" si="46"/>
        <v>7.8615975293547802E-3</v>
      </c>
      <c r="BK406" s="67"/>
      <c r="BL406" s="84">
        <v>45108</v>
      </c>
      <c r="BM406" s="86">
        <v>-49.192504</v>
      </c>
      <c r="BN406" s="67"/>
      <c r="BO406" s="88">
        <v>45108</v>
      </c>
      <c r="BP406" s="89">
        <v>4.008</v>
      </c>
      <c r="BQ406" s="89">
        <v>3.7654999999999998</v>
      </c>
      <c r="BR406" s="90">
        <f t="shared" si="37"/>
        <v>6.4400478024166929E-2</v>
      </c>
    </row>
    <row r="407" spans="1:70">
      <c r="A407" s="62">
        <v>45139</v>
      </c>
      <c r="B407" s="63">
        <v>45139</v>
      </c>
      <c r="C407" s="39">
        <v>83.63</v>
      </c>
      <c r="D407" s="64">
        <v>81.64</v>
      </c>
      <c r="E407" s="40">
        <f t="shared" si="57"/>
        <v>2.4375306222439885E-2</v>
      </c>
      <c r="F407" s="65"/>
      <c r="G407" s="63">
        <v>45139</v>
      </c>
      <c r="H407" s="39">
        <v>13.57</v>
      </c>
      <c r="I407" s="39">
        <v>13.75</v>
      </c>
      <c r="J407" s="40">
        <f t="shared" si="62"/>
        <v>-1.3090909090909042E-2</v>
      </c>
      <c r="K407" s="67"/>
      <c r="L407" s="68">
        <v>45139</v>
      </c>
      <c r="M407" s="98">
        <v>4507.66</v>
      </c>
      <c r="N407" s="98">
        <v>4578.83</v>
      </c>
      <c r="O407" s="70">
        <f t="shared" si="58"/>
        <v>-1.5543271971224071E-2</v>
      </c>
      <c r="P407" s="67"/>
      <c r="Q407" s="38">
        <v>45139</v>
      </c>
      <c r="R407" s="39">
        <v>2.7679999999999998</v>
      </c>
      <c r="S407" s="39">
        <v>2.6440000000000001</v>
      </c>
      <c r="T407" s="40">
        <f t="shared" si="49"/>
        <v>4.6898638426626116E-2</v>
      </c>
      <c r="U407" s="67"/>
      <c r="V407" s="38">
        <v>45139</v>
      </c>
      <c r="W407" s="39">
        <v>3.1425999999999998</v>
      </c>
      <c r="X407" s="39">
        <v>2.9964</v>
      </c>
      <c r="Y407" s="40">
        <f t="shared" si="59"/>
        <v>4.8791883593645613E-2</v>
      </c>
      <c r="Z407" s="67"/>
      <c r="AA407" s="71">
        <v>45139</v>
      </c>
      <c r="AB407" s="99">
        <v>1947</v>
      </c>
      <c r="AC407" s="99">
        <v>1974.3</v>
      </c>
      <c r="AD407" s="73">
        <f t="shared" si="60"/>
        <v>-1.3827685762042186E-2</v>
      </c>
      <c r="AE407" s="67"/>
      <c r="AF407" s="71">
        <v>45139</v>
      </c>
      <c r="AG407" s="72">
        <v>103.62</v>
      </c>
      <c r="AH407" s="72">
        <v>101.87</v>
      </c>
      <c r="AI407" s="73">
        <f t="shared" si="61"/>
        <v>1.7178757239619147E-2</v>
      </c>
      <c r="AJ407" s="67"/>
      <c r="AK407" s="74">
        <v>45169</v>
      </c>
      <c r="AL407" s="41">
        <v>4.0899999999999999E-2</v>
      </c>
      <c r="AM407" s="41">
        <f t="shared" si="63"/>
        <v>1.1999999999999997E-3</v>
      </c>
      <c r="AN407" s="67"/>
      <c r="AO407" s="75">
        <v>45139</v>
      </c>
      <c r="AP407" s="76">
        <v>348649.5</v>
      </c>
      <c r="AQ407" s="80">
        <f t="shared" si="43"/>
        <v>5.4526381814445912E-3</v>
      </c>
      <c r="AR407" s="67"/>
      <c r="AS407" s="94">
        <v>45139</v>
      </c>
      <c r="AT407" s="78">
        <v>0.94074999999999998</v>
      </c>
      <c r="AU407" s="67"/>
      <c r="AV407" s="79">
        <v>45139</v>
      </c>
      <c r="AW407" s="76">
        <v>435439</v>
      </c>
      <c r="AX407" s="80">
        <f t="shared" si="44"/>
        <v>-3.8839735803931186E-2</v>
      </c>
      <c r="AY407" s="67"/>
      <c r="AZ407" s="81">
        <v>45139</v>
      </c>
      <c r="BA407" s="82">
        <v>101.14118194580078</v>
      </c>
      <c r="BB407" s="82">
        <v>117.60943603515625</v>
      </c>
      <c r="BC407" s="67"/>
      <c r="BD407" s="83">
        <v>45153</v>
      </c>
      <c r="BE407" s="42">
        <v>12999</v>
      </c>
      <c r="BF407" s="41">
        <f t="shared" si="45"/>
        <v>6.7379182156133144E-3</v>
      </c>
      <c r="BG407" s="67"/>
      <c r="BH407" s="84">
        <v>45139</v>
      </c>
      <c r="BI407" s="85">
        <v>100.83929999999999</v>
      </c>
      <c r="BJ407" s="87">
        <f t="shared" si="46"/>
        <v>-6.6794375398271377E-4</v>
      </c>
      <c r="BK407" s="67"/>
      <c r="BL407" s="84">
        <v>45139</v>
      </c>
      <c r="BM407" s="86">
        <v>-39.453417999999999</v>
      </c>
      <c r="BN407" s="67"/>
      <c r="BO407" s="88">
        <v>45139</v>
      </c>
      <c r="BP407" s="89">
        <v>3.8220000000000001</v>
      </c>
      <c r="BQ407" s="89">
        <v>4.0250000000000004</v>
      </c>
      <c r="BR407" s="90">
        <f t="shared" si="37"/>
        <v>-5.0434782608695716E-2</v>
      </c>
    </row>
    <row r="408" spans="1:70">
      <c r="A408" s="62">
        <v>45170</v>
      </c>
      <c r="B408" s="63">
        <v>45170</v>
      </c>
      <c r="C408" s="39">
        <v>90.79</v>
      </c>
      <c r="D408" s="64">
        <v>83.63</v>
      </c>
      <c r="E408" s="40">
        <f t="shared" si="57"/>
        <v>8.5615209852923702E-2</v>
      </c>
      <c r="F408" s="65"/>
      <c r="G408" s="63">
        <v>45170</v>
      </c>
      <c r="H408" s="39">
        <v>17.52</v>
      </c>
      <c r="I408" s="39">
        <v>13.56</v>
      </c>
      <c r="J408" s="40">
        <f t="shared" si="62"/>
        <v>0.29203539823008851</v>
      </c>
      <c r="K408" s="67"/>
      <c r="L408" s="68">
        <v>45170</v>
      </c>
      <c r="M408" s="98">
        <v>4288.05</v>
      </c>
      <c r="N408" s="98">
        <v>4530.6000000000004</v>
      </c>
      <c r="O408" s="70">
        <f t="shared" si="58"/>
        <v>-5.35359555025825E-2</v>
      </c>
      <c r="P408" s="67"/>
      <c r="Q408" s="38">
        <v>45170</v>
      </c>
      <c r="R408" s="39">
        <v>2.9289999999999998</v>
      </c>
      <c r="S408" s="39">
        <v>2.7650000000000001</v>
      </c>
      <c r="T408" s="40">
        <f t="shared" si="49"/>
        <v>5.9312839059674438E-2</v>
      </c>
      <c r="U408" s="67"/>
      <c r="V408" s="38">
        <v>45170</v>
      </c>
      <c r="W408" s="39">
        <v>3.3622000000000001</v>
      </c>
      <c r="X408" s="39">
        <v>3.1164999999999998</v>
      </c>
      <c r="Y408" s="40">
        <f t="shared" si="59"/>
        <v>7.8838440558318679E-2</v>
      </c>
      <c r="Z408" s="67"/>
      <c r="AA408" s="71">
        <v>45170</v>
      </c>
      <c r="AB408" s="99">
        <v>1869.5</v>
      </c>
      <c r="AC408" s="99">
        <v>1947.9</v>
      </c>
      <c r="AD408" s="73">
        <f t="shared" si="60"/>
        <v>-4.0248472714205064E-2</v>
      </c>
      <c r="AE408" s="67"/>
      <c r="AF408" s="71">
        <v>45170</v>
      </c>
      <c r="AG408" s="72">
        <v>106.22</v>
      </c>
      <c r="AH408" s="72">
        <v>103.62</v>
      </c>
      <c r="AI408" s="73">
        <f t="shared" si="61"/>
        <v>2.5091681142636491E-2</v>
      </c>
      <c r="AJ408" s="67"/>
      <c r="AK408" s="74">
        <v>45199</v>
      </c>
      <c r="AL408" s="41">
        <v>4.5899999999999996E-2</v>
      </c>
      <c r="AM408" s="41">
        <f t="shared" si="63"/>
        <v>4.9999999999999975E-3</v>
      </c>
      <c r="AN408" s="67"/>
      <c r="AO408" s="75">
        <v>45170</v>
      </c>
      <c r="AP408" s="76">
        <v>350892</v>
      </c>
      <c r="AQ408" s="80">
        <f t="shared" si="43"/>
        <v>6.4319610382346237E-3</v>
      </c>
      <c r="AR408" s="67"/>
      <c r="AS408" s="94">
        <v>45170</v>
      </c>
      <c r="AT408" s="78">
        <v>0.91099999999999992</v>
      </c>
      <c r="AU408" s="67"/>
      <c r="AV408" s="79">
        <v>45170</v>
      </c>
      <c r="AW408" s="76">
        <v>417207</v>
      </c>
      <c r="AX408" s="80">
        <f t="shared" si="44"/>
        <v>-4.187038827482148E-2</v>
      </c>
      <c r="AY408" s="67"/>
      <c r="AZ408" s="81">
        <v>45170</v>
      </c>
      <c r="BA408" s="82">
        <v>98.634811401367188</v>
      </c>
      <c r="BB408" s="82">
        <v>125.65179443359375</v>
      </c>
      <c r="BC408" s="67"/>
      <c r="BD408" s="83">
        <v>45184</v>
      </c>
      <c r="BE408" s="42">
        <v>13178</v>
      </c>
      <c r="BF408" s="41">
        <f t="shared" si="45"/>
        <v>1.3770290022309339E-2</v>
      </c>
      <c r="BG408" s="67"/>
      <c r="BH408" s="84">
        <v>45170</v>
      </c>
      <c r="BI408" s="85">
        <v>101.0211</v>
      </c>
      <c r="BJ408" s="87">
        <f t="shared" si="46"/>
        <v>1.8028685244741993E-3</v>
      </c>
      <c r="BK408" s="67"/>
      <c r="BL408" s="84">
        <v>45170</v>
      </c>
      <c r="BM408" s="86">
        <v>-20.505607000000001</v>
      </c>
      <c r="BN408" s="67"/>
      <c r="BO408" s="88">
        <v>45170</v>
      </c>
      <c r="BP408" s="89">
        <v>3.7374999999999998</v>
      </c>
      <c r="BQ408" s="89">
        <v>3.8330000000000002</v>
      </c>
      <c r="BR408" s="90">
        <f t="shared" si="37"/>
        <v>-2.4915210018262579E-2</v>
      </c>
    </row>
    <row r="409" spans="1:70">
      <c r="A409" s="62">
        <v>45200</v>
      </c>
      <c r="B409" s="63">
        <v>45200</v>
      </c>
      <c r="C409" s="39">
        <v>81.02</v>
      </c>
      <c r="D409" s="64">
        <v>90.88</v>
      </c>
      <c r="E409" s="40">
        <f t="shared" si="57"/>
        <v>-0.10849471830985913</v>
      </c>
      <c r="F409" s="65"/>
      <c r="G409" s="63">
        <v>45200</v>
      </c>
      <c r="H409" s="39">
        <v>18.14</v>
      </c>
      <c r="I409" s="39">
        <v>17.309999999999999</v>
      </c>
      <c r="J409" s="40">
        <f t="shared" si="62"/>
        <v>4.7949162333911222E-2</v>
      </c>
      <c r="K409" s="67"/>
      <c r="L409" s="68">
        <v>45200</v>
      </c>
      <c r="M409" s="98">
        <v>4193.8</v>
      </c>
      <c r="N409" s="98">
        <v>4284.5200000000004</v>
      </c>
      <c r="O409" s="70">
        <f t="shared" si="58"/>
        <v>-2.1173900460261685E-2</v>
      </c>
      <c r="P409" s="67"/>
      <c r="Q409" s="38">
        <v>45200</v>
      </c>
      <c r="R409" s="39">
        <v>3.5750000000000002</v>
      </c>
      <c r="S409" s="39">
        <v>2.9580000000000002</v>
      </c>
      <c r="T409" s="40">
        <f t="shared" si="49"/>
        <v>0.20858688302907358</v>
      </c>
      <c r="U409" s="67"/>
      <c r="V409" s="38">
        <v>45200</v>
      </c>
      <c r="W409" s="39">
        <v>2.9910000000000001</v>
      </c>
      <c r="X409" s="39">
        <v>3.2896999999999998</v>
      </c>
      <c r="Y409" s="40">
        <f t="shared" si="59"/>
        <v>-9.0798553059549425E-2</v>
      </c>
      <c r="Z409" s="67"/>
      <c r="AA409" s="71">
        <v>45200</v>
      </c>
      <c r="AB409" s="99">
        <v>1994.3</v>
      </c>
      <c r="AC409" s="99">
        <v>1853.9</v>
      </c>
      <c r="AD409" s="73">
        <f t="shared" si="60"/>
        <v>7.5732240142402318E-2</v>
      </c>
      <c r="AE409" s="67"/>
      <c r="AF409" s="71">
        <v>45200</v>
      </c>
      <c r="AG409" s="72">
        <v>106.66</v>
      </c>
      <c r="AH409" s="72">
        <v>106.17</v>
      </c>
      <c r="AI409" s="73">
        <f t="shared" si="61"/>
        <v>4.6152397098990772E-3</v>
      </c>
      <c r="AJ409" s="67"/>
      <c r="AK409" s="74">
        <v>45230</v>
      </c>
      <c r="AL409" s="41">
        <v>4.8799999999999996E-2</v>
      </c>
      <c r="AM409" s="41">
        <f t="shared" si="63"/>
        <v>2.8999999999999998E-3</v>
      </c>
      <c r="AN409" s="67"/>
      <c r="AO409" s="75">
        <v>45200</v>
      </c>
      <c r="AP409" s="76">
        <v>351274</v>
      </c>
      <c r="AQ409" s="80">
        <f t="shared" si="43"/>
        <v>1.0886540587986548E-3</v>
      </c>
      <c r="AR409" s="67"/>
      <c r="AS409" s="94">
        <v>45200</v>
      </c>
      <c r="AT409" s="78">
        <v>0.85699999999999998</v>
      </c>
      <c r="AU409" s="67"/>
      <c r="AV409" s="79">
        <v>45200</v>
      </c>
      <c r="AW409" s="76">
        <v>421750</v>
      </c>
      <c r="AX409" s="80">
        <f t="shared" si="44"/>
        <v>1.0889079042297967E-2</v>
      </c>
      <c r="AY409" s="67"/>
      <c r="AZ409" s="81">
        <v>45200</v>
      </c>
      <c r="BA409" s="82">
        <v>197.88700866699219</v>
      </c>
      <c r="BB409" s="82">
        <v>205.04005432128906</v>
      </c>
      <c r="BC409" s="67"/>
      <c r="BD409" s="83">
        <v>45214</v>
      </c>
      <c r="BE409" s="42">
        <v>13213</v>
      </c>
      <c r="BF409" s="41">
        <f t="shared" si="45"/>
        <v>2.6559417210503256E-3</v>
      </c>
      <c r="BG409" s="67"/>
      <c r="BH409" s="84">
        <v>45200</v>
      </c>
      <c r="BI409" s="85">
        <v>100.4689</v>
      </c>
      <c r="BJ409" s="87">
        <f t="shared" si="46"/>
        <v>-5.4661847871385616E-3</v>
      </c>
      <c r="BK409" s="67"/>
      <c r="BL409" s="84">
        <v>45200</v>
      </c>
      <c r="BM409" s="86">
        <v>8.8660349000000007</v>
      </c>
      <c r="BN409" s="67"/>
      <c r="BO409" s="88">
        <v>45200</v>
      </c>
      <c r="BP409" s="89">
        <v>3.649</v>
      </c>
      <c r="BQ409" s="89">
        <v>3.754</v>
      </c>
      <c r="BR409" s="90">
        <f t="shared" si="37"/>
        <v>-2.7970165157165661E-2</v>
      </c>
    </row>
    <row r="410" spans="1:70">
      <c r="A410" s="62">
        <v>45231</v>
      </c>
      <c r="B410" s="63">
        <v>45231</v>
      </c>
      <c r="C410" s="39">
        <v>75.959999999999994</v>
      </c>
      <c r="D410" s="64">
        <v>81.31</v>
      </c>
      <c r="E410" s="40">
        <f t="shared" si="57"/>
        <v>-6.579756487516919E-2</v>
      </c>
      <c r="F410" s="65"/>
      <c r="G410" s="63">
        <v>45231</v>
      </c>
      <c r="H410" s="39">
        <v>12.92</v>
      </c>
      <c r="I410" s="39">
        <v>18.02</v>
      </c>
      <c r="J410" s="40">
        <f t="shared" si="62"/>
        <v>-0.28301886792452824</v>
      </c>
      <c r="K410" s="67"/>
      <c r="L410" s="68">
        <v>45231</v>
      </c>
      <c r="M410" s="98">
        <v>4567.8</v>
      </c>
      <c r="N410" s="98">
        <v>4201.2700000000004</v>
      </c>
      <c r="O410" s="70">
        <f t="shared" si="58"/>
        <v>8.7242667098282212E-2</v>
      </c>
      <c r="P410" s="67"/>
      <c r="Q410" s="38">
        <v>45231</v>
      </c>
      <c r="R410" s="39">
        <v>2.802</v>
      </c>
      <c r="S410" s="39">
        <v>3.6</v>
      </c>
      <c r="T410" s="40">
        <f t="shared" si="49"/>
        <v>-0.22166666666666668</v>
      </c>
      <c r="U410" s="67"/>
      <c r="V410" s="38">
        <v>45231</v>
      </c>
      <c r="W410" s="39">
        <v>2.8304999999999998</v>
      </c>
      <c r="X410" s="39">
        <v>2.9281000000000001</v>
      </c>
      <c r="Y410" s="40">
        <f t="shared" si="59"/>
        <v>-3.3332194938697546E-2</v>
      </c>
      <c r="Z410" s="67"/>
      <c r="AA410" s="71">
        <v>45231</v>
      </c>
      <c r="AB410" s="99">
        <v>2047.6</v>
      </c>
      <c r="AC410" s="99">
        <v>1993.3</v>
      </c>
      <c r="AD410" s="73">
        <f t="shared" si="60"/>
        <v>2.7241258215020325E-2</v>
      </c>
      <c r="AE410" s="67"/>
      <c r="AF410" s="71">
        <v>45231</v>
      </c>
      <c r="AG410" s="72">
        <v>103.5</v>
      </c>
      <c r="AH410" s="72">
        <v>106.67</v>
      </c>
      <c r="AI410" s="73">
        <f t="shared" si="61"/>
        <v>-2.971782131808387E-2</v>
      </c>
      <c r="AJ410" s="67"/>
      <c r="AK410" s="74">
        <v>45260</v>
      </c>
      <c r="AL410" s="41">
        <v>4.3700000000000003E-2</v>
      </c>
      <c r="AM410" s="41">
        <f t="shared" si="63"/>
        <v>-5.0999999999999934E-3</v>
      </c>
      <c r="AN410" s="67"/>
      <c r="AO410" s="75">
        <v>45231</v>
      </c>
      <c r="AP410" s="76">
        <v>351352.25</v>
      </c>
      <c r="AQ410" s="80">
        <f t="shared" si="43"/>
        <v>2.2276058005998856E-4</v>
      </c>
      <c r="AR410" s="67"/>
      <c r="AS410" s="94">
        <v>45231</v>
      </c>
      <c r="AT410" s="78">
        <v>0.87025000000000008</v>
      </c>
      <c r="AU410" s="67"/>
      <c r="AV410" s="79">
        <v>45231</v>
      </c>
      <c r="AW410" s="76">
        <v>443208.5</v>
      </c>
      <c r="AX410" s="80">
        <f t="shared" si="44"/>
        <v>5.0879668049792492E-2</v>
      </c>
      <c r="AY410" s="67"/>
      <c r="AZ410" s="81">
        <v>45231</v>
      </c>
      <c r="BA410" s="82">
        <v>156.69613647460938</v>
      </c>
      <c r="BB410" s="82">
        <v>143.49435424804688</v>
      </c>
      <c r="BC410" s="67"/>
      <c r="BD410" s="83">
        <v>45245</v>
      </c>
      <c r="BE410" s="42">
        <v>13316</v>
      </c>
      <c r="BF410" s="41">
        <f t="shared" si="45"/>
        <v>7.7953530613790178E-3</v>
      </c>
      <c r="BG410" s="67"/>
      <c r="BH410" s="84">
        <v>45231</v>
      </c>
      <c r="BI410" s="85">
        <v>100.8639</v>
      </c>
      <c r="BJ410" s="87">
        <f t="shared" si="46"/>
        <v>3.9315648922202406E-3</v>
      </c>
      <c r="BK410" s="67"/>
      <c r="BL410" s="84">
        <v>45231</v>
      </c>
      <c r="BM410" s="86">
        <v>6.8860055999999998</v>
      </c>
      <c r="BN410" s="67"/>
      <c r="BO410" s="88">
        <v>45231</v>
      </c>
      <c r="BP410" s="89">
        <v>3.8504999999999998</v>
      </c>
      <c r="BQ410" s="89">
        <v>3.6484999999999999</v>
      </c>
      <c r="BR410" s="90">
        <f t="shared" si="37"/>
        <v>5.5365218582979381E-2</v>
      </c>
    </row>
    <row r="411" spans="1:70">
      <c r="A411" s="62">
        <v>45261</v>
      </c>
      <c r="B411" s="63">
        <v>45261</v>
      </c>
      <c r="C411" s="39">
        <v>71.650000000000006</v>
      </c>
      <c r="D411" s="64">
        <v>75.59</v>
      </c>
      <c r="E411" s="40">
        <f t="shared" si="57"/>
        <v>-5.2123296732371927E-2</v>
      </c>
      <c r="F411" s="65"/>
      <c r="G411" s="63">
        <v>45261</v>
      </c>
      <c r="H411" s="39">
        <v>12.45</v>
      </c>
      <c r="I411" s="39">
        <v>12.94</v>
      </c>
      <c r="J411" s="40">
        <f t="shared" si="62"/>
        <v>-3.7867078825347789E-2</v>
      </c>
      <c r="K411" s="67"/>
      <c r="L411" s="68">
        <v>45261</v>
      </c>
      <c r="M411" s="98">
        <v>4769.83</v>
      </c>
      <c r="N411" s="98">
        <v>4559.43</v>
      </c>
      <c r="O411" s="70">
        <f t="shared" si="58"/>
        <v>4.6146119142085551E-2</v>
      </c>
      <c r="P411" s="67"/>
      <c r="Q411" s="38">
        <v>45261</v>
      </c>
      <c r="R411" s="39">
        <v>2.5139999999999998</v>
      </c>
      <c r="S411" s="39">
        <v>2.8090000000000002</v>
      </c>
      <c r="T411" s="40">
        <f t="shared" si="49"/>
        <v>-0.10501957992168043</v>
      </c>
      <c r="U411" s="67"/>
      <c r="V411" s="38">
        <v>45261</v>
      </c>
      <c r="W411" s="39">
        <v>2.5531000000000001</v>
      </c>
      <c r="X411" s="39">
        <v>2.7429999999999999</v>
      </c>
      <c r="Y411" s="40">
        <f t="shared" si="59"/>
        <v>-6.9230769230769096E-2</v>
      </c>
      <c r="Z411" s="67"/>
      <c r="AA411" s="71">
        <v>45261</v>
      </c>
      <c r="AB411" s="99">
        <v>2083.5</v>
      </c>
      <c r="AC411" s="99">
        <v>2083.4</v>
      </c>
      <c r="AD411" s="73">
        <f t="shared" si="60"/>
        <v>4.7998464049126E-5</v>
      </c>
      <c r="AE411" s="67"/>
      <c r="AF411" s="71">
        <v>45261</v>
      </c>
      <c r="AG411" s="72">
        <v>101.33</v>
      </c>
      <c r="AH411" s="72">
        <v>103.36</v>
      </c>
      <c r="AI411" s="73">
        <f t="shared" si="61"/>
        <v>-1.9640092879256943E-2</v>
      </c>
      <c r="AJ411" s="67"/>
      <c r="AK411" s="74">
        <v>45291</v>
      </c>
      <c r="AL411" s="41">
        <v>3.8800000000000001E-2</v>
      </c>
      <c r="AM411" s="41">
        <f t="shared" si="63"/>
        <v>-4.9000000000000016E-3</v>
      </c>
      <c r="AN411" s="67"/>
      <c r="AO411" s="75">
        <v>45261</v>
      </c>
      <c r="AP411" s="76">
        <v>352817.8</v>
      </c>
      <c r="AQ411" s="80">
        <f t="shared" si="43"/>
        <v>4.1711701006610369E-3</v>
      </c>
      <c r="AR411" s="67"/>
      <c r="AS411" s="94">
        <v>45261</v>
      </c>
      <c r="AT411" s="78">
        <v>0.91980000000000006</v>
      </c>
      <c r="AU411" s="67"/>
      <c r="AV411" s="79">
        <v>45261</v>
      </c>
      <c r="AW411" s="76">
        <v>439423.8</v>
      </c>
      <c r="AX411" s="80">
        <f t="shared" si="44"/>
        <v>-8.5393217864729865E-3</v>
      </c>
      <c r="AY411" s="67"/>
      <c r="AZ411" s="81">
        <v>45261</v>
      </c>
      <c r="BA411" s="82">
        <v>142.27946472167969</v>
      </c>
      <c r="BB411" s="82">
        <v>136.17839050292969</v>
      </c>
      <c r="BC411" s="67"/>
      <c r="BD411" s="83">
        <v>45275</v>
      </c>
      <c r="BE411" s="42">
        <v>13297</v>
      </c>
      <c r="BF411" s="41">
        <f t="shared" si="45"/>
        <v>-1.4268549113848339E-3</v>
      </c>
      <c r="BG411" s="67"/>
      <c r="BH411" s="84">
        <v>45261</v>
      </c>
      <c r="BI411" s="85">
        <v>100.6031</v>
      </c>
      <c r="BJ411" s="87">
        <f t="shared" si="46"/>
        <v>-2.5856624619908786E-3</v>
      </c>
      <c r="BK411" s="67"/>
      <c r="BL411" s="84">
        <v>45261</v>
      </c>
      <c r="BM411" s="86">
        <v>39.512529000000001</v>
      </c>
      <c r="BN411" s="67"/>
      <c r="BO411" s="88">
        <v>45261</v>
      </c>
      <c r="BP411" s="89">
        <v>3.8904999999999998</v>
      </c>
      <c r="BQ411" s="89">
        <v>3.8475000000000001</v>
      </c>
      <c r="BR411" s="90">
        <f t="shared" si="37"/>
        <v>1.1176088369070802E-2</v>
      </c>
    </row>
    <row r="412" spans="1:70">
      <c r="A412" s="62">
        <v>45292</v>
      </c>
      <c r="B412" s="63">
        <v>45292</v>
      </c>
      <c r="C412" s="39">
        <v>75.849999999999994</v>
      </c>
      <c r="D412" s="64">
        <v>71.709999999999994</v>
      </c>
      <c r="E412" s="40">
        <f t="shared" si="57"/>
        <v>5.7732533816762022E-2</v>
      </c>
      <c r="F412" s="65"/>
      <c r="G412" s="63">
        <v>45292</v>
      </c>
      <c r="H412" s="39">
        <v>14.35</v>
      </c>
      <c r="I412" s="39">
        <v>13.22</v>
      </c>
      <c r="J412" s="40">
        <f t="shared" si="62"/>
        <v>8.5476550680786634E-2</v>
      </c>
      <c r="K412" s="67"/>
      <c r="L412" s="68">
        <v>45292</v>
      </c>
      <c r="M412" s="98">
        <v>4845.6499999999996</v>
      </c>
      <c r="N412" s="98">
        <v>4745.2</v>
      </c>
      <c r="O412" s="70">
        <f t="shared" si="58"/>
        <v>2.1168760010115362E-2</v>
      </c>
      <c r="P412" s="67"/>
      <c r="Q412" s="38">
        <v>45292</v>
      </c>
      <c r="R412" s="39">
        <v>2.1</v>
      </c>
      <c r="S412" s="39">
        <v>2.605</v>
      </c>
      <c r="T412" s="40">
        <f t="shared" si="49"/>
        <v>-0.1938579654510556</v>
      </c>
      <c r="U412" s="67"/>
      <c r="V412" s="38">
        <v>45292</v>
      </c>
      <c r="W412" s="39">
        <v>2.7852000000000001</v>
      </c>
      <c r="X412" s="39">
        <v>2.5363000000000002</v>
      </c>
      <c r="Y412" s="40">
        <f t="shared" si="59"/>
        <v>9.8135078657887398E-2</v>
      </c>
      <c r="Z412" s="67"/>
      <c r="AA412" s="71">
        <v>45292</v>
      </c>
      <c r="AB412" s="99">
        <v>2057.4</v>
      </c>
      <c r="AC412" s="99">
        <v>2072.6999999999998</v>
      </c>
      <c r="AD412" s="73">
        <f t="shared" si="60"/>
        <v>-7.3816760746850951E-3</v>
      </c>
      <c r="AE412" s="67"/>
      <c r="AF412" s="71">
        <v>45292</v>
      </c>
      <c r="AG412" s="72">
        <v>103.27</v>
      </c>
      <c r="AH412" s="72">
        <v>101.42</v>
      </c>
      <c r="AI412" s="73">
        <f t="shared" si="61"/>
        <v>1.8240978110826145E-2</v>
      </c>
      <c r="AJ412" s="67"/>
      <c r="AK412" s="74">
        <v>45322</v>
      </c>
      <c r="AL412" s="41">
        <v>3.9900000000000005E-2</v>
      </c>
      <c r="AM412" s="41">
        <f t="shared" si="63"/>
        <v>1.1000000000000038E-3</v>
      </c>
      <c r="AN412" s="67"/>
      <c r="AO412" s="75">
        <v>45292</v>
      </c>
      <c r="AP412" s="76">
        <v>356124</v>
      </c>
      <c r="AQ412" s="80">
        <f t="shared" si="43"/>
        <v>9.3708424008085434E-3</v>
      </c>
      <c r="AR412" s="67"/>
      <c r="AS412" s="94">
        <v>45292</v>
      </c>
      <c r="AT412" s="78">
        <v>0.88474999999999993</v>
      </c>
      <c r="AU412" s="67"/>
      <c r="AV412" s="79">
        <v>45292</v>
      </c>
      <c r="AW412" s="76">
        <v>426226</v>
      </c>
      <c r="AX412" s="80">
        <f t="shared" si="44"/>
        <v>-3.0034331322063124E-2</v>
      </c>
      <c r="AY412" s="67"/>
      <c r="AZ412" s="81">
        <v>45292</v>
      </c>
      <c r="BA412" s="82">
        <v>160.3736572265625</v>
      </c>
      <c r="BB412" s="82">
        <v>140.83609008789063</v>
      </c>
      <c r="BC412" s="67"/>
      <c r="BD412" s="83">
        <v>45306</v>
      </c>
      <c r="BE412" s="42">
        <v>12517</v>
      </c>
      <c r="BF412" s="41">
        <f t="shared" si="45"/>
        <v>-5.8659848086034416E-2</v>
      </c>
      <c r="BG412" s="67"/>
      <c r="BH412" s="84">
        <v>45292</v>
      </c>
      <c r="BI412" s="85">
        <v>99.222300000000004</v>
      </c>
      <c r="BJ412" s="87">
        <f t="shared" si="46"/>
        <v>-1.3725223179007373E-2</v>
      </c>
      <c r="BK412" s="67"/>
      <c r="BL412" s="84">
        <v>45292</v>
      </c>
      <c r="BM412" s="86">
        <v>-5.7099700000000002</v>
      </c>
      <c r="BN412" s="67"/>
      <c r="BO412" s="88">
        <v>45292</v>
      </c>
      <c r="BP412" s="89">
        <v>3.9169999999999998</v>
      </c>
      <c r="BQ412" s="89">
        <v>3.8955000000000002</v>
      </c>
      <c r="BR412" s="90">
        <f t="shared" si="37"/>
        <v>5.5191888075984963E-3</v>
      </c>
    </row>
    <row r="413" spans="1:70">
      <c r="A413" s="62">
        <v>45323</v>
      </c>
      <c r="B413" s="63">
        <v>45323</v>
      </c>
      <c r="C413" s="39">
        <v>78.260000000000005</v>
      </c>
      <c r="D413" s="64">
        <v>75.959999999999994</v>
      </c>
      <c r="E413" s="40">
        <f t="shared" si="57"/>
        <v>3.0279094260136974E-2</v>
      </c>
      <c r="F413" s="65"/>
      <c r="G413" s="63">
        <v>45323</v>
      </c>
      <c r="H413" s="39">
        <v>13.4</v>
      </c>
      <c r="I413" s="39">
        <v>14.21</v>
      </c>
      <c r="J413" s="40">
        <f t="shared" si="62"/>
        <v>-5.7002111189303317E-2</v>
      </c>
      <c r="K413" s="67"/>
      <c r="L413" s="68">
        <v>45323</v>
      </c>
      <c r="M413" s="98">
        <v>5096.2700000000004</v>
      </c>
      <c r="N413" s="98">
        <v>4861.1099999999997</v>
      </c>
      <c r="O413" s="70">
        <f t="shared" si="58"/>
        <v>4.8375782485893248E-2</v>
      </c>
      <c r="P413" s="67"/>
      <c r="Q413" s="38">
        <v>45323</v>
      </c>
      <c r="R413" s="39">
        <v>2.008</v>
      </c>
      <c r="S413" s="39">
        <v>2.1509999999999998</v>
      </c>
      <c r="T413" s="40">
        <f t="shared" si="49"/>
        <v>-6.6480706648070598E-2</v>
      </c>
      <c r="U413" s="67"/>
      <c r="V413" s="38">
        <v>45323</v>
      </c>
      <c r="W413" s="39">
        <v>2.6499000000000001</v>
      </c>
      <c r="X413" s="39">
        <v>2.7315999999999998</v>
      </c>
      <c r="Y413" s="40">
        <f t="shared" si="59"/>
        <v>-2.9909210718992441E-2</v>
      </c>
      <c r="Z413" s="67"/>
      <c r="AA413" s="71">
        <v>45323</v>
      </c>
      <c r="AB413" s="99">
        <v>2054.6999999999998</v>
      </c>
      <c r="AC413" s="99">
        <v>2047.7</v>
      </c>
      <c r="AD413" s="73">
        <f t="shared" si="60"/>
        <v>3.4184695023684597E-3</v>
      </c>
      <c r="AE413" s="67"/>
      <c r="AF413" s="71">
        <v>45323</v>
      </c>
      <c r="AG413" s="72">
        <v>104.16</v>
      </c>
      <c r="AH413" s="72">
        <v>103.51</v>
      </c>
      <c r="AI413" s="73">
        <f t="shared" si="61"/>
        <v>6.2795865133802309E-3</v>
      </c>
      <c r="AJ413" s="67"/>
      <c r="AK413" s="74">
        <v>45351</v>
      </c>
      <c r="AL413" s="41">
        <v>4.2500000000000003E-2</v>
      </c>
      <c r="AM413" s="41">
        <f t="shared" si="63"/>
        <v>2.5999999999999981E-3</v>
      </c>
      <c r="AN413" s="67"/>
      <c r="AO413" s="75">
        <v>45323</v>
      </c>
      <c r="AP413" s="76">
        <v>359136.25</v>
      </c>
      <c r="AQ413" s="80">
        <f t="shared" si="43"/>
        <v>8.4584302097021613E-3</v>
      </c>
      <c r="AR413" s="67"/>
      <c r="AS413" s="94">
        <v>45323</v>
      </c>
      <c r="AT413" s="78">
        <v>0.81275000000000008</v>
      </c>
      <c r="AU413" s="67"/>
      <c r="AV413" s="79">
        <v>45323</v>
      </c>
      <c r="AW413" s="76">
        <v>439252.25</v>
      </c>
      <c r="AX413" s="80">
        <f t="shared" si="44"/>
        <v>3.0561838085898074E-2</v>
      </c>
      <c r="AY413" s="67"/>
      <c r="AZ413" s="81">
        <v>45323</v>
      </c>
      <c r="BA413" s="82">
        <v>146.59817504882813</v>
      </c>
      <c r="BB413" s="82">
        <v>140.24467468261719</v>
      </c>
      <c r="BC413" s="67"/>
      <c r="BD413" s="83">
        <v>45337</v>
      </c>
      <c r="BE413" s="42">
        <v>13129</v>
      </c>
      <c r="BF413" s="41">
        <f t="shared" si="45"/>
        <v>4.8893504833426471E-2</v>
      </c>
      <c r="BG413" s="67"/>
      <c r="BH413" s="84">
        <v>45323</v>
      </c>
      <c r="BI413" s="85">
        <v>100.285</v>
      </c>
      <c r="BJ413" s="87">
        <f t="shared" si="46"/>
        <v>1.0710293956096573E-2</v>
      </c>
      <c r="BK413" s="67"/>
      <c r="BL413" s="84">
        <v>45323</v>
      </c>
      <c r="BM413" s="86">
        <v>20.707401000000001</v>
      </c>
      <c r="BN413" s="67"/>
      <c r="BO413" s="88">
        <v>45323</v>
      </c>
      <c r="BP413" s="89">
        <v>3.847</v>
      </c>
      <c r="BQ413" s="89">
        <v>3.8975</v>
      </c>
      <c r="BR413" s="90">
        <f t="shared" si="37"/>
        <v>-1.2957023733162321E-2</v>
      </c>
    </row>
    <row r="414" spans="1:70">
      <c r="A414" s="62">
        <v>45352</v>
      </c>
      <c r="B414" s="63">
        <v>45352</v>
      </c>
      <c r="C414" s="39">
        <v>83.17</v>
      </c>
      <c r="D414" s="64">
        <v>78.28</v>
      </c>
      <c r="E414" s="40">
        <f t="shared" si="57"/>
        <v>6.2468063362289161E-2</v>
      </c>
      <c r="F414" s="65"/>
      <c r="G414" s="63">
        <v>45352</v>
      </c>
      <c r="H414" s="39">
        <v>13.01</v>
      </c>
      <c r="I414" s="39">
        <v>13.34</v>
      </c>
      <c r="J414" s="40">
        <f t="shared" si="62"/>
        <v>-2.4737631184407749E-2</v>
      </c>
      <c r="K414" s="67"/>
      <c r="L414" s="68">
        <v>45352</v>
      </c>
      <c r="M414" s="98">
        <v>5254.35</v>
      </c>
      <c r="N414" s="98">
        <v>5098.51</v>
      </c>
      <c r="O414" s="70">
        <f t="shared" si="58"/>
        <v>3.0565792751215515E-2</v>
      </c>
      <c r="P414" s="67"/>
      <c r="Q414" s="38">
        <v>45352</v>
      </c>
      <c r="R414" s="39">
        <v>1.7629999999999999</v>
      </c>
      <c r="S414" s="39">
        <v>1.8520000000000001</v>
      </c>
      <c r="T414" s="40">
        <f t="shared" si="49"/>
        <v>-4.8056155507559484E-2</v>
      </c>
      <c r="U414" s="67"/>
      <c r="V414" s="38">
        <v>45352</v>
      </c>
      <c r="W414" s="39">
        <v>2.6227</v>
      </c>
      <c r="X414" s="39">
        <v>2.5943000000000001</v>
      </c>
      <c r="Y414" s="40">
        <f t="shared" si="59"/>
        <v>1.0947076282619594E-2</v>
      </c>
      <c r="Z414" s="67"/>
      <c r="AA414" s="71">
        <v>45352</v>
      </c>
      <c r="AB414" s="99">
        <v>2201.4</v>
      </c>
      <c r="AC414" s="99">
        <v>2091.6</v>
      </c>
      <c r="AD414" s="73">
        <f t="shared" si="60"/>
        <v>5.2495697074010472E-2</v>
      </c>
      <c r="AE414" s="67"/>
      <c r="AF414" s="71">
        <v>45352</v>
      </c>
      <c r="AG414" s="72">
        <v>104.55</v>
      </c>
      <c r="AH414" s="72">
        <v>104.13</v>
      </c>
      <c r="AI414" s="73">
        <f t="shared" si="61"/>
        <v>4.0334197637568181E-3</v>
      </c>
      <c r="AJ414" s="67"/>
      <c r="AK414" s="74">
        <v>45382</v>
      </c>
      <c r="AL414" s="41">
        <v>4.2000000000000003E-2</v>
      </c>
      <c r="AM414" s="41">
        <f t="shared" si="63"/>
        <v>-5.0000000000000044E-4</v>
      </c>
      <c r="AN414" s="67"/>
      <c r="AO414" s="75">
        <v>45352</v>
      </c>
      <c r="AP414" s="76">
        <v>362302.6</v>
      </c>
      <c r="AQ414" s="80">
        <f t="shared" si="43"/>
        <v>8.8165703127991435E-3</v>
      </c>
      <c r="AR414" s="67"/>
      <c r="AS414" s="94">
        <v>45352</v>
      </c>
      <c r="AT414" s="78">
        <v>0.87360000000000004</v>
      </c>
      <c r="AU414" s="67"/>
      <c r="AV414" s="79">
        <v>45352</v>
      </c>
      <c r="AW414" s="76">
        <v>448038</v>
      </c>
      <c r="AX414" s="80">
        <f t="shared" si="44"/>
        <v>2.0001605000315781E-2</v>
      </c>
      <c r="AY414" s="67"/>
      <c r="AZ414" s="81">
        <v>45352</v>
      </c>
      <c r="BA414" s="82">
        <v>133.21316528320313</v>
      </c>
      <c r="BB414" s="82">
        <v>121.53968048095703</v>
      </c>
      <c r="BC414" s="67"/>
      <c r="BD414" s="83">
        <v>45366</v>
      </c>
      <c r="BE414" s="42">
        <v>13190</v>
      </c>
      <c r="BF414" s="41">
        <f t="shared" si="45"/>
        <v>4.6462030619240924E-3</v>
      </c>
      <c r="BG414" s="67"/>
      <c r="BH414" s="84">
        <v>45352</v>
      </c>
      <c r="BI414" s="85">
        <v>100.4575</v>
      </c>
      <c r="BJ414" s="87">
        <f t="shared" si="46"/>
        <v>1.7200977214937296E-3</v>
      </c>
      <c r="BK414" s="67"/>
      <c r="BL414" s="84">
        <v>45352</v>
      </c>
      <c r="BM414" s="86">
        <v>26.051034999999999</v>
      </c>
      <c r="BN414" s="67"/>
      <c r="BO414" s="88">
        <v>45352</v>
      </c>
      <c r="BP414" s="89">
        <v>4.0250000000000004</v>
      </c>
      <c r="BQ414" s="89">
        <v>3.847</v>
      </c>
      <c r="BR414" s="90">
        <f t="shared" si="37"/>
        <v>4.6269820639459391E-2</v>
      </c>
    </row>
    <row r="415" spans="1:70">
      <c r="A415" s="62">
        <v>45383</v>
      </c>
      <c r="B415" s="63">
        <v>45383</v>
      </c>
      <c r="C415" s="39">
        <v>81.93</v>
      </c>
      <c r="D415" s="64">
        <v>83.14</v>
      </c>
      <c r="E415" s="40">
        <f t="shared" si="57"/>
        <v>-1.4553764734183239E-2</v>
      </c>
      <c r="F415" s="65"/>
      <c r="G415" s="63">
        <v>45383</v>
      </c>
      <c r="H415" s="39">
        <v>15.65</v>
      </c>
      <c r="I415" s="39">
        <v>13.61</v>
      </c>
      <c r="J415" s="40">
        <f t="shared" si="62"/>
        <v>0.14988978692138133</v>
      </c>
      <c r="K415" s="67"/>
      <c r="L415" s="68">
        <v>45383</v>
      </c>
      <c r="M415" s="98">
        <v>5035.6899999999996</v>
      </c>
      <c r="N415" s="98">
        <v>5257.97</v>
      </c>
      <c r="O415" s="70">
        <f t="shared" si="58"/>
        <v>-4.2274870339693904E-2</v>
      </c>
      <c r="P415" s="67"/>
      <c r="Q415" s="38">
        <v>45383</v>
      </c>
      <c r="R415" s="39">
        <v>1.9910000000000001</v>
      </c>
      <c r="S415" s="39">
        <v>1.7549999999999999</v>
      </c>
      <c r="T415" s="40">
        <f t="shared" si="49"/>
        <v>0.13447293447293451</v>
      </c>
      <c r="U415" s="67"/>
      <c r="V415" s="38">
        <v>45383</v>
      </c>
      <c r="W415" s="39">
        <v>2.5276000000000001</v>
      </c>
      <c r="X415" s="39">
        <v>2.6189</v>
      </c>
      <c r="Y415" s="40">
        <f t="shared" si="59"/>
        <v>-3.4861964947115132E-2</v>
      </c>
      <c r="Z415" s="67"/>
      <c r="AA415" s="71">
        <v>45383</v>
      </c>
      <c r="AB415" s="99">
        <v>2302.9</v>
      </c>
      <c r="AC415" s="99">
        <v>2243.5</v>
      </c>
      <c r="AD415" s="73">
        <f t="shared" si="60"/>
        <v>2.6476487630933798E-2</v>
      </c>
      <c r="AE415" s="67"/>
      <c r="AF415" s="71">
        <v>45383</v>
      </c>
      <c r="AG415" s="72">
        <v>106.22</v>
      </c>
      <c r="AH415" s="72">
        <v>104.49</v>
      </c>
      <c r="AI415" s="73">
        <f t="shared" si="61"/>
        <v>1.655660828787453E-2</v>
      </c>
      <c r="AJ415" s="67"/>
      <c r="AK415" s="74">
        <v>45412</v>
      </c>
      <c r="AL415" s="41">
        <v>4.6900000000000004E-2</v>
      </c>
      <c r="AM415" s="41">
        <f t="shared" si="63"/>
        <v>4.9000000000000016E-3</v>
      </c>
      <c r="AN415" s="67"/>
      <c r="AO415" s="75">
        <v>45383</v>
      </c>
      <c r="AP415" s="76">
        <v>365267</v>
      </c>
      <c r="AQ415" s="80">
        <f t="shared" si="43"/>
        <v>8.1821107549324701E-3</v>
      </c>
      <c r="AR415" s="67"/>
      <c r="AS415" s="94">
        <v>45383</v>
      </c>
      <c r="AT415" s="78">
        <v>0.88099999999999989</v>
      </c>
      <c r="AU415" s="67"/>
      <c r="AV415" s="79">
        <v>45383</v>
      </c>
      <c r="AW415" s="76">
        <v>457941.5</v>
      </c>
      <c r="AX415" s="80">
        <f t="shared" si="44"/>
        <v>2.2104151879974498E-2</v>
      </c>
      <c r="AY415" s="67"/>
      <c r="AZ415" s="81">
        <v>45383</v>
      </c>
      <c r="BA415" s="82">
        <v>163.94734191894531</v>
      </c>
      <c r="BB415" s="82">
        <v>170.697998046875</v>
      </c>
      <c r="BC415" s="67"/>
      <c r="BD415" s="83">
        <v>45397</v>
      </c>
      <c r="BE415" s="42">
        <v>13314</v>
      </c>
      <c r="BF415" s="41">
        <f t="shared" si="45"/>
        <v>9.4010614101591727E-3</v>
      </c>
      <c r="BG415" s="67"/>
      <c r="BH415" s="84">
        <v>45383</v>
      </c>
      <c r="BI415" s="85">
        <v>100.24339999999999</v>
      </c>
      <c r="BJ415" s="87">
        <f t="shared" si="46"/>
        <v>-2.131249533384838E-3</v>
      </c>
      <c r="BK415" s="67"/>
      <c r="BL415" s="84">
        <v>45383</v>
      </c>
      <c r="BM415" s="86">
        <v>0.53690104000000005</v>
      </c>
      <c r="BN415" s="67"/>
      <c r="BO415" s="88">
        <v>45383</v>
      </c>
      <c r="BP415" s="89">
        <v>4.5629999999999997</v>
      </c>
      <c r="BQ415" s="89">
        <v>4.0309999999999997</v>
      </c>
      <c r="BR415" s="90">
        <f t="shared" si="37"/>
        <v>0.13197717687918642</v>
      </c>
    </row>
    <row r="416" spans="1:70">
      <c r="A416" s="62">
        <v>45413</v>
      </c>
      <c r="B416" s="63">
        <v>45413</v>
      </c>
      <c r="C416" s="39">
        <v>76.989999999999995</v>
      </c>
      <c r="D416" s="64">
        <v>81.48</v>
      </c>
      <c r="E416" s="40">
        <f t="shared" si="57"/>
        <v>-5.5105547373588748E-2</v>
      </c>
      <c r="F416" s="65"/>
      <c r="G416" s="63">
        <v>45413</v>
      </c>
      <c r="H416" s="39">
        <v>12.92</v>
      </c>
      <c r="I416" s="39">
        <v>15.75</v>
      </c>
      <c r="J416" s="40">
        <f t="shared" si="62"/>
        <v>-0.17968253968253967</v>
      </c>
      <c r="K416" s="67"/>
      <c r="L416" s="68">
        <v>45413</v>
      </c>
      <c r="M416" s="98">
        <v>5277.51</v>
      </c>
      <c r="N416" s="98">
        <v>5029.03</v>
      </c>
      <c r="O416" s="70">
        <f t="shared" si="58"/>
        <v>4.9409130587807271E-2</v>
      </c>
      <c r="P416" s="67"/>
      <c r="Q416" s="38">
        <v>45413</v>
      </c>
      <c r="R416" s="39">
        <v>2.5870000000000002</v>
      </c>
      <c r="S416" s="39">
        <v>1.954</v>
      </c>
      <c r="T416" s="40">
        <f t="shared" si="49"/>
        <v>0.32395087001023559</v>
      </c>
      <c r="U416" s="67"/>
      <c r="V416" s="38">
        <v>45413</v>
      </c>
      <c r="W416" s="39">
        <v>2.3841999999999999</v>
      </c>
      <c r="X416" s="39">
        <v>2.5240999999999998</v>
      </c>
      <c r="Y416" s="40">
        <f t="shared" si="59"/>
        <v>-5.5425696287785708E-2</v>
      </c>
      <c r="Z416" s="67"/>
      <c r="AA416" s="71">
        <v>45413</v>
      </c>
      <c r="AB416" s="99">
        <v>2354.6999999999998</v>
      </c>
      <c r="AC416" s="99">
        <v>2298.1999999999998</v>
      </c>
      <c r="AD416" s="73">
        <f t="shared" si="60"/>
        <v>2.4584457401444659E-2</v>
      </c>
      <c r="AE416" s="67"/>
      <c r="AF416" s="71">
        <v>45413</v>
      </c>
      <c r="AG416" s="72">
        <v>104.67</v>
      </c>
      <c r="AH416" s="72">
        <v>106.31</v>
      </c>
      <c r="AI416" s="73">
        <f t="shared" si="61"/>
        <v>-1.542658263568808E-2</v>
      </c>
      <c r="AJ416" s="67"/>
      <c r="AK416" s="74">
        <v>45443</v>
      </c>
      <c r="AL416" s="41">
        <v>4.5100000000000001E-2</v>
      </c>
      <c r="AM416" s="41">
        <f t="shared" si="63"/>
        <v>-1.800000000000003E-3</v>
      </c>
      <c r="AN416" s="67"/>
      <c r="AO416" s="92">
        <v>45413</v>
      </c>
      <c r="AP416" s="76">
        <v>368661.8</v>
      </c>
      <c r="AQ416" s="80">
        <f t="shared" si="43"/>
        <v>9.2940232761240527E-3</v>
      </c>
      <c r="AR416" s="67"/>
      <c r="AS416" s="97">
        <v>45413</v>
      </c>
      <c r="AT416" s="78">
        <v>0.92059999999999997</v>
      </c>
      <c r="AU416" s="67"/>
      <c r="AV416" s="93">
        <v>45413</v>
      </c>
      <c r="AW416" s="76">
        <v>457200.8</v>
      </c>
      <c r="AX416" s="80">
        <f t="shared" si="44"/>
        <v>-1.6174555046878369E-3</v>
      </c>
      <c r="AY416" s="67"/>
      <c r="AZ416" s="81">
        <v>45413</v>
      </c>
      <c r="BA416" s="82">
        <v>130.52186584472656</v>
      </c>
      <c r="BB416" s="82">
        <v>131.44712829589844</v>
      </c>
      <c r="BC416" s="67"/>
      <c r="BD416" s="83">
        <v>45427</v>
      </c>
      <c r="BE416" s="42">
        <v>13256</v>
      </c>
      <c r="BF416" s="41">
        <f t="shared" si="45"/>
        <v>-4.3563166591558122E-3</v>
      </c>
      <c r="BG416" s="67"/>
      <c r="BH416" s="84">
        <v>45413</v>
      </c>
      <c r="BI416" s="85">
        <v>100.863</v>
      </c>
      <c r="BJ416" s="87">
        <f t="shared" si="46"/>
        <v>6.1809555541811889E-3</v>
      </c>
      <c r="BK416" s="67"/>
      <c r="BL416" s="84">
        <v>45413</v>
      </c>
      <c r="BM416" s="86">
        <v>9.7076788999999994</v>
      </c>
      <c r="BN416" s="67"/>
      <c r="BO416" s="88">
        <v>45413</v>
      </c>
      <c r="BP416" s="89">
        <v>4.6020000000000003</v>
      </c>
      <c r="BQ416" s="89">
        <v>4.5354999999999999</v>
      </c>
      <c r="BR416" s="90">
        <f t="shared" si="37"/>
        <v>1.4662110020945862E-2</v>
      </c>
    </row>
    <row r="417" spans="1:70">
      <c r="A417" s="62">
        <v>45444</v>
      </c>
      <c r="B417" s="63">
        <v>45444</v>
      </c>
      <c r="C417" s="39">
        <v>81.540000000000006</v>
      </c>
      <c r="D417" s="64">
        <v>76.97</v>
      </c>
      <c r="E417" s="40">
        <f t="shared" si="57"/>
        <v>5.9373781992984487E-2</v>
      </c>
      <c r="F417" s="65"/>
      <c r="G417" s="63">
        <v>45444</v>
      </c>
      <c r="H417" s="39">
        <v>12.44</v>
      </c>
      <c r="I417" s="39">
        <v>13.08</v>
      </c>
      <c r="J417" s="40">
        <f t="shared" si="62"/>
        <v>-4.8929663608562768E-2</v>
      </c>
      <c r="K417" s="67"/>
      <c r="L417" s="68">
        <v>45444</v>
      </c>
      <c r="M417" s="98">
        <v>5460.48</v>
      </c>
      <c r="N417" s="98">
        <v>5297.15</v>
      </c>
      <c r="O417" s="70">
        <f t="shared" si="58"/>
        <v>3.0833561443417645E-2</v>
      </c>
      <c r="P417" s="67"/>
      <c r="Q417" s="38">
        <v>45444</v>
      </c>
      <c r="R417" s="39">
        <v>2.5979999999999999</v>
      </c>
      <c r="S417" s="39">
        <v>2.7160000000000002</v>
      </c>
      <c r="T417" s="40">
        <f t="shared" si="49"/>
        <v>-4.344624447717238E-2</v>
      </c>
      <c r="U417" s="67"/>
      <c r="V417" s="38">
        <v>45444</v>
      </c>
      <c r="W417" s="39">
        <v>2.5169000000000001</v>
      </c>
      <c r="X417" s="39">
        <v>2.3872</v>
      </c>
      <c r="Y417" s="40">
        <f t="shared" si="59"/>
        <v>5.4331434316353899E-2</v>
      </c>
      <c r="Z417" s="67"/>
      <c r="AA417" s="71">
        <v>45444</v>
      </c>
      <c r="AB417" s="99">
        <v>2336.6</v>
      </c>
      <c r="AC417" s="99">
        <v>2335</v>
      </c>
      <c r="AD417" s="73">
        <f t="shared" si="60"/>
        <v>6.8522483940047785E-4</v>
      </c>
      <c r="AE417" s="67"/>
      <c r="AF417" s="71">
        <v>45444</v>
      </c>
      <c r="AG417" s="72">
        <v>105.87</v>
      </c>
      <c r="AH417" s="72">
        <v>104.62</v>
      </c>
      <c r="AI417" s="73">
        <f t="shared" si="61"/>
        <v>1.194800229401638E-2</v>
      </c>
      <c r="AJ417" s="67"/>
      <c r="AK417" s="74">
        <v>45473</v>
      </c>
      <c r="AL417" s="41">
        <v>4.36E-2</v>
      </c>
      <c r="AM417" s="41">
        <f t="shared" si="63"/>
        <v>-1.5000000000000013E-3</v>
      </c>
      <c r="AN417" s="67"/>
      <c r="AO417" s="75">
        <v>45444</v>
      </c>
      <c r="AP417" s="76">
        <v>371557.5</v>
      </c>
      <c r="AQ417" s="80">
        <f t="shared" si="43"/>
        <v>7.85462448238472E-3</v>
      </c>
      <c r="AR417" s="67"/>
      <c r="AS417" s="94">
        <v>45444</v>
      </c>
      <c r="AT417" s="78">
        <v>0.9355</v>
      </c>
      <c r="AU417" s="67"/>
      <c r="AV417" s="79">
        <v>45444</v>
      </c>
      <c r="AW417" s="76">
        <v>456498</v>
      </c>
      <c r="AX417" s="80">
        <f t="shared" si="44"/>
        <v>-1.5371801624144421E-3</v>
      </c>
      <c r="AY417" s="67"/>
      <c r="AZ417" s="81">
        <v>45444</v>
      </c>
      <c r="BA417" s="82">
        <v>113.09279632568359</v>
      </c>
      <c r="BB417" s="82">
        <v>125.71302795410156</v>
      </c>
      <c r="BC417" s="67"/>
      <c r="BD417" s="83">
        <v>45458</v>
      </c>
      <c r="BE417" s="42">
        <v>13252</v>
      </c>
      <c r="BF417" s="41">
        <f t="shared" si="45"/>
        <v>-3.0175015087507973E-4</v>
      </c>
      <c r="BG417" s="67"/>
      <c r="BH417" s="84">
        <v>45444</v>
      </c>
      <c r="BI417" s="85">
        <v>100.89400000000001</v>
      </c>
      <c r="BJ417" s="87">
        <f t="shared" si="46"/>
        <v>3.0734759029571457E-4</v>
      </c>
      <c r="BK417" s="67"/>
      <c r="BL417" s="84">
        <v>45444</v>
      </c>
      <c r="BM417" s="86">
        <v>11.331633</v>
      </c>
      <c r="BN417" s="67"/>
      <c r="BO417" s="88">
        <v>45444</v>
      </c>
      <c r="BP417" s="89">
        <v>4.3849999999999998</v>
      </c>
      <c r="BQ417" s="89">
        <v>4.625</v>
      </c>
      <c r="BR417" s="90">
        <f t="shared" si="37"/>
        <v>-5.1891891891891917E-2</v>
      </c>
    </row>
    <row r="418" spans="1:70">
      <c r="A418" s="62">
        <v>45474</v>
      </c>
      <c r="B418" s="63">
        <v>45474</v>
      </c>
      <c r="C418" s="39">
        <v>77.91</v>
      </c>
      <c r="D418" s="64">
        <v>81.45</v>
      </c>
      <c r="E418" s="40">
        <f t="shared" si="57"/>
        <v>-4.3462246777163926E-2</v>
      </c>
      <c r="F418" s="65"/>
      <c r="G418" s="63">
        <v>45474</v>
      </c>
      <c r="H418" s="39">
        <v>16.36</v>
      </c>
      <c r="I418" s="39">
        <v>12.98</v>
      </c>
      <c r="J418" s="40">
        <f t="shared" si="62"/>
        <v>0.26040061633281963</v>
      </c>
      <c r="K418" s="67"/>
      <c r="L418" s="68">
        <v>45474</v>
      </c>
      <c r="M418" s="98">
        <v>5522.3</v>
      </c>
      <c r="N418" s="98">
        <v>5471.08</v>
      </c>
      <c r="O418" s="70">
        <f t="shared" si="58"/>
        <v>9.3619541297147446E-3</v>
      </c>
      <c r="P418" s="67"/>
      <c r="Q418" s="38">
        <v>45474</v>
      </c>
      <c r="R418" s="39">
        <v>2.036</v>
      </c>
      <c r="S418" s="39">
        <v>2.5760000000000001</v>
      </c>
      <c r="T418" s="40">
        <f t="shared" si="49"/>
        <v>-0.20962732919254656</v>
      </c>
      <c r="U418" s="67"/>
      <c r="V418" s="38">
        <v>45474</v>
      </c>
      <c r="W418" s="39">
        <v>2.4382999999999999</v>
      </c>
      <c r="X418" s="39">
        <v>2.5575000000000001</v>
      </c>
      <c r="Y418" s="40">
        <f t="shared" si="59"/>
        <v>-4.6608015640273726E-2</v>
      </c>
      <c r="Z418" s="67"/>
      <c r="AA418" s="71">
        <v>45474</v>
      </c>
      <c r="AB418" s="99">
        <v>2438.5</v>
      </c>
      <c r="AC418" s="99">
        <v>2336.1999999999998</v>
      </c>
      <c r="AD418" s="73">
        <f t="shared" si="60"/>
        <v>4.3789059155894261E-2</v>
      </c>
      <c r="AE418" s="67"/>
      <c r="AF418" s="71">
        <v>45474</v>
      </c>
      <c r="AG418" s="72">
        <v>104.1</v>
      </c>
      <c r="AH418" s="72">
        <v>105.85</v>
      </c>
      <c r="AI418" s="73">
        <f t="shared" si="61"/>
        <v>-1.6532829475673139E-2</v>
      </c>
      <c r="AJ418" s="67"/>
      <c r="AK418" s="74">
        <v>45504</v>
      </c>
      <c r="AL418" s="41">
        <v>4.0899999999999999E-2</v>
      </c>
      <c r="AM418" s="41">
        <f t="shared" si="63"/>
        <v>-2.700000000000001E-3</v>
      </c>
      <c r="AN418" s="67"/>
      <c r="AO418" s="75">
        <v>45474</v>
      </c>
      <c r="AP418" s="76">
        <v>374075.75</v>
      </c>
      <c r="AQ418" s="80">
        <f t="shared" si="43"/>
        <v>6.7775512538437166E-3</v>
      </c>
      <c r="AR418" s="67"/>
      <c r="AS418" s="94">
        <v>45474</v>
      </c>
      <c r="AT418" s="78">
        <v>0.92700000000000005</v>
      </c>
      <c r="AU418" s="67"/>
      <c r="AV418" s="79">
        <v>45474</v>
      </c>
      <c r="AW418" s="76">
        <v>438714</v>
      </c>
      <c r="AX418" s="80">
        <f t="shared" si="44"/>
        <v>-3.8957454359055288E-2</v>
      </c>
      <c r="AY418" s="67"/>
      <c r="AZ418" s="81">
        <v>45474</v>
      </c>
      <c r="BA418" s="82">
        <v>92.394874572753906</v>
      </c>
      <c r="BB418" s="82">
        <v>95.1602783203125</v>
      </c>
      <c r="BC418" s="67"/>
      <c r="BD418" s="83">
        <v>45488</v>
      </c>
      <c r="BE418" s="42">
        <v>13212</v>
      </c>
      <c r="BF418" s="41">
        <f t="shared" si="45"/>
        <v>-3.018412315122232E-3</v>
      </c>
      <c r="BG418" s="67"/>
      <c r="BH418" s="84">
        <v>45474</v>
      </c>
      <c r="BI418" s="85">
        <v>99.975700000000003</v>
      </c>
      <c r="BJ418" s="87">
        <f t="shared" si="46"/>
        <v>-9.1016314151486366E-3</v>
      </c>
      <c r="BK418" s="67"/>
      <c r="BL418" s="84">
        <v>45474</v>
      </c>
      <c r="BM418" s="86">
        <v>11.487399999999999</v>
      </c>
      <c r="BN418" s="67"/>
      <c r="BO418" s="88">
        <v>45474</v>
      </c>
      <c r="BP418" s="89">
        <v>4.1764999999999999</v>
      </c>
      <c r="BQ418" s="89">
        <v>4.3745000000000003</v>
      </c>
      <c r="BR418" s="90">
        <f t="shared" si="37"/>
        <v>-4.5262315693222144E-2</v>
      </c>
    </row>
    <row r="419" spans="1:70">
      <c r="A419" s="62">
        <v>45505</v>
      </c>
      <c r="B419" s="63">
        <v>45505</v>
      </c>
      <c r="C419" s="39">
        <v>73.55</v>
      </c>
      <c r="D419" s="64">
        <v>78.59</v>
      </c>
      <c r="E419" s="40">
        <f t="shared" si="57"/>
        <v>-6.4130296475378601E-2</v>
      </c>
      <c r="F419" s="65"/>
      <c r="G419" s="63">
        <v>45505</v>
      </c>
      <c r="H419" s="39">
        <v>15</v>
      </c>
      <c r="I419" s="39">
        <v>16.2</v>
      </c>
      <c r="J419" s="40">
        <f t="shared" si="62"/>
        <v>-7.407407407407407E-2</v>
      </c>
      <c r="K419" s="67"/>
      <c r="L419" s="68">
        <v>45505</v>
      </c>
      <c r="M419" s="98">
        <v>5648.4</v>
      </c>
      <c r="N419" s="98">
        <v>5537.84</v>
      </c>
      <c r="O419" s="70">
        <f t="shared" si="58"/>
        <v>1.9964462678589312E-2</v>
      </c>
      <c r="P419" s="67"/>
      <c r="Q419" s="38">
        <v>45505</v>
      </c>
      <c r="R419" s="39">
        <v>2.1269999999999998</v>
      </c>
      <c r="S419" s="39">
        <v>2.0459999999999998</v>
      </c>
      <c r="T419" s="40">
        <f t="shared" si="49"/>
        <v>3.9589442815249232E-2</v>
      </c>
      <c r="U419" s="67"/>
      <c r="V419" s="38">
        <v>45505</v>
      </c>
      <c r="W419" s="39">
        <v>2.2783000000000002</v>
      </c>
      <c r="X419" s="39">
        <v>2.4727000000000001</v>
      </c>
      <c r="Y419" s="40">
        <f t="shared" si="59"/>
        <v>-7.8618514174788601E-2</v>
      </c>
      <c r="Z419" s="67"/>
      <c r="AA419" s="71">
        <v>45505</v>
      </c>
      <c r="AB419" s="99">
        <v>2536.6999999999998</v>
      </c>
      <c r="AC419" s="99">
        <v>2458.8000000000002</v>
      </c>
      <c r="AD419" s="73">
        <f t="shared" si="60"/>
        <v>3.1682121360012916E-2</v>
      </c>
      <c r="AE419" s="67"/>
      <c r="AF419" s="71">
        <v>45505</v>
      </c>
      <c r="AG419" s="72">
        <v>101.7</v>
      </c>
      <c r="AH419" s="72">
        <v>104.07</v>
      </c>
      <c r="AI419" s="73">
        <f t="shared" si="61"/>
        <v>-2.2773133467858031E-2</v>
      </c>
      <c r="AJ419" s="67"/>
      <c r="AK419" s="74">
        <v>45535</v>
      </c>
      <c r="AL419" s="41">
        <v>3.9100000000000003E-2</v>
      </c>
      <c r="AM419" s="41">
        <f t="shared" si="63"/>
        <v>-1.799999999999996E-3</v>
      </c>
      <c r="AN419" s="67"/>
      <c r="AO419" s="75">
        <v>45505</v>
      </c>
      <c r="AP419" s="76">
        <v>377420.6</v>
      </c>
      <c r="AQ419" s="80">
        <f t="shared" si="43"/>
        <v>8.941638157512255E-3</v>
      </c>
      <c r="AR419" s="67"/>
      <c r="AS419" s="94">
        <v>45505</v>
      </c>
      <c r="AT419" s="78">
        <v>0.92180000000000006</v>
      </c>
      <c r="AU419" s="67"/>
      <c r="AV419" s="79">
        <v>45505</v>
      </c>
      <c r="AW419" s="76">
        <v>425904.2</v>
      </c>
      <c r="AX419" s="80">
        <f t="shared" si="44"/>
        <v>-2.9198521132218214E-2</v>
      </c>
      <c r="AY419" s="67"/>
      <c r="AZ419" s="81">
        <v>45505</v>
      </c>
      <c r="BA419" s="82">
        <v>140.97506713867188</v>
      </c>
      <c r="BB419" s="82">
        <v>124.80498504638672</v>
      </c>
      <c r="BC419" s="67"/>
      <c r="BD419" s="83">
        <v>45519</v>
      </c>
      <c r="BE419" s="42">
        <v>13411</v>
      </c>
      <c r="BF419" s="41">
        <f t="shared" si="45"/>
        <v>1.5062064789585161E-2</v>
      </c>
      <c r="BG419" s="67"/>
      <c r="BH419" s="84">
        <v>45505</v>
      </c>
      <c r="BI419" s="85">
        <v>100.43089999999999</v>
      </c>
      <c r="BJ419" s="87">
        <f t="shared" si="46"/>
        <v>4.5531064048562886E-3</v>
      </c>
      <c r="BK419" s="67"/>
      <c r="BL419" s="84">
        <v>45505</v>
      </c>
      <c r="BM419" s="86">
        <v>4.6728843000000001E-3</v>
      </c>
      <c r="BN419" s="67"/>
      <c r="BO419" s="88">
        <v>45505</v>
      </c>
      <c r="BP419" s="89">
        <v>4.1669999999999998</v>
      </c>
      <c r="BQ419" s="89">
        <v>4.1944999999999997</v>
      </c>
      <c r="BR419" s="90">
        <f t="shared" si="37"/>
        <v>-6.556204553582079E-3</v>
      </c>
    </row>
    <row r="420" spans="1:70">
      <c r="A420" s="62">
        <v>45536</v>
      </c>
      <c r="B420" s="63">
        <v>45536</v>
      </c>
      <c r="C420" s="39">
        <v>68.17</v>
      </c>
      <c r="D420" s="64">
        <v>73.53</v>
      </c>
      <c r="E420" s="40">
        <f t="shared" si="57"/>
        <v>-7.2895416836665339E-2</v>
      </c>
      <c r="F420" s="65"/>
      <c r="G420" s="63">
        <v>45536</v>
      </c>
      <c r="H420" s="39">
        <v>16.73</v>
      </c>
      <c r="I420" s="39">
        <v>15.87</v>
      </c>
      <c r="J420" s="40">
        <f t="shared" si="62"/>
        <v>5.4190296156269691E-2</v>
      </c>
      <c r="K420" s="67"/>
      <c r="L420" s="68">
        <v>45536</v>
      </c>
      <c r="M420" s="98">
        <v>5762.48</v>
      </c>
      <c r="N420" s="98">
        <v>5623.89</v>
      </c>
      <c r="O420" s="70">
        <f t="shared" si="58"/>
        <v>2.4643085124353314E-2</v>
      </c>
      <c r="P420" s="67"/>
      <c r="Q420" s="38">
        <v>45536</v>
      </c>
      <c r="R420" s="39">
        <v>2.923</v>
      </c>
      <c r="S420" s="39">
        <v>2.1459999999999999</v>
      </c>
      <c r="T420" s="40">
        <f t="shared" si="49"/>
        <v>0.36206896551724155</v>
      </c>
      <c r="U420" s="67"/>
      <c r="V420" s="38">
        <v>45536</v>
      </c>
      <c r="W420" s="39">
        <v>2.1543999999999999</v>
      </c>
      <c r="X420" s="39">
        <v>2.2955999999999999</v>
      </c>
      <c r="Y420" s="40">
        <f t="shared" si="59"/>
        <v>-6.1508973688795932E-2</v>
      </c>
      <c r="Z420" s="67"/>
      <c r="AA420" s="71">
        <v>45536</v>
      </c>
      <c r="AB420" s="99">
        <v>2647.9</v>
      </c>
      <c r="AC420" s="99">
        <v>2509</v>
      </c>
      <c r="AD420" s="73">
        <f t="shared" si="60"/>
        <v>5.5360701474691076E-2</v>
      </c>
      <c r="AE420" s="67"/>
      <c r="AF420" s="71">
        <v>45536</v>
      </c>
      <c r="AG420" s="72">
        <v>100.78</v>
      </c>
      <c r="AH420" s="72">
        <v>101.73</v>
      </c>
      <c r="AI420" s="73">
        <f t="shared" si="61"/>
        <v>-9.3384449031751471E-3</v>
      </c>
      <c r="AJ420" s="67"/>
      <c r="AK420" s="74">
        <v>45565</v>
      </c>
      <c r="AL420" s="41">
        <v>3.8100000000000002E-2</v>
      </c>
      <c r="AM420" s="41">
        <f t="shared" si="63"/>
        <v>-1.0000000000000009E-3</v>
      </c>
      <c r="AN420" s="67"/>
      <c r="AO420" s="75">
        <v>45536</v>
      </c>
      <c r="AP420" s="76">
        <v>381250.75</v>
      </c>
      <c r="AQ420" s="80">
        <f t="shared" si="43"/>
        <v>1.0148227203284677E-2</v>
      </c>
      <c r="AR420" s="67"/>
      <c r="AS420" s="94">
        <v>45536</v>
      </c>
      <c r="AT420" s="78">
        <v>0.90849999999999997</v>
      </c>
      <c r="AU420" s="67"/>
      <c r="AV420" s="79">
        <v>45536</v>
      </c>
      <c r="AW420" s="76">
        <v>416657.25</v>
      </c>
      <c r="AX420" s="80">
        <f t="shared" si="44"/>
        <v>-2.1711337901809902E-2</v>
      </c>
      <c r="AY420" s="67"/>
      <c r="AZ420" s="81">
        <v>45536</v>
      </c>
      <c r="BA420" s="82">
        <v>130.35877990722656</v>
      </c>
      <c r="BB420" s="82">
        <v>134.03704833984375</v>
      </c>
      <c r="BC420" s="67"/>
      <c r="BD420" s="83">
        <v>45550</v>
      </c>
      <c r="BE420" s="42">
        <v>13171</v>
      </c>
      <c r="BF420" s="41">
        <f t="shared" si="45"/>
        <v>-1.7895757214227093E-2</v>
      </c>
      <c r="BG420" s="67"/>
      <c r="BH420" s="84">
        <v>45536</v>
      </c>
      <c r="BI420" s="85">
        <v>99.808400000000006</v>
      </c>
      <c r="BJ420" s="87">
        <f t="shared" si="46"/>
        <v>-6.1982915616607404E-3</v>
      </c>
      <c r="BK420" s="67"/>
      <c r="BL420" s="84">
        <v>45536</v>
      </c>
      <c r="BM420" s="86">
        <v>13.508559</v>
      </c>
      <c r="BN420" s="67"/>
      <c r="BO420" s="88">
        <v>45536</v>
      </c>
      <c r="BP420" s="89">
        <v>4.5529999999999999</v>
      </c>
      <c r="BQ420" s="89">
        <v>4.1734999999999998</v>
      </c>
      <c r="BR420" s="90">
        <f t="shared" si="37"/>
        <v>9.0930873367677023E-2</v>
      </c>
    </row>
    <row r="421" spans="1:70">
      <c r="A421" s="62">
        <v>45566</v>
      </c>
      <c r="B421" s="63">
        <v>45566</v>
      </c>
      <c r="C421" s="39">
        <v>69.260000000000005</v>
      </c>
      <c r="D421" s="64">
        <v>68.41</v>
      </c>
      <c r="E421" s="40">
        <f t="shared" si="57"/>
        <v>1.2425084052039237E-2</v>
      </c>
      <c r="F421" s="65"/>
      <c r="G421" s="63">
        <v>45566</v>
      </c>
      <c r="H421" s="39">
        <v>23.16</v>
      </c>
      <c r="I421" s="39">
        <v>16.96</v>
      </c>
      <c r="J421" s="40">
        <f t="shared" si="62"/>
        <v>0.36556603773584895</v>
      </c>
      <c r="K421" s="67"/>
      <c r="L421" s="68">
        <v>45566</v>
      </c>
      <c r="M421" s="98">
        <v>5705.45</v>
      </c>
      <c r="N421" s="98">
        <v>5757.73</v>
      </c>
      <c r="O421" s="70">
        <f t="shared" si="58"/>
        <v>-9.0799672787712504E-3</v>
      </c>
      <c r="P421" s="67"/>
      <c r="Q421" s="38">
        <v>45566</v>
      </c>
      <c r="R421" s="39">
        <v>2.7069999999999999</v>
      </c>
      <c r="S421" s="39">
        <v>2.907</v>
      </c>
      <c r="T421" s="40">
        <f t="shared" si="49"/>
        <v>-6.8799449604403207E-2</v>
      </c>
      <c r="U421" s="67"/>
      <c r="V421" s="38">
        <v>45566</v>
      </c>
      <c r="W421" s="39">
        <v>2.2347000000000001</v>
      </c>
      <c r="X421" s="39">
        <v>2.165</v>
      </c>
      <c r="Y421" s="40">
        <f t="shared" si="59"/>
        <v>3.2193995381062379E-2</v>
      </c>
      <c r="Z421" s="67"/>
      <c r="AA421" s="71">
        <v>45566</v>
      </c>
      <c r="AB421" s="99">
        <v>2749.3</v>
      </c>
      <c r="AC421" s="99">
        <v>2644.4</v>
      </c>
      <c r="AD421" s="73">
        <f t="shared" si="60"/>
        <v>3.9668733928301281E-2</v>
      </c>
      <c r="AE421" s="67"/>
      <c r="AF421" s="71">
        <v>45566</v>
      </c>
      <c r="AG421" s="72">
        <v>103.98</v>
      </c>
      <c r="AH421" s="72">
        <v>100.74</v>
      </c>
      <c r="AI421" s="73">
        <f t="shared" si="61"/>
        <v>3.2162001191185396E-2</v>
      </c>
      <c r="AJ421" s="67"/>
      <c r="AK421" s="74">
        <v>45596</v>
      </c>
      <c r="AL421" s="41">
        <v>4.2800000000000005E-2</v>
      </c>
      <c r="AM421" s="41">
        <f t="shared" si="63"/>
        <v>4.7000000000000028E-3</v>
      </c>
      <c r="AN421" s="67"/>
      <c r="AO421" s="75">
        <v>45566</v>
      </c>
      <c r="AP421" s="76">
        <v>384321.25</v>
      </c>
      <c r="AQ421" s="80">
        <f t="shared" si="43"/>
        <v>8.0537546483514522E-3</v>
      </c>
      <c r="AR421" s="67"/>
      <c r="AS421" s="94">
        <v>45566</v>
      </c>
      <c r="AT421" s="78">
        <v>0.88249999999999995</v>
      </c>
      <c r="AU421" s="67"/>
      <c r="AV421" s="79">
        <v>45566</v>
      </c>
      <c r="AW421" s="76">
        <v>423706</v>
      </c>
      <c r="AX421" s="80">
        <f t="shared" si="44"/>
        <v>1.6917382332840791E-2</v>
      </c>
      <c r="AY421" s="67"/>
      <c r="AZ421" s="81">
        <v>45566</v>
      </c>
      <c r="BA421" s="82">
        <v>130.689208984375</v>
      </c>
      <c r="BB421" s="82">
        <v>128.40969848632813</v>
      </c>
      <c r="BC421" s="67"/>
      <c r="BD421" s="83">
        <v>45580</v>
      </c>
      <c r="BE421" s="42">
        <v>13530</v>
      </c>
      <c r="BF421" s="41">
        <f t="shared" si="45"/>
        <v>2.7256852175233437E-2</v>
      </c>
      <c r="BG421" s="67"/>
      <c r="BH421" s="84">
        <v>45566</v>
      </c>
      <c r="BI421" s="85">
        <v>99.469499999999996</v>
      </c>
      <c r="BJ421" s="87">
        <f t="shared" si="46"/>
        <v>-3.3955057890919793E-3</v>
      </c>
      <c r="BK421" s="67"/>
      <c r="BL421" s="84">
        <v>45566</v>
      </c>
      <c r="BM421" s="86">
        <v>-3.0559688999999999</v>
      </c>
      <c r="BN421" s="67"/>
      <c r="BO421" s="88">
        <v>45566</v>
      </c>
      <c r="BP421" s="89">
        <v>4.34</v>
      </c>
      <c r="BQ421" s="89">
        <v>4.5335000000000001</v>
      </c>
      <c r="BR421" s="90">
        <f t="shared" si="37"/>
        <v>-4.2682254328885061E-2</v>
      </c>
    </row>
    <row r="422" spans="1:70">
      <c r="A422" s="62">
        <v>45597</v>
      </c>
      <c r="B422" s="63">
        <v>45597</v>
      </c>
      <c r="C422" s="39">
        <v>68</v>
      </c>
      <c r="D422" s="64">
        <v>70.44</v>
      </c>
      <c r="E422" s="40">
        <f t="shared" si="57"/>
        <v>-3.4639409426462153E-2</v>
      </c>
      <c r="F422" s="65"/>
      <c r="G422" s="63">
        <v>45597</v>
      </c>
      <c r="H422" s="39">
        <v>13.51</v>
      </c>
      <c r="I422" s="39">
        <v>22.96</v>
      </c>
      <c r="J422" s="40">
        <f t="shared" si="62"/>
        <v>-0.41158536585365857</v>
      </c>
      <c r="K422" s="67"/>
      <c r="L422" s="68">
        <v>45597</v>
      </c>
      <c r="M422" s="98">
        <v>6032.38</v>
      </c>
      <c r="N422" s="98">
        <v>5723.22</v>
      </c>
      <c r="O422" s="70">
        <f t="shared" si="58"/>
        <v>5.4018542009568016E-2</v>
      </c>
      <c r="P422" s="67"/>
      <c r="Q422" s="38">
        <v>45597</v>
      </c>
      <c r="R422" s="39">
        <v>3.363</v>
      </c>
      <c r="S422" s="39">
        <v>2.702</v>
      </c>
      <c r="T422" s="40">
        <f t="shared" si="49"/>
        <v>0.24463360473723172</v>
      </c>
      <c r="U422" s="67"/>
      <c r="V422" s="38">
        <v>45597</v>
      </c>
      <c r="W422" s="39">
        <v>2.1924000000000001</v>
      </c>
      <c r="X422" s="39">
        <v>2.2679999999999998</v>
      </c>
      <c r="Y422" s="40">
        <f t="shared" si="59"/>
        <v>-3.3333333333333215E-2</v>
      </c>
      <c r="Z422" s="67"/>
      <c r="AA422" s="71">
        <v>45597</v>
      </c>
      <c r="AB422" s="99">
        <v>2652.3</v>
      </c>
      <c r="AC422" s="99">
        <v>2743.5</v>
      </c>
      <c r="AD422" s="73">
        <f t="shared" si="60"/>
        <v>-3.3242208857299005E-2</v>
      </c>
      <c r="AE422" s="67"/>
      <c r="AF422" s="71">
        <v>45597</v>
      </c>
      <c r="AG422" s="72">
        <v>105.74</v>
      </c>
      <c r="AH422" s="72">
        <v>103.86</v>
      </c>
      <c r="AI422" s="73">
        <f t="shared" si="61"/>
        <v>1.8101290198343944E-2</v>
      </c>
      <c r="AJ422" s="67"/>
      <c r="AK422" s="74">
        <v>45626</v>
      </c>
      <c r="AL422" s="41">
        <v>4.1799999999999997E-2</v>
      </c>
      <c r="AM422" s="41">
        <f t="shared" si="63"/>
        <v>-1.0000000000000078E-3</v>
      </c>
      <c r="AN422" s="67"/>
      <c r="AO422" s="75">
        <v>45597</v>
      </c>
      <c r="AP422" s="76">
        <v>389274.4</v>
      </c>
      <c r="AQ422" s="80">
        <f t="shared" si="43"/>
        <v>1.288804613328054E-2</v>
      </c>
      <c r="AR422" s="67"/>
      <c r="AS422" s="94">
        <v>45597</v>
      </c>
      <c r="AT422" s="78">
        <v>0.91180000000000005</v>
      </c>
      <c r="AU422" s="67"/>
      <c r="AV422" s="79">
        <v>45597</v>
      </c>
      <c r="AW422" s="76">
        <v>427904</v>
      </c>
      <c r="AX422" s="80">
        <f t="shared" si="44"/>
        <v>9.9078134366754611E-3</v>
      </c>
      <c r="AY422" s="67"/>
      <c r="AZ422" s="81">
        <v>45597</v>
      </c>
      <c r="BA422" s="82">
        <v>128.90164184570313</v>
      </c>
      <c r="BB422" s="82">
        <v>139.14866638183594</v>
      </c>
      <c r="BC422" s="67"/>
      <c r="BD422" s="83">
        <v>45611</v>
      </c>
      <c r="BE422" s="42">
        <v>13396</v>
      </c>
      <c r="BF422" s="41">
        <f t="shared" si="45"/>
        <v>-9.903917220990377E-3</v>
      </c>
      <c r="BG422" s="67"/>
      <c r="BH422" s="84">
        <v>45597</v>
      </c>
      <c r="BI422" s="85">
        <v>99.292500000000004</v>
      </c>
      <c r="BJ422" s="87">
        <f t="shared" si="46"/>
        <v>-1.7794399288223461E-3</v>
      </c>
      <c r="BK422" s="67"/>
      <c r="BL422" s="84">
        <v>45597</v>
      </c>
      <c r="BM422" s="86">
        <v>-11.096709000000001</v>
      </c>
      <c r="BN422" s="67"/>
      <c r="BO422" s="88">
        <v>45597</v>
      </c>
      <c r="BP422" s="89">
        <v>4.1399999999999997</v>
      </c>
      <c r="BQ422" s="89">
        <v>4.3860000000000001</v>
      </c>
      <c r="BR422" s="90">
        <f t="shared" si="37"/>
        <v>-5.6087551299589755E-2</v>
      </c>
    </row>
    <row r="423" spans="1:70">
      <c r="A423" s="62">
        <v>45627</v>
      </c>
      <c r="B423" s="63">
        <v>45627</v>
      </c>
      <c r="C423" s="39">
        <v>71.72</v>
      </c>
      <c r="D423" s="64">
        <v>68</v>
      </c>
      <c r="E423" s="40">
        <f t="shared" si="57"/>
        <v>5.470588235294116E-2</v>
      </c>
      <c r="F423" s="65"/>
      <c r="G423" s="63">
        <v>45627</v>
      </c>
      <c r="H423" s="39">
        <v>17.350000000000001</v>
      </c>
      <c r="I423" s="39">
        <v>14.08</v>
      </c>
      <c r="J423" s="40">
        <f t="shared" si="62"/>
        <v>0.23224431818181834</v>
      </c>
      <c r="K423" s="67"/>
      <c r="L423" s="68">
        <v>45627</v>
      </c>
      <c r="M423" s="98">
        <v>5881.63</v>
      </c>
      <c r="N423" s="98">
        <v>6040.11</v>
      </c>
      <c r="O423" s="70">
        <f t="shared" si="58"/>
        <v>-2.6237932752880222E-2</v>
      </c>
      <c r="P423" s="67"/>
      <c r="Q423" s="38">
        <v>45627</v>
      </c>
      <c r="R423" s="39">
        <v>3.633</v>
      </c>
      <c r="S423" s="39">
        <v>3.22</v>
      </c>
      <c r="T423" s="40">
        <f t="shared" si="49"/>
        <v>0.12826086956521743</v>
      </c>
      <c r="U423" s="67"/>
      <c r="V423" s="38">
        <v>45627</v>
      </c>
      <c r="W423" s="39">
        <v>2.3206000000000002</v>
      </c>
      <c r="X423" s="39">
        <v>2.2039</v>
      </c>
      <c r="Y423" s="40">
        <f t="shared" si="59"/>
        <v>5.2951585825128378E-2</v>
      </c>
      <c r="Z423" s="67"/>
      <c r="AA423" s="71">
        <v>45627</v>
      </c>
      <c r="AB423" s="99">
        <v>2618.1</v>
      </c>
      <c r="AC423" s="99">
        <v>2663.7</v>
      </c>
      <c r="AD423" s="73">
        <f t="shared" si="60"/>
        <v>-1.7119044937492944E-2</v>
      </c>
      <c r="AE423" s="67"/>
      <c r="AF423" s="71">
        <v>45627</v>
      </c>
      <c r="AG423" s="72">
        <v>108.49</v>
      </c>
      <c r="AH423" s="72">
        <v>105.83</v>
      </c>
      <c r="AI423" s="73">
        <f t="shared" si="61"/>
        <v>2.5134649910233398E-2</v>
      </c>
      <c r="AJ423" s="67"/>
      <c r="AK423" s="74">
        <v>45657</v>
      </c>
      <c r="AL423" s="41">
        <v>4.58E-2</v>
      </c>
      <c r="AM423" s="41">
        <f t="shared" si="63"/>
        <v>4.0000000000000036E-3</v>
      </c>
      <c r="AN423" s="67"/>
      <c r="AO423" s="75">
        <v>45627</v>
      </c>
      <c r="AP423" s="76">
        <v>393115.25</v>
      </c>
      <c r="AQ423" s="80">
        <f t="shared" si="43"/>
        <v>9.8666904373880815E-3</v>
      </c>
      <c r="AR423" s="67"/>
      <c r="AS423" s="94">
        <v>45627</v>
      </c>
      <c r="AT423" s="78">
        <v>0.92349999999999999</v>
      </c>
      <c r="AU423" s="67"/>
      <c r="AV423" s="79">
        <v>45627</v>
      </c>
      <c r="AW423" s="76">
        <v>418836.5</v>
      </c>
      <c r="AX423" s="80">
        <f t="shared" si="44"/>
        <v>-2.1190500673048174E-2</v>
      </c>
      <c r="AY423" s="67"/>
      <c r="AZ423" s="81">
        <v>45627</v>
      </c>
      <c r="BA423" s="82">
        <v>142.36643981933594</v>
      </c>
      <c r="BB423" s="82">
        <v>128.26246643066406</v>
      </c>
      <c r="BC423" s="67"/>
      <c r="BD423" s="83">
        <v>45641</v>
      </c>
      <c r="BE423" s="42">
        <v>13437</v>
      </c>
      <c r="BF423" s="41">
        <f t="shared" si="45"/>
        <v>3.0606151089878075E-3</v>
      </c>
      <c r="BG423" s="67"/>
      <c r="BH423" s="84">
        <v>45627</v>
      </c>
      <c r="BI423" s="85">
        <v>100.32729999999999</v>
      </c>
      <c r="BJ423" s="87">
        <f t="shared" si="46"/>
        <v>1.0421733766397212E-2</v>
      </c>
      <c r="BK423" s="67"/>
      <c r="BL423" s="84">
        <v>45627</v>
      </c>
      <c r="BM423" s="86">
        <v>-45.006875999999998</v>
      </c>
      <c r="BN423" s="67"/>
      <c r="BO423" s="88">
        <v>45627</v>
      </c>
      <c r="BP423" s="89">
        <v>4.0069999999999997</v>
      </c>
      <c r="BQ423" s="89">
        <v>4.1085000000000003</v>
      </c>
      <c r="BR423" s="90">
        <f t="shared" si="37"/>
        <v>-2.4704880126567019E-2</v>
      </c>
    </row>
    <row r="424" spans="1:70">
      <c r="A424" s="62">
        <v>45658</v>
      </c>
      <c r="B424" s="63">
        <v>45658</v>
      </c>
      <c r="C424" s="39">
        <v>72.53</v>
      </c>
      <c r="D424" s="64">
        <v>71.849999999999994</v>
      </c>
      <c r="E424" s="40">
        <f t="shared" si="57"/>
        <v>9.4641614474599844E-3</v>
      </c>
      <c r="F424" s="65"/>
      <c r="G424" s="63">
        <v>45658</v>
      </c>
      <c r="H424" s="39">
        <v>16.43</v>
      </c>
      <c r="I424" s="39">
        <v>17.21</v>
      </c>
      <c r="J424" s="40">
        <f t="shared" si="62"/>
        <v>-4.5322486926205774E-2</v>
      </c>
      <c r="K424" s="67"/>
      <c r="L424" s="68">
        <v>45658</v>
      </c>
      <c r="M424" s="98">
        <v>6040.53</v>
      </c>
      <c r="N424" s="98">
        <v>5903.26</v>
      </c>
      <c r="O424" s="70">
        <f t="shared" si="58"/>
        <v>2.3253253287166764E-2</v>
      </c>
      <c r="P424" s="67"/>
      <c r="Q424" s="38">
        <v>45658</v>
      </c>
      <c r="R424" s="39">
        <v>3.044</v>
      </c>
      <c r="S424" s="39">
        <v>3.6560000000000001</v>
      </c>
      <c r="T424" s="40">
        <f t="shared" si="49"/>
        <v>-0.16739606126914663</v>
      </c>
      <c r="U424" s="67"/>
      <c r="V424" s="38">
        <v>45658</v>
      </c>
      <c r="W424" s="39">
        <v>2.4845000000000002</v>
      </c>
      <c r="X424" s="39">
        <v>2.3191999999999999</v>
      </c>
      <c r="Y424" s="40">
        <f t="shared" si="59"/>
        <v>7.1274577440496811E-2</v>
      </c>
      <c r="Z424" s="67"/>
      <c r="AA424" s="71">
        <v>45658</v>
      </c>
      <c r="AB424" s="99">
        <v>2845.2</v>
      </c>
      <c r="AC424" s="99">
        <v>2641</v>
      </c>
      <c r="AD424" s="73">
        <f t="shared" si="60"/>
        <v>7.731919727375991E-2</v>
      </c>
      <c r="AE424" s="67"/>
      <c r="AF424" s="71">
        <v>45658</v>
      </c>
      <c r="AG424" s="72">
        <v>108.37</v>
      </c>
      <c r="AH424" s="72">
        <v>108.53</v>
      </c>
      <c r="AI424" s="73">
        <f t="shared" si="61"/>
        <v>-1.4742467520501013E-3</v>
      </c>
      <c r="AJ424" s="67"/>
      <c r="AK424" s="74">
        <v>45688</v>
      </c>
      <c r="AL424" s="41">
        <v>4.58E-2</v>
      </c>
      <c r="AM424" s="41">
        <f t="shared" si="63"/>
        <v>0</v>
      </c>
      <c r="AN424" s="67"/>
      <c r="AO424" s="75">
        <v>45658</v>
      </c>
      <c r="AP424" s="76">
        <v>394515.6</v>
      </c>
      <c r="AQ424" s="80">
        <f t="shared" si="43"/>
        <v>3.5621869159234709E-3</v>
      </c>
      <c r="AR424" s="67"/>
      <c r="AS424" s="94">
        <v>45658</v>
      </c>
      <c r="AT424" s="78">
        <v>0.87780000000000002</v>
      </c>
      <c r="AU424" s="67"/>
      <c r="AV424" s="79">
        <v>45658</v>
      </c>
      <c r="AW424" s="76">
        <v>415580.2</v>
      </c>
      <c r="AX424" s="80">
        <f t="shared" si="44"/>
        <v>-7.7746328221155458E-3</v>
      </c>
      <c r="AY424" s="67"/>
      <c r="AZ424" s="81">
        <v>45658</v>
      </c>
      <c r="BA424" s="82">
        <v>113.233154296875</v>
      </c>
      <c r="BB424" s="82">
        <v>117.08644104003906</v>
      </c>
      <c r="BC424" s="67"/>
      <c r="BD424" s="83">
        <v>45672</v>
      </c>
      <c r="BE424" s="42">
        <v>13140</v>
      </c>
      <c r="BF424" s="41">
        <f t="shared" si="45"/>
        <v>-2.2103148024112507E-2</v>
      </c>
      <c r="BG424" s="67"/>
      <c r="BH424" s="84">
        <v>45658</v>
      </c>
      <c r="BI424" s="85">
        <v>100.0647</v>
      </c>
      <c r="BJ424" s="87">
        <f t="shared" si="46"/>
        <v>-2.6174331413283403E-3</v>
      </c>
      <c r="BK424" s="67"/>
      <c r="BL424" s="84">
        <v>45658</v>
      </c>
      <c r="BM424" s="86">
        <v>-61.962995999999997</v>
      </c>
      <c r="BN424" s="67"/>
      <c r="BO424" s="88">
        <v>45658</v>
      </c>
      <c r="BP424" s="89">
        <v>4.3209999999999997</v>
      </c>
      <c r="BQ424" s="89">
        <v>4.0629999999999997</v>
      </c>
      <c r="BR424" s="90">
        <f t="shared" si="37"/>
        <v>6.3499876938222899E-2</v>
      </c>
    </row>
    <row r="425" spans="1:70">
      <c r="A425" s="62">
        <v>45689</v>
      </c>
      <c r="B425" s="63">
        <v>45689</v>
      </c>
      <c r="C425" s="39">
        <v>69.760000000000005</v>
      </c>
      <c r="D425" s="64">
        <v>74.14</v>
      </c>
      <c r="E425" s="40">
        <f t="shared" si="57"/>
        <v>-5.907742109522518E-2</v>
      </c>
      <c r="F425" s="65"/>
      <c r="G425" s="63">
        <v>45689</v>
      </c>
      <c r="H425" s="39">
        <v>19.63</v>
      </c>
      <c r="I425" s="39">
        <v>20.36</v>
      </c>
      <c r="J425" s="40">
        <f t="shared" si="62"/>
        <v>-3.5854616895874325E-2</v>
      </c>
      <c r="K425" s="67"/>
      <c r="L425" s="68">
        <v>45689</v>
      </c>
      <c r="M425" s="98">
        <v>5954.5</v>
      </c>
      <c r="N425" s="98">
        <v>5969.65</v>
      </c>
      <c r="O425" s="70">
        <f t="shared" si="58"/>
        <v>-2.5378372266380289E-3</v>
      </c>
      <c r="P425" s="67"/>
      <c r="Q425" s="38">
        <v>45689</v>
      </c>
      <c r="R425" s="39">
        <v>3.8340000000000001</v>
      </c>
      <c r="S425" s="39">
        <v>3.23</v>
      </c>
      <c r="T425" s="40">
        <f t="shared" si="49"/>
        <v>0.18699690402476787</v>
      </c>
      <c r="U425" s="67"/>
      <c r="V425" s="38">
        <v>45689</v>
      </c>
      <c r="W425" s="39">
        <v>2.3149999999999999</v>
      </c>
      <c r="X425" s="39">
        <v>2.4089999999999998</v>
      </c>
      <c r="Y425" s="40">
        <f t="shared" si="59"/>
        <v>-3.9020340390203301E-2</v>
      </c>
      <c r="Z425" s="67"/>
      <c r="AA425" s="71">
        <v>45689</v>
      </c>
      <c r="AB425" s="99">
        <v>2895.9</v>
      </c>
      <c r="AC425" s="99">
        <v>2846.5</v>
      </c>
      <c r="AD425" s="73">
        <f t="shared" si="60"/>
        <v>1.7354646056560785E-2</v>
      </c>
      <c r="AE425" s="67"/>
      <c r="AF425" s="71">
        <v>45689</v>
      </c>
      <c r="AG425" s="72">
        <v>107.61</v>
      </c>
      <c r="AH425" s="72">
        <v>108.5</v>
      </c>
      <c r="AI425" s="73">
        <f t="shared" si="61"/>
        <v>-8.2027649769584876E-3</v>
      </c>
      <c r="AJ425" s="67"/>
      <c r="AK425" s="74">
        <v>45716</v>
      </c>
      <c r="AL425" s="41">
        <v>4.24E-2</v>
      </c>
      <c r="AM425" s="41">
        <f t="shared" si="63"/>
        <v>-3.4000000000000002E-3</v>
      </c>
      <c r="AN425" s="67"/>
      <c r="AO425" s="75">
        <v>45689</v>
      </c>
      <c r="AP425" s="76">
        <v>395313</v>
      </c>
      <c r="AQ425" s="80">
        <f t="shared" si="43"/>
        <v>2.0212128493779513E-3</v>
      </c>
      <c r="AR425" s="67"/>
      <c r="AS425" s="94">
        <v>45689</v>
      </c>
      <c r="AT425" s="78">
        <v>0.85575000000000001</v>
      </c>
      <c r="AU425" s="67"/>
      <c r="AV425" s="79">
        <v>45689</v>
      </c>
      <c r="AW425" s="76">
        <v>431072.25</v>
      </c>
      <c r="AX425" s="80">
        <f t="shared" si="44"/>
        <v>3.727812345246484E-2</v>
      </c>
      <c r="AY425" s="67"/>
      <c r="AZ425" s="81">
        <v>45689</v>
      </c>
      <c r="BA425" s="82">
        <v>136.97137451171875</v>
      </c>
      <c r="BB425" s="82">
        <v>138.75831604003906</v>
      </c>
      <c r="BC425" s="67"/>
      <c r="BD425" s="83">
        <v>45703</v>
      </c>
      <c r="BE425" s="42">
        <v>13240</v>
      </c>
      <c r="BF425" s="41">
        <f t="shared" si="45"/>
        <v>7.6103500761035558E-3</v>
      </c>
      <c r="BG425" s="67"/>
      <c r="BH425" s="84">
        <v>45689</v>
      </c>
      <c r="BI425" s="85">
        <v>101.0993</v>
      </c>
      <c r="BJ425" s="87">
        <f t="shared" si="46"/>
        <v>1.033931046612846E-2</v>
      </c>
      <c r="BK425" s="67"/>
      <c r="BL425" s="84">
        <v>45689</v>
      </c>
      <c r="BM425" s="86">
        <v>-66.192324999999997</v>
      </c>
      <c r="BN425" s="67"/>
      <c r="BO425" s="88">
        <v>45689</v>
      </c>
      <c r="BP425" s="89">
        <v>4.5274999999999999</v>
      </c>
      <c r="BQ425" s="89">
        <v>4.2584999999999997</v>
      </c>
      <c r="BR425" s="90">
        <f t="shared" si="37"/>
        <v>6.3167782082893087E-2</v>
      </c>
    </row>
    <row r="426" spans="1:70">
      <c r="A426" s="62">
        <v>45717</v>
      </c>
      <c r="B426" s="63">
        <v>45717</v>
      </c>
      <c r="C426" s="39">
        <v>71.48</v>
      </c>
      <c r="D426" s="64">
        <v>69.95</v>
      </c>
      <c r="E426" s="40">
        <f t="shared" si="57"/>
        <v>2.1872766261615384E-2</v>
      </c>
      <c r="F426" s="65"/>
      <c r="G426" s="63">
        <v>45717</v>
      </c>
      <c r="H426" s="39">
        <v>22.28</v>
      </c>
      <c r="I426" s="39">
        <v>19.829999999999998</v>
      </c>
      <c r="J426" s="40">
        <f t="shared" si="62"/>
        <v>0.12355017650025224</v>
      </c>
      <c r="K426" s="67"/>
      <c r="L426" s="68">
        <v>45717</v>
      </c>
      <c r="M426" s="98">
        <v>5611.85</v>
      </c>
      <c r="N426" s="98">
        <v>5968.33</v>
      </c>
      <c r="O426" s="70">
        <f t="shared" si="58"/>
        <v>-5.9728600797878006E-2</v>
      </c>
      <c r="P426" s="67"/>
      <c r="Q426" s="38">
        <v>45717</v>
      </c>
      <c r="R426" s="39">
        <v>4.1189999999999998</v>
      </c>
      <c r="S426" s="39">
        <v>3.7789999999999999</v>
      </c>
      <c r="T426" s="40">
        <f t="shared" si="49"/>
        <v>8.997089177030948E-2</v>
      </c>
      <c r="U426" s="67"/>
      <c r="V426" s="38">
        <v>45717</v>
      </c>
      <c r="W426" s="39">
        <v>2.3140000000000001</v>
      </c>
      <c r="X426" s="39">
        <v>2.3239000000000001</v>
      </c>
      <c r="Y426" s="40">
        <f t="shared" si="59"/>
        <v>-4.2600800378673753E-3</v>
      </c>
      <c r="Z426" s="67"/>
      <c r="AA426" s="71">
        <v>45717</v>
      </c>
      <c r="AB426" s="99">
        <v>3150.3</v>
      </c>
      <c r="AC426" s="99">
        <v>2872</v>
      </c>
      <c r="AD426" s="73">
        <f t="shared" si="60"/>
        <v>9.6901114206128236E-2</v>
      </c>
      <c r="AE426" s="67"/>
      <c r="AF426" s="71">
        <v>45717</v>
      </c>
      <c r="AG426" s="72">
        <v>104.21</v>
      </c>
      <c r="AH426" s="72">
        <v>107.56</v>
      </c>
      <c r="AI426" s="73">
        <f t="shared" si="61"/>
        <v>-3.1145407214578036E-2</v>
      </c>
      <c r="AJ426" s="67"/>
      <c r="AK426" s="74">
        <v>45747</v>
      </c>
      <c r="AL426" s="41">
        <v>4.2300000000000004E-2</v>
      </c>
      <c r="AM426" s="41">
        <f t="shared" si="63"/>
        <v>-9.9999999999995925E-5</v>
      </c>
      <c r="AN426" s="67"/>
      <c r="AO426" s="75">
        <v>45717</v>
      </c>
      <c r="AP426" s="76">
        <v>396008.5</v>
      </c>
      <c r="AQ426" s="80">
        <f t="shared" si="43"/>
        <v>1.7593653636485129E-3</v>
      </c>
      <c r="AR426" s="67"/>
      <c r="AS426" s="94">
        <v>45717</v>
      </c>
      <c r="AT426" s="78">
        <v>0.86599999999999999</v>
      </c>
      <c r="AU426" s="67"/>
      <c r="AV426" s="79">
        <v>45717</v>
      </c>
      <c r="AW426" s="76">
        <v>436402.5</v>
      </c>
      <c r="AX426" s="80">
        <f t="shared" si="44"/>
        <v>1.2365096570238432E-2</v>
      </c>
      <c r="AY426" s="67"/>
      <c r="AZ426" s="81">
        <v>45717</v>
      </c>
      <c r="BA426" s="82">
        <v>173.91439819335938</v>
      </c>
      <c r="BB426" s="82">
        <v>193.69613647460938</v>
      </c>
      <c r="BC426" s="67"/>
      <c r="BD426" s="83">
        <v>45731</v>
      </c>
      <c r="BE426" s="42">
        <v>13453</v>
      </c>
      <c r="BF426" s="41">
        <f t="shared" si="45"/>
        <v>1.6087613293051417E-2</v>
      </c>
      <c r="BG426" s="67"/>
      <c r="BH426" s="84">
        <v>45717</v>
      </c>
      <c r="BI426" s="85">
        <v>101.04040000000001</v>
      </c>
      <c r="BJ426" s="87">
        <f t="shared" si="46"/>
        <v>-5.8259552736761311E-4</v>
      </c>
      <c r="BK426" s="67"/>
      <c r="BL426" s="84">
        <v>45717</v>
      </c>
      <c r="BM426" s="86">
        <v>-11.971788</v>
      </c>
      <c r="BN426" s="67"/>
      <c r="BO426" s="88">
        <v>45717</v>
      </c>
      <c r="BP426" s="89">
        <v>5.0199999999999996</v>
      </c>
      <c r="BQ426" s="89">
        <v>4.5445000000000002</v>
      </c>
      <c r="BR426" s="90">
        <f t="shared" si="37"/>
        <v>0.10463197271426994</v>
      </c>
    </row>
    <row r="427" spans="1:70">
      <c r="A427" s="62">
        <v>45748</v>
      </c>
      <c r="B427" s="63">
        <v>45748</v>
      </c>
      <c r="C427" s="39">
        <v>58.21</v>
      </c>
      <c r="D427" s="64">
        <v>71.39</v>
      </c>
      <c r="E427" s="40">
        <f t="shared" si="57"/>
        <v>-0.18461969463510297</v>
      </c>
      <c r="F427" s="65"/>
      <c r="G427" s="63">
        <v>45748</v>
      </c>
      <c r="H427" s="39">
        <v>24.7</v>
      </c>
      <c r="I427" s="39">
        <v>22.06</v>
      </c>
      <c r="J427" s="40">
        <f t="shared" si="62"/>
        <v>0.11967361740707161</v>
      </c>
      <c r="K427" s="67"/>
      <c r="L427" s="68">
        <v>45748</v>
      </c>
      <c r="M427" s="98">
        <v>5569.06</v>
      </c>
      <c r="N427" s="98">
        <v>5597.53</v>
      </c>
      <c r="O427" s="70">
        <f t="shared" si="58"/>
        <v>-5.0861719365504765E-3</v>
      </c>
      <c r="P427" s="67"/>
      <c r="Q427" s="38">
        <v>45748</v>
      </c>
      <c r="R427" s="39">
        <v>3.3260000000000001</v>
      </c>
      <c r="S427" s="39">
        <v>4.1319999999999997</v>
      </c>
      <c r="T427" s="40">
        <f t="shared" si="49"/>
        <v>-0.19506292352371724</v>
      </c>
      <c r="U427" s="67"/>
      <c r="V427" s="38">
        <v>45748</v>
      </c>
      <c r="W427" s="39">
        <v>2.0367000000000002</v>
      </c>
      <c r="X427" s="39">
        <v>2.2801</v>
      </c>
      <c r="Y427" s="40">
        <f t="shared" si="59"/>
        <v>-0.10674970396035255</v>
      </c>
      <c r="Z427" s="67"/>
      <c r="AA427" s="71">
        <v>45748</v>
      </c>
      <c r="AB427" s="99">
        <v>3319.1</v>
      </c>
      <c r="AC427" s="99">
        <v>3157.3</v>
      </c>
      <c r="AD427" s="73">
        <f t="shared" si="60"/>
        <v>5.1246318056567208E-2</v>
      </c>
      <c r="AE427" s="67"/>
      <c r="AF427" s="71">
        <v>45748</v>
      </c>
      <c r="AG427" s="72">
        <v>99.47</v>
      </c>
      <c r="AH427" s="72">
        <v>104.18</v>
      </c>
      <c r="AI427" s="73">
        <f t="shared" si="61"/>
        <v>-4.5210213092724216E-2</v>
      </c>
      <c r="AJ427" s="67"/>
      <c r="AK427" s="74">
        <v>45777</v>
      </c>
      <c r="AL427" s="41">
        <v>4.1700000000000001E-2</v>
      </c>
      <c r="AM427" s="41">
        <f t="shared" si="63"/>
        <v>-6.0000000000000331E-4</v>
      </c>
      <c r="AN427" s="67"/>
      <c r="AO427" s="75">
        <v>45748</v>
      </c>
      <c r="AP427" s="76">
        <v>397434.5</v>
      </c>
      <c r="AQ427" s="80">
        <f t="shared" si="43"/>
        <v>3.6009328082604597E-3</v>
      </c>
      <c r="AR427" s="67"/>
      <c r="AS427" s="94">
        <v>45748</v>
      </c>
      <c r="AT427" s="78">
        <v>0.87424999999999997</v>
      </c>
      <c r="AU427" s="67"/>
      <c r="AV427" s="79">
        <v>45748</v>
      </c>
      <c r="AW427" s="76">
        <v>442179.25</v>
      </c>
      <c r="AX427" s="80">
        <f t="shared" si="44"/>
        <v>1.3237206477964669E-2</v>
      </c>
      <c r="AY427" s="67"/>
      <c r="AZ427" s="81">
        <v>45748</v>
      </c>
      <c r="BA427" s="82">
        <v>140.97369384765625</v>
      </c>
      <c r="BB427" s="82">
        <v>159.25746154785156</v>
      </c>
      <c r="BC427" s="67"/>
      <c r="BD427" s="83">
        <v>45762</v>
      </c>
      <c r="BE427" s="42">
        <v>13466</v>
      </c>
      <c r="BF427" s="41">
        <f t="shared" si="45"/>
        <v>9.663272132609535E-4</v>
      </c>
      <c r="BG427" s="67"/>
      <c r="BH427" s="84">
        <v>45748</v>
      </c>
      <c r="BI427" s="85">
        <v>101.1279</v>
      </c>
      <c r="BJ427" s="87">
        <f t="shared" si="46"/>
        <v>8.6599023756828153E-4</v>
      </c>
      <c r="BK427" s="67"/>
      <c r="BL427" s="84">
        <v>45748</v>
      </c>
      <c r="BM427" s="86">
        <v>-23.654551999999999</v>
      </c>
      <c r="BN427" s="67"/>
      <c r="BO427" s="88">
        <v>45748</v>
      </c>
      <c r="BP427" s="89">
        <v>4.609</v>
      </c>
      <c r="BQ427" s="89">
        <v>5.0750000000000002</v>
      </c>
      <c r="BR427" s="90">
        <f t="shared" si="37"/>
        <v>-9.1822660098522246E-2</v>
      </c>
    </row>
    <row r="428" spans="1:70">
      <c r="A428" s="62">
        <v>45778</v>
      </c>
      <c r="B428" s="63">
        <v>45778</v>
      </c>
      <c r="C428" s="39">
        <v>60.79</v>
      </c>
      <c r="D428" s="64">
        <v>58.16</v>
      </c>
      <c r="E428" s="40">
        <f t="shared" si="57"/>
        <v>4.5220082530949224E-2</v>
      </c>
      <c r="F428" s="65"/>
      <c r="G428" s="63">
        <v>45778</v>
      </c>
      <c r="H428" s="39">
        <v>18.57</v>
      </c>
      <c r="I428" s="39">
        <v>23.94</v>
      </c>
      <c r="J428" s="40">
        <f t="shared" si="62"/>
        <v>-0.22431077694235591</v>
      </c>
      <c r="K428" s="67"/>
      <c r="L428" s="68">
        <v>45778</v>
      </c>
      <c r="M428" s="98">
        <v>5911.69</v>
      </c>
      <c r="N428" s="98">
        <v>5625.14</v>
      </c>
      <c r="O428" s="70">
        <f t="shared" si="58"/>
        <v>5.0940954358469126E-2</v>
      </c>
      <c r="P428" s="67"/>
      <c r="Q428" s="38">
        <v>45778</v>
      </c>
      <c r="R428" s="39">
        <v>3.4470000000000001</v>
      </c>
      <c r="S428" s="39">
        <v>3.3530000000000002</v>
      </c>
      <c r="T428" s="40">
        <f t="shared" si="49"/>
        <v>2.8034595884282698E-2</v>
      </c>
      <c r="U428" s="67"/>
      <c r="V428" s="38">
        <v>45778</v>
      </c>
      <c r="W428" s="39">
        <v>2.0171999999999999</v>
      </c>
      <c r="X428" s="39">
        <v>2.0023</v>
      </c>
      <c r="Y428" s="40">
        <f t="shared" si="59"/>
        <v>7.4414423413073916E-3</v>
      </c>
      <c r="Z428" s="67"/>
      <c r="AA428" s="71">
        <v>45778</v>
      </c>
      <c r="AB428" s="99">
        <v>3343.9</v>
      </c>
      <c r="AC428" s="99">
        <v>3299</v>
      </c>
      <c r="AD428" s="73">
        <f t="shared" si="60"/>
        <v>1.3610184904516487E-2</v>
      </c>
      <c r="AE428" s="67"/>
      <c r="AF428" s="71">
        <v>45778</v>
      </c>
      <c r="AG428" s="72">
        <v>99.33</v>
      </c>
      <c r="AH428" s="72">
        <v>99.65</v>
      </c>
      <c r="AI428" s="73">
        <f t="shared" si="61"/>
        <v>-3.2112393376819703E-3</v>
      </c>
      <c r="AJ428" s="67"/>
      <c r="AK428" s="74">
        <v>45808</v>
      </c>
      <c r="AL428" s="41">
        <v>4.41E-2</v>
      </c>
      <c r="AM428" s="41">
        <f t="shared" si="63"/>
        <v>2.3999999999999994E-3</v>
      </c>
      <c r="AN428" s="67"/>
      <c r="AO428" s="92">
        <v>45778</v>
      </c>
      <c r="AP428" s="76">
        <v>400480</v>
      </c>
      <c r="AQ428" s="80">
        <f t="shared" si="43"/>
        <v>7.6628979114796714E-3</v>
      </c>
      <c r="AR428" s="67"/>
      <c r="AS428" s="97">
        <v>45778</v>
      </c>
      <c r="AT428" s="78">
        <v>0.90700000000000003</v>
      </c>
      <c r="AU428" s="67"/>
      <c r="AV428" s="93">
        <v>45778</v>
      </c>
      <c r="AW428" s="76">
        <v>439957.2</v>
      </c>
      <c r="AX428" s="80">
        <f t="shared" si="44"/>
        <v>-5.0252244988882033E-3</v>
      </c>
      <c r="AY428" s="67"/>
      <c r="AZ428" s="81">
        <v>45778</v>
      </c>
      <c r="BA428" s="82">
        <v>165.65699768066406</v>
      </c>
      <c r="BB428" s="82">
        <v>203.55316162109375</v>
      </c>
      <c r="BC428" s="67"/>
      <c r="BD428" s="83">
        <v>45792</v>
      </c>
      <c r="BE428" s="42">
        <v>13447</v>
      </c>
      <c r="BF428" s="41">
        <f t="shared" si="45"/>
        <v>-1.4109609386603328E-3</v>
      </c>
      <c r="BG428" s="67"/>
      <c r="BH428" s="84">
        <v>45778</v>
      </c>
      <c r="BI428" s="85">
        <v>100.96550000000001</v>
      </c>
      <c r="BJ428" s="87">
        <f t="shared" si="46"/>
        <v>-1.6058871982903566E-3</v>
      </c>
      <c r="BK428" s="67"/>
      <c r="BL428" s="84">
        <v>45778</v>
      </c>
      <c r="BM428" s="86">
        <v>-25.139126999999998</v>
      </c>
      <c r="BN428" s="67"/>
      <c r="BO428" s="88">
        <v>45778</v>
      </c>
      <c r="BP428" s="89">
        <v>4.7294999999999998</v>
      </c>
      <c r="BQ428" s="89">
        <v>4.6825000000000001</v>
      </c>
      <c r="BR428" s="90">
        <f t="shared" si="37"/>
        <v>1.0037373198077848E-2</v>
      </c>
    </row>
    <row r="429" spans="1:70">
      <c r="A429" s="62">
        <v>45809</v>
      </c>
      <c r="B429" s="63">
        <v>45809</v>
      </c>
      <c r="C429" s="39">
        <v>65.11</v>
      </c>
      <c r="D429" s="64">
        <v>61.11</v>
      </c>
      <c r="E429" s="40">
        <f t="shared" si="57"/>
        <v>6.5455735558828332E-2</v>
      </c>
      <c r="F429" s="65"/>
      <c r="G429" s="63">
        <v>45809</v>
      </c>
      <c r="H429" s="39">
        <v>16.73</v>
      </c>
      <c r="I429" s="39">
        <v>19.809999999999999</v>
      </c>
      <c r="J429" s="40">
        <f t="shared" si="62"/>
        <v>-0.15547703180212002</v>
      </c>
      <c r="K429" s="67"/>
      <c r="L429" s="68">
        <v>45809</v>
      </c>
      <c r="M429" s="98">
        <v>6204.95</v>
      </c>
      <c r="N429" s="98">
        <v>5896.68</v>
      </c>
      <c r="O429" s="70">
        <f t="shared" si="58"/>
        <v>5.2278570314142847E-2</v>
      </c>
      <c r="P429" s="67"/>
      <c r="Q429" s="38">
        <v>45809</v>
      </c>
      <c r="R429" s="39">
        <v>3.456</v>
      </c>
      <c r="S429" s="39">
        <v>3.5009999999999999</v>
      </c>
      <c r="T429" s="40">
        <f t="shared" si="49"/>
        <v>-1.2853470437018011E-2</v>
      </c>
      <c r="U429" s="67"/>
      <c r="V429" s="38">
        <v>45809</v>
      </c>
      <c r="W429" s="39">
        <v>2.3458000000000001</v>
      </c>
      <c r="X429" s="39">
        <v>2.0038</v>
      </c>
      <c r="Y429" s="40">
        <f t="shared" si="59"/>
        <v>0.1706757161393353</v>
      </c>
      <c r="Z429" s="67"/>
      <c r="AA429" s="71">
        <v>45809</v>
      </c>
      <c r="AB429" s="99">
        <v>3307.7</v>
      </c>
      <c r="AC429" s="99">
        <v>3323</v>
      </c>
      <c r="AD429" s="73">
        <f t="shared" si="60"/>
        <v>-4.6042732470659153E-3</v>
      </c>
      <c r="AE429" s="67"/>
      <c r="AF429" s="71">
        <v>45809</v>
      </c>
      <c r="AG429" s="72">
        <v>96.88</v>
      </c>
      <c r="AH429" s="72">
        <v>99.41</v>
      </c>
      <c r="AI429" s="73">
        <f t="shared" si="61"/>
        <v>-2.5450155919927608E-2</v>
      </c>
      <c r="AJ429" s="67"/>
      <c r="AK429" s="74">
        <v>45838</v>
      </c>
      <c r="AL429" s="41">
        <v>4.24E-2</v>
      </c>
      <c r="AM429" s="41">
        <f t="shared" si="63"/>
        <v>-1.7000000000000001E-3</v>
      </c>
      <c r="AN429" s="67"/>
      <c r="AO429" s="75">
        <v>45809</v>
      </c>
      <c r="AP429" s="76">
        <v>402409.75</v>
      </c>
      <c r="AQ429" s="80">
        <f t="shared" si="43"/>
        <v>4.8185926887733821E-3</v>
      </c>
      <c r="AR429" s="67"/>
      <c r="AS429" s="94">
        <v>45809</v>
      </c>
      <c r="AT429" s="78">
        <v>0.94275000000000009</v>
      </c>
      <c r="AU429" s="67"/>
      <c r="AV429" s="79">
        <v>45809</v>
      </c>
      <c r="AW429" s="76">
        <v>421853.5</v>
      </c>
      <c r="AX429" s="80">
        <f t="shared" si="44"/>
        <v>-4.1148775380878022E-2</v>
      </c>
      <c r="AY429" s="67"/>
      <c r="AZ429" s="81">
        <v>45809</v>
      </c>
      <c r="BA429" s="82">
        <v>222.37838745117188</v>
      </c>
      <c r="BB429" s="82">
        <v>288.16049194335938</v>
      </c>
      <c r="BC429" s="67"/>
      <c r="BD429" s="83">
        <v>45823</v>
      </c>
      <c r="BE429" s="42">
        <v>13610</v>
      </c>
      <c r="BF429" s="41">
        <f t="shared" si="45"/>
        <v>1.2121662824421842E-2</v>
      </c>
      <c r="BG429" s="67"/>
      <c r="BH429" s="84">
        <v>45809</v>
      </c>
      <c r="BI429" s="85">
        <v>101.4785</v>
      </c>
      <c r="BJ429" s="87">
        <f t="shared" si="46"/>
        <v>5.0809434905982886E-3</v>
      </c>
      <c r="BK429" s="67"/>
      <c r="BL429" s="84">
        <v>45809</v>
      </c>
      <c r="BM429" s="86">
        <v>-2.4058484999999998</v>
      </c>
      <c r="BN429" s="67"/>
      <c r="BO429" s="88">
        <v>45809</v>
      </c>
      <c r="BP429" s="89">
        <v>5.0824999999999996</v>
      </c>
      <c r="BQ429" s="89">
        <v>4.79</v>
      </c>
      <c r="BR429" s="90">
        <f t="shared" si="37"/>
        <v>6.1064718162839204E-2</v>
      </c>
    </row>
    <row r="430" spans="1:70">
      <c r="A430" s="62">
        <v>45839</v>
      </c>
      <c r="B430" s="63">
        <v>45839</v>
      </c>
      <c r="C430" s="39">
        <v>69.260000000000005</v>
      </c>
      <c r="D430" s="64">
        <v>64.959999999999994</v>
      </c>
      <c r="E430" s="40">
        <f t="shared" si="57"/>
        <v>6.6194581280788256E-2</v>
      </c>
      <c r="F430" s="65"/>
      <c r="G430" s="63">
        <v>45839</v>
      </c>
      <c r="H430" s="39">
        <v>16.72</v>
      </c>
      <c r="I430" s="39">
        <v>16.98</v>
      </c>
      <c r="J430" s="40">
        <f t="shared" si="62"/>
        <v>-1.531213191990588E-2</v>
      </c>
      <c r="K430" s="67"/>
      <c r="L430" s="68">
        <v>45839</v>
      </c>
      <c r="M430" s="98">
        <v>6339.39</v>
      </c>
      <c r="N430" s="98">
        <v>6187.25</v>
      </c>
      <c r="O430" s="70">
        <f t="shared" si="58"/>
        <v>2.4589276334397336E-2</v>
      </c>
      <c r="P430" s="67"/>
      <c r="Q430" s="38">
        <v>45839</v>
      </c>
      <c r="R430" s="39">
        <v>3.1059999999999999</v>
      </c>
      <c r="S430" s="39">
        <v>3.4529999999999998</v>
      </c>
      <c r="T430" s="40">
        <f t="shared" si="49"/>
        <v>-0.10049232551404574</v>
      </c>
      <c r="U430" s="67"/>
      <c r="V430" s="38">
        <v>45839</v>
      </c>
      <c r="W430" s="39">
        <v>2.3995000000000002</v>
      </c>
      <c r="X430" s="39">
        <v>2.2694999999999999</v>
      </c>
      <c r="Y430" s="40">
        <f t="shared" si="59"/>
        <v>5.728133950209302E-2</v>
      </c>
      <c r="Z430" s="67"/>
      <c r="AA430" s="71">
        <v>45839</v>
      </c>
      <c r="AB430" s="99">
        <v>3348.6</v>
      </c>
      <c r="AC430" s="99">
        <v>3315.7</v>
      </c>
      <c r="AD430" s="73">
        <f t="shared" si="60"/>
        <v>9.9224899719516646E-3</v>
      </c>
      <c r="AE430" s="67"/>
      <c r="AF430" s="71">
        <v>45839</v>
      </c>
      <c r="AG430" s="72">
        <v>99.97</v>
      </c>
      <c r="AH430" s="72">
        <v>96.78</v>
      </c>
      <c r="AI430" s="73">
        <f t="shared" si="61"/>
        <v>3.2961355651994095E-2</v>
      </c>
      <c r="AJ430" s="67"/>
      <c r="AK430" s="74">
        <v>45869</v>
      </c>
      <c r="AL430" s="41">
        <v>4.3700000000000003E-2</v>
      </c>
      <c r="AM430" s="41">
        <f t="shared" si="63"/>
        <v>1.3000000000000025E-3</v>
      </c>
      <c r="AN430" s="67"/>
      <c r="AO430" s="75">
        <v>45839</v>
      </c>
      <c r="AP430" s="76">
        <v>402737.5</v>
      </c>
      <c r="AQ430" s="80">
        <f t="shared" si="43"/>
        <v>8.1446833731035895E-4</v>
      </c>
      <c r="AR430" s="67"/>
      <c r="AS430" s="94">
        <v>45839</v>
      </c>
      <c r="AT430" s="78">
        <v>0.94874999999999998</v>
      </c>
      <c r="AU430" s="67"/>
      <c r="AV430" s="79">
        <v>45839</v>
      </c>
      <c r="AW430" s="76">
        <v>423466.75</v>
      </c>
      <c r="AX430" s="80">
        <f t="shared" si="44"/>
        <v>3.8241948923025681E-3</v>
      </c>
      <c r="AY430" s="67"/>
      <c r="AZ430" s="81">
        <v>45839</v>
      </c>
      <c r="BA430" s="82">
        <v>134.02076721191406</v>
      </c>
      <c r="BB430" s="82">
        <v>156.11004638671875</v>
      </c>
      <c r="BC430" s="67"/>
      <c r="BD430" s="83">
        <v>45853</v>
      </c>
      <c r="BE430" s="42">
        <v>13707</v>
      </c>
      <c r="BF430" s="41">
        <f t="shared" si="45"/>
        <v>7.1271124173402089E-3</v>
      </c>
      <c r="BG430" s="67"/>
      <c r="BH430" s="84">
        <v>45839</v>
      </c>
      <c r="BI430" s="85">
        <v>101.89400000000001</v>
      </c>
      <c r="BJ430" s="87">
        <f t="shared" si="46"/>
        <v>4.094463359233913E-3</v>
      </c>
      <c r="BK430" s="67"/>
      <c r="BL430" s="84">
        <v>45839</v>
      </c>
      <c r="BM430" s="86">
        <v>5.1262334000000003</v>
      </c>
      <c r="BN430" s="67"/>
      <c r="BO430" s="88">
        <v>45839</v>
      </c>
      <c r="BP430" s="89">
        <v>4.3765000000000001</v>
      </c>
      <c r="BQ430" s="89">
        <v>5.109</v>
      </c>
      <c r="BR430" s="90">
        <f t="shared" si="37"/>
        <v>-0.14337443726756705</v>
      </c>
    </row>
    <row r="431" spans="1:70">
      <c r="A431" s="62">
        <v>45870</v>
      </c>
      <c r="B431" s="63">
        <v>45870</v>
      </c>
      <c r="C431" s="39">
        <v>64.010000000000005</v>
      </c>
      <c r="D431" s="64">
        <v>69.349999999999994</v>
      </c>
      <c r="E431" s="40">
        <f t="shared" si="57"/>
        <v>-7.7000720980533344E-2</v>
      </c>
      <c r="F431" s="65"/>
      <c r="G431" s="63">
        <v>45870</v>
      </c>
      <c r="H431" s="39">
        <v>15.36</v>
      </c>
      <c r="I431" s="39">
        <v>17.399999999999999</v>
      </c>
      <c r="J431" s="40">
        <f t="shared" si="62"/>
        <v>-0.11724137931034484</v>
      </c>
      <c r="K431" s="67"/>
      <c r="L431" s="68">
        <v>45870</v>
      </c>
      <c r="M431" s="98">
        <v>6460.26</v>
      </c>
      <c r="N431" s="98">
        <v>6287.28</v>
      </c>
      <c r="O431" s="70">
        <f t="shared" si="58"/>
        <v>2.7512692293010677E-2</v>
      </c>
      <c r="P431" s="67"/>
      <c r="Q431" s="38">
        <v>45870</v>
      </c>
      <c r="R431" s="39">
        <v>2.9969999999999999</v>
      </c>
      <c r="S431" s="39">
        <v>3.1</v>
      </c>
      <c r="T431" s="40">
        <f t="shared" si="49"/>
        <v>-3.3225806451612994E-2</v>
      </c>
      <c r="U431" s="67"/>
      <c r="V431" s="38">
        <v>45870</v>
      </c>
      <c r="W431" s="39">
        <v>2.2667000000000002</v>
      </c>
      <c r="X431" s="39">
        <v>2.3984999999999999</v>
      </c>
      <c r="Y431" s="40">
        <f t="shared" si="59"/>
        <v>-5.4951011048571918E-2</v>
      </c>
      <c r="Z431" s="67"/>
      <c r="AA431" s="71">
        <v>45870</v>
      </c>
      <c r="AB431" s="99">
        <v>3512</v>
      </c>
      <c r="AC431" s="99">
        <v>3416.6</v>
      </c>
      <c r="AD431" s="73">
        <f t="shared" si="60"/>
        <v>2.7922496048703449E-2</v>
      </c>
      <c r="AE431" s="67"/>
      <c r="AF431" s="71">
        <v>45870</v>
      </c>
      <c r="AG431" s="72">
        <v>97.77</v>
      </c>
      <c r="AH431" s="72">
        <v>100.01</v>
      </c>
      <c r="AI431" s="73">
        <f t="shared" si="61"/>
        <v>-2.2397760223977659E-2</v>
      </c>
      <c r="AJ431" s="67"/>
      <c r="AK431" s="74">
        <v>45900</v>
      </c>
      <c r="AL431" s="41">
        <v>4.2300000000000004E-2</v>
      </c>
      <c r="AM431" s="41">
        <f t="shared" si="63"/>
        <v>-1.3999999999999985E-3</v>
      </c>
      <c r="AN431" s="67"/>
      <c r="AO431" s="75">
        <v>45870</v>
      </c>
      <c r="AP431" s="76">
        <v>403702.8</v>
      </c>
      <c r="AQ431" s="80">
        <f t="shared" si="43"/>
        <v>2.396846581209866E-3</v>
      </c>
      <c r="AR431" s="67"/>
      <c r="AS431" s="94">
        <v>45870</v>
      </c>
      <c r="AT431" s="78">
        <v>0.95760000000000001</v>
      </c>
      <c r="AU431" s="67"/>
      <c r="AV431" s="79">
        <v>45870</v>
      </c>
      <c r="AW431" s="76">
        <v>422008.6</v>
      </c>
      <c r="AX431" s="80">
        <f t="shared" si="44"/>
        <v>-3.4433636170962956E-3</v>
      </c>
      <c r="AY431" s="67"/>
      <c r="AZ431" s="81">
        <v>45870</v>
      </c>
      <c r="BA431" s="82">
        <v>138.56211853027344</v>
      </c>
      <c r="BB431" s="82">
        <v>160.41519165039063</v>
      </c>
      <c r="BC431" s="67"/>
      <c r="BD431" s="83">
        <v>45884</v>
      </c>
      <c r="BE431" s="42">
        <v>13810</v>
      </c>
      <c r="BF431" s="41">
        <f t="shared" si="45"/>
        <v>7.5144086962866119E-3</v>
      </c>
      <c r="BG431" s="67"/>
      <c r="BH431" s="84">
        <v>45870</v>
      </c>
      <c r="BI431" s="85">
        <v>101.6247</v>
      </c>
      <c r="BJ431" s="87">
        <f t="shared" si="46"/>
        <v>-2.6429426659076993E-3</v>
      </c>
      <c r="BK431" s="67"/>
      <c r="BL431" s="84">
        <v>45870</v>
      </c>
      <c r="BM431" s="86">
        <v>14.431971000000001</v>
      </c>
      <c r="BN431" s="67"/>
      <c r="BO431" s="88">
        <v>45870</v>
      </c>
      <c r="BP431" s="89">
        <v>4.5904999999999996</v>
      </c>
      <c r="BQ431" s="89">
        <v>4.4820000000000002</v>
      </c>
      <c r="BR431" s="90">
        <f t="shared" si="37"/>
        <v>2.4207942882641609E-2</v>
      </c>
    </row>
    <row r="432" spans="1:70">
      <c r="A432" s="62">
        <v>45901</v>
      </c>
      <c r="B432" s="63">
        <v>45901</v>
      </c>
      <c r="C432" s="39">
        <v>62.37</v>
      </c>
      <c r="D432" s="64">
        <v>63.95</v>
      </c>
      <c r="E432" s="40">
        <f t="shared" si="57"/>
        <v>-2.4706802189210397E-2</v>
      </c>
      <c r="F432" s="65"/>
      <c r="G432" s="63">
        <v>45901</v>
      </c>
      <c r="H432" s="39">
        <v>16.28</v>
      </c>
      <c r="I432" s="39">
        <v>16.170000000000002</v>
      </c>
      <c r="J432" s="40">
        <f t="shared" si="62"/>
        <v>6.8027210884353817E-3</v>
      </c>
      <c r="K432" s="67"/>
      <c r="L432" s="68">
        <v>45901</v>
      </c>
      <c r="M432" s="98">
        <v>6688.46</v>
      </c>
      <c r="N432" s="98">
        <v>6401.51</v>
      </c>
      <c r="O432" s="70">
        <f t="shared" si="58"/>
        <v>4.4825361516267259E-2</v>
      </c>
      <c r="P432" s="67"/>
      <c r="Q432" s="38">
        <v>45901</v>
      </c>
      <c r="R432" s="39">
        <v>3.3029999999999999</v>
      </c>
      <c r="S432" s="39">
        <v>2.972</v>
      </c>
      <c r="T432" s="40">
        <f t="shared" si="49"/>
        <v>0.1113728129205922</v>
      </c>
      <c r="U432" s="67"/>
      <c r="V432" s="38">
        <v>45901</v>
      </c>
      <c r="W432" s="39">
        <v>2.3241000000000001</v>
      </c>
      <c r="X432" s="39">
        <v>2.2610999999999999</v>
      </c>
      <c r="Y432" s="40">
        <f t="shared" si="59"/>
        <v>2.7862544779089893E-2</v>
      </c>
      <c r="Z432" s="67"/>
      <c r="AA432" s="71">
        <v>45901</v>
      </c>
      <c r="AB432" s="99">
        <v>3873.2</v>
      </c>
      <c r="AC432" s="99">
        <v>3517.9</v>
      </c>
      <c r="AD432" s="73">
        <f t="shared" si="60"/>
        <v>0.10099775434207903</v>
      </c>
      <c r="AE432" s="67"/>
      <c r="AF432" s="71">
        <v>45901</v>
      </c>
      <c r="AG432" s="72">
        <v>97.78</v>
      </c>
      <c r="AH432" s="72">
        <v>97.83</v>
      </c>
      <c r="AI432" s="73">
        <f t="shared" si="61"/>
        <v>-5.110906674843374E-4</v>
      </c>
      <c r="AJ432" s="67"/>
      <c r="AK432" s="74">
        <v>45930</v>
      </c>
      <c r="AL432" s="41">
        <v>4.1599999999999998E-2</v>
      </c>
      <c r="AM432" s="41">
        <f t="shared" si="63"/>
        <v>-7.0000000000000617E-4</v>
      </c>
      <c r="AN432" s="67"/>
      <c r="AO432" s="75">
        <v>45901</v>
      </c>
      <c r="AP432" s="76">
        <v>405902.5</v>
      </c>
      <c r="AQ432" s="80">
        <f t="shared" si="43"/>
        <v>5.4488103624745765E-3</v>
      </c>
      <c r="AR432" s="67"/>
      <c r="AS432" s="94">
        <v>45901</v>
      </c>
      <c r="AT432" s="78">
        <v>0.93150000000000011</v>
      </c>
      <c r="AU432" s="67"/>
      <c r="AV432" s="79">
        <v>45901</v>
      </c>
      <c r="AW432" s="76">
        <v>417826.75</v>
      </c>
      <c r="AX432" s="80">
        <f t="shared" si="44"/>
        <v>-9.9093952113771255E-3</v>
      </c>
      <c r="AY432" s="67"/>
      <c r="AZ432" s="81">
        <v>45901</v>
      </c>
      <c r="BA432" s="82">
        <v>125.86952209472656</v>
      </c>
      <c r="BB432" s="82">
        <v>141.80610656738281</v>
      </c>
      <c r="BC432" s="67"/>
      <c r="BD432" s="83">
        <v>45915</v>
      </c>
      <c r="BE432" s="42">
        <v>13828</v>
      </c>
      <c r="BF432" s="41">
        <f t="shared" si="45"/>
        <v>1.3034033309196058E-3</v>
      </c>
      <c r="BG432" s="67"/>
      <c r="BH432" s="84">
        <v>45901</v>
      </c>
      <c r="BI432" s="85">
        <v>101.66800000000001</v>
      </c>
      <c r="BJ432" s="87">
        <f t="shared" si="46"/>
        <v>4.2607751855605613E-4</v>
      </c>
      <c r="BK432" s="67"/>
      <c r="BL432" s="84">
        <v>45901</v>
      </c>
      <c r="BM432" s="86">
        <v>20.320076</v>
      </c>
      <c r="BN432" s="67"/>
      <c r="BO432" s="88">
        <v>45901</v>
      </c>
      <c r="BP432" s="89">
        <v>4.88</v>
      </c>
      <c r="BQ432" s="89">
        <v>4.5919999999999996</v>
      </c>
      <c r="BR432" s="90">
        <f t="shared" si="37"/>
        <v>6.2717770034843356E-2</v>
      </c>
    </row>
    <row r="433" spans="1:70">
      <c r="A433" s="62">
        <v>45931</v>
      </c>
      <c r="B433" s="63">
        <v>45931</v>
      </c>
      <c r="C433" s="39">
        <v>60.98</v>
      </c>
      <c r="D433" s="64">
        <v>62.46</v>
      </c>
      <c r="E433" s="40">
        <f t="shared" si="57"/>
        <v>-2.3695164905539579E-2</v>
      </c>
      <c r="F433" s="65"/>
      <c r="G433" s="63">
        <v>45931</v>
      </c>
      <c r="H433" s="39">
        <v>17.440000000000001</v>
      </c>
      <c r="I433" s="39">
        <v>17.28</v>
      </c>
      <c r="J433" s="40">
        <f t="shared" si="62"/>
        <v>9.2592592592593004E-3</v>
      </c>
      <c r="K433" s="67"/>
      <c r="L433" s="68">
        <v>45931</v>
      </c>
      <c r="M433" s="98">
        <v>6840.2</v>
      </c>
      <c r="N433" s="98">
        <v>6664.92</v>
      </c>
      <c r="O433" s="70">
        <f t="shared" si="58"/>
        <v>2.6298890309260914E-2</v>
      </c>
      <c r="P433" s="67"/>
      <c r="Q433" s="38">
        <v>45931</v>
      </c>
      <c r="R433" s="39">
        <v>4.1239999999999997</v>
      </c>
      <c r="S433" s="39">
        <v>3.331</v>
      </c>
      <c r="T433" s="40">
        <f t="shared" si="49"/>
        <v>0.23806664665265687</v>
      </c>
      <c r="U433" s="67"/>
      <c r="V433" s="38">
        <v>45931</v>
      </c>
      <c r="W433" s="39">
        <v>2.4312</v>
      </c>
      <c r="X433" s="39">
        <v>2.3201999999999998</v>
      </c>
      <c r="Y433" s="40">
        <f t="shared" si="59"/>
        <v>4.7840703387639127E-2</v>
      </c>
      <c r="Z433" s="67"/>
      <c r="AA433" s="71">
        <v>45931</v>
      </c>
      <c r="AB433" s="99">
        <v>4013.3</v>
      </c>
      <c r="AC433" s="99">
        <v>3887.7</v>
      </c>
      <c r="AD433" s="73">
        <f t="shared" si="60"/>
        <v>3.230701957455584E-2</v>
      </c>
      <c r="AE433" s="67"/>
      <c r="AF433" s="71">
        <v>45931</v>
      </c>
      <c r="AG433" s="72">
        <v>99.8</v>
      </c>
      <c r="AH433" s="72">
        <v>97.82</v>
      </c>
      <c r="AI433" s="73">
        <f t="shared" si="61"/>
        <v>2.0241259456144078E-2</v>
      </c>
      <c r="AJ433" s="67"/>
      <c r="AK433" s="74">
        <v>45961</v>
      </c>
      <c r="AL433" s="41">
        <v>4.1100000000000005E-2</v>
      </c>
      <c r="AM433" s="41">
        <f t="shared" si="63"/>
        <v>-4.9999999999999351E-4</v>
      </c>
      <c r="AN433" s="67"/>
      <c r="AO433" s="75">
        <v>45931</v>
      </c>
      <c r="AP433" s="76">
        <v>408397.2</v>
      </c>
      <c r="AQ433" s="80">
        <f t="shared" si="43"/>
        <v>6.1460572428106985E-3</v>
      </c>
      <c r="AR433" s="67"/>
      <c r="AS433" s="94">
        <v>45931</v>
      </c>
      <c r="AT433" s="78">
        <v>0.87860000000000005</v>
      </c>
      <c r="AU433" s="67"/>
      <c r="AV433" s="79">
        <v>45931</v>
      </c>
      <c r="AW433" s="76">
        <v>420800.8</v>
      </c>
      <c r="AX433" s="80">
        <f t="shared" si="44"/>
        <v>7.1179023363152627E-3</v>
      </c>
      <c r="AY433" s="67"/>
      <c r="AZ433" s="81">
        <v>45931</v>
      </c>
      <c r="BA433" s="82">
        <v>154.51292419433594</v>
      </c>
      <c r="BB433" s="82">
        <v>167.99813842773438</v>
      </c>
      <c r="BC433" s="67"/>
      <c r="BD433" s="83">
        <v>45945</v>
      </c>
      <c r="BE433" s="42">
        <v>13864</v>
      </c>
      <c r="BF433" s="41">
        <f t="shared" si="45"/>
        <v>2.6034133641885671E-3</v>
      </c>
      <c r="BG433" s="67"/>
      <c r="BH433" s="84">
        <v>45931</v>
      </c>
      <c r="BI433" s="85">
        <v>101.2075</v>
      </c>
      <c r="BJ433" s="87">
        <f t="shared" si="46"/>
        <v>-4.5294487941143213E-3</v>
      </c>
      <c r="BK433" s="67"/>
      <c r="BL433" s="84">
        <v>45931</v>
      </c>
      <c r="BM433" s="86">
        <v>14.131624</v>
      </c>
      <c r="BN433" s="67"/>
      <c r="BO433" s="88">
        <v>45931</v>
      </c>
      <c r="BP433" s="89">
        <v>5.1345000000000001</v>
      </c>
      <c r="BQ433" s="89">
        <v>4.8975</v>
      </c>
      <c r="BR433" s="90">
        <f t="shared" si="37"/>
        <v>4.8392036753445611E-2</v>
      </c>
    </row>
    <row r="434" spans="1:70">
      <c r="A434" s="62">
        <v>45962</v>
      </c>
      <c r="B434" s="63">
        <v>45962</v>
      </c>
      <c r="C434" s="39">
        <v>58.55</v>
      </c>
      <c r="D434" s="64">
        <v>61.4</v>
      </c>
      <c r="E434" s="40">
        <f t="shared" si="57"/>
        <v>-4.6416938110749206E-2</v>
      </c>
      <c r="F434" s="65"/>
      <c r="G434" s="63">
        <v>45962</v>
      </c>
      <c r="H434" s="39">
        <v>16.350000000000001</v>
      </c>
      <c r="I434" s="39">
        <v>18.059999999999999</v>
      </c>
      <c r="J434" s="40">
        <f t="shared" si="62"/>
        <v>-9.4684385382059699E-2</v>
      </c>
      <c r="K434" s="67"/>
      <c r="L434" s="68">
        <v>45962</v>
      </c>
      <c r="M434" s="98">
        <v>6849.09</v>
      </c>
      <c r="N434" s="98">
        <v>6882.32</v>
      </c>
      <c r="O434" s="70">
        <f t="shared" si="58"/>
        <v>-4.8283137081681637E-3</v>
      </c>
      <c r="P434" s="67"/>
      <c r="Q434" s="38">
        <v>45962</v>
      </c>
      <c r="R434" s="39">
        <v>4.8499999999999996</v>
      </c>
      <c r="S434" s="39">
        <v>4.16</v>
      </c>
      <c r="T434" s="40">
        <f t="shared" si="49"/>
        <v>0.16586538461538458</v>
      </c>
      <c r="U434" s="67"/>
      <c r="V434" s="38">
        <v>45962</v>
      </c>
      <c r="W434" s="39">
        <v>2.3031000000000001</v>
      </c>
      <c r="X434" s="39">
        <v>2.3791000000000002</v>
      </c>
      <c r="Y434" s="40">
        <f t="shared" si="59"/>
        <v>-3.1944853095708492E-2</v>
      </c>
      <c r="Z434" s="67"/>
      <c r="AA434" s="71">
        <v>45962</v>
      </c>
      <c r="AB434" s="99">
        <v>4254.8999999999996</v>
      </c>
      <c r="AC434" s="99">
        <v>4014.9</v>
      </c>
      <c r="AD434" s="73">
        <f t="shared" si="60"/>
        <v>5.9777329447806782E-2</v>
      </c>
      <c r="AE434" s="67"/>
      <c r="AF434" s="71">
        <v>45962</v>
      </c>
      <c r="AG434" s="72">
        <v>99.44</v>
      </c>
      <c r="AH434" s="72">
        <v>99.75</v>
      </c>
      <c r="AI434" s="73">
        <f t="shared" si="61"/>
        <v>-3.1077694235589481E-3</v>
      </c>
      <c r="AJ434" s="67"/>
      <c r="AK434" s="74">
        <v>45991</v>
      </c>
      <c r="AL434" s="41">
        <v>4.0199999999999993E-2</v>
      </c>
      <c r="AM434" s="41">
        <f t="shared" si="63"/>
        <v>-9.000000000000119E-4</v>
      </c>
      <c r="AN434" s="67"/>
      <c r="AO434" s="75">
        <v>45962</v>
      </c>
      <c r="AP434" s="76">
        <v>411104.25</v>
      </c>
      <c r="AQ434" s="80">
        <f t="shared" si="43"/>
        <v>6.6284734567230164E-3</v>
      </c>
      <c r="AR434" s="67"/>
      <c r="AS434" s="94">
        <v>45962</v>
      </c>
      <c r="AT434" s="78">
        <v>0.91449999999999998</v>
      </c>
      <c r="AU434" s="67"/>
      <c r="AV434" s="79">
        <v>45962</v>
      </c>
      <c r="AW434" s="76">
        <v>426542</v>
      </c>
      <c r="AX434" s="80">
        <f t="shared" si="44"/>
        <v>1.3643510183440677E-2</v>
      </c>
      <c r="AY434" s="67"/>
      <c r="AZ434" s="81">
        <v>45962</v>
      </c>
      <c r="BA434" s="82">
        <v>104.33865356445313</v>
      </c>
      <c r="BB434" s="82">
        <v>118.68241119384766</v>
      </c>
      <c r="BC434" s="67"/>
      <c r="BD434" s="83">
        <v>45976</v>
      </c>
      <c r="BE434" s="42">
        <v>13789</v>
      </c>
      <c r="BF434" s="41">
        <f t="shared" si="45"/>
        <v>-5.4096941719561364E-3</v>
      </c>
      <c r="BG434" s="67"/>
      <c r="BH434" s="84">
        <v>45962</v>
      </c>
      <c r="BI434" s="85">
        <v>101.3605</v>
      </c>
      <c r="BJ434" s="87">
        <f t="shared" si="46"/>
        <v>1.5117456710225241E-3</v>
      </c>
      <c r="BK434" s="67"/>
      <c r="BL434" s="84">
        <v>45962</v>
      </c>
      <c r="BM434" s="86">
        <v>23.188548000000001</v>
      </c>
      <c r="BN434" s="67"/>
      <c r="BO434" s="88">
        <v>45962</v>
      </c>
      <c r="BP434" s="89">
        <v>5.2164999999999999</v>
      </c>
      <c r="BQ434" s="89">
        <v>5.0999999999999996</v>
      </c>
      <c r="BR434" s="90">
        <f t="shared" si="37"/>
        <v>2.2843137254902057E-2</v>
      </c>
    </row>
    <row r="435" spans="1:70">
      <c r="A435" s="62">
        <v>45992</v>
      </c>
      <c r="B435" s="63">
        <v>45992</v>
      </c>
      <c r="C435" s="39">
        <v>57.42</v>
      </c>
      <c r="D435" s="64">
        <v>58.96</v>
      </c>
      <c r="E435" s="40">
        <f t="shared" si="57"/>
        <v>-2.6119402985074647E-2</v>
      </c>
      <c r="F435" s="65"/>
      <c r="G435" s="63">
        <v>45992</v>
      </c>
      <c r="H435" s="39">
        <v>14.95</v>
      </c>
      <c r="I435" s="39">
        <v>18.05</v>
      </c>
      <c r="J435" s="40">
        <f t="shared" si="62"/>
        <v>-0.17174515235457066</v>
      </c>
      <c r="K435" s="67"/>
      <c r="L435" s="68">
        <v>45992</v>
      </c>
      <c r="M435" s="98">
        <v>6845.5</v>
      </c>
      <c r="N435" s="98">
        <v>6812.3</v>
      </c>
      <c r="O435" s="70">
        <f t="shared" si="58"/>
        <v>4.8735375717452456E-3</v>
      </c>
      <c r="P435" s="67"/>
      <c r="Q435" s="38">
        <v>45992</v>
      </c>
      <c r="R435" s="39">
        <v>3.6859999999999999</v>
      </c>
      <c r="S435" s="39">
        <v>4.87</v>
      </c>
      <c r="T435" s="40">
        <f t="shared" si="49"/>
        <v>-0.24312114989733058</v>
      </c>
      <c r="U435" s="67"/>
      <c r="V435" s="38">
        <v>45992</v>
      </c>
      <c r="W435" s="39">
        <v>2.1206</v>
      </c>
      <c r="X435" s="39">
        <v>2.3197999999999999</v>
      </c>
      <c r="Y435" s="40">
        <f t="shared" si="59"/>
        <v>-8.5869471506164308E-2</v>
      </c>
      <c r="Z435" s="67"/>
      <c r="AA435" s="71">
        <v>45992</v>
      </c>
      <c r="AB435" s="99">
        <v>4357.1000000000004</v>
      </c>
      <c r="AC435" s="99">
        <v>4258.5</v>
      </c>
      <c r="AD435" s="73">
        <f t="shared" si="60"/>
        <v>2.3153692614770627E-2</v>
      </c>
      <c r="AE435" s="67"/>
      <c r="AF435" s="71">
        <v>45992</v>
      </c>
      <c r="AG435" s="72">
        <v>98.32</v>
      </c>
      <c r="AH435" s="72">
        <v>99.48</v>
      </c>
      <c r="AI435" s="73">
        <f t="shared" si="61"/>
        <v>-1.1660635303578748E-2</v>
      </c>
      <c r="AJ435" s="67"/>
      <c r="AK435" s="74">
        <v>46022</v>
      </c>
      <c r="AL435" s="41">
        <v>4.1799999999999997E-2</v>
      </c>
      <c r="AM435" s="41">
        <f t="shared" si="63"/>
        <v>1.6000000000000042E-3</v>
      </c>
      <c r="AN435" s="67"/>
      <c r="AO435" s="75">
        <v>45992</v>
      </c>
      <c r="AP435" s="76">
        <v>412570.75</v>
      </c>
      <c r="AQ435" s="80">
        <f t="shared" si="43"/>
        <v>3.5672216961999403E-3</v>
      </c>
      <c r="AR435" s="67"/>
      <c r="AS435" s="94">
        <v>45992</v>
      </c>
      <c r="AT435" s="78">
        <v>0.94650000000000001</v>
      </c>
      <c r="AU435" s="67"/>
      <c r="AV435" s="79">
        <v>45992</v>
      </c>
      <c r="AW435" s="76">
        <v>424454.5</v>
      </c>
      <c r="AX435" s="80">
        <f t="shared" si="44"/>
        <v>-4.8940080929896768E-3</v>
      </c>
      <c r="AY435" s="67"/>
      <c r="AZ435" s="81">
        <v>45992</v>
      </c>
      <c r="BA435" s="82">
        <v>131.39309692382813</v>
      </c>
      <c r="BB435" s="82">
        <v>145.2694091796875</v>
      </c>
      <c r="BC435" s="67"/>
      <c r="BD435" s="83">
        <v>46006</v>
      </c>
      <c r="BE435" s="42">
        <v>13656</v>
      </c>
      <c r="BF435" s="41">
        <f t="shared" si="45"/>
        <v>-9.6453694974254489E-3</v>
      </c>
      <c r="BG435" s="67"/>
      <c r="BH435" s="84">
        <v>45992</v>
      </c>
      <c r="BI435" s="85">
        <v>101.6781</v>
      </c>
      <c r="BJ435" s="87">
        <f t="shared" si="46"/>
        <v>3.1333704944234153E-3</v>
      </c>
      <c r="BK435" s="67"/>
      <c r="BL435" s="84">
        <v>45992</v>
      </c>
      <c r="BM435" s="86">
        <v>29.915113000000002</v>
      </c>
      <c r="BN435" s="67"/>
      <c r="BO435" s="88">
        <v>45992</v>
      </c>
      <c r="BP435" s="89">
        <v>5.6544999999999996</v>
      </c>
      <c r="BQ435" s="89">
        <v>5.2350000000000003</v>
      </c>
      <c r="BR435" s="90">
        <f t="shared" si="37"/>
        <v>8.0133715377268322E-2</v>
      </c>
    </row>
    <row r="436" spans="1:70">
      <c r="A436" s="62">
        <v>46023</v>
      </c>
      <c r="B436" s="63">
        <v>46023</v>
      </c>
      <c r="C436" s="39">
        <v>65.209999999999994</v>
      </c>
      <c r="D436" s="64">
        <v>57.41</v>
      </c>
      <c r="E436" s="40">
        <f t="shared" si="57"/>
        <v>0.13586483191081689</v>
      </c>
      <c r="F436" s="65"/>
      <c r="G436" s="63">
        <v>46023</v>
      </c>
      <c r="H436" s="39">
        <v>17.440000000000001</v>
      </c>
      <c r="I436" s="39">
        <v>14.85</v>
      </c>
      <c r="J436" s="40">
        <f t="shared" si="62"/>
        <v>0.17441077441077457</v>
      </c>
      <c r="K436" s="67"/>
      <c r="L436" s="68">
        <v>46023</v>
      </c>
      <c r="M436" s="98">
        <v>6939.03</v>
      </c>
      <c r="N436" s="98">
        <v>6878.11</v>
      </c>
      <c r="O436" s="70">
        <f t="shared" si="58"/>
        <v>8.8570842862356614E-3</v>
      </c>
      <c r="P436" s="67"/>
      <c r="Q436" s="38">
        <v>46023</v>
      </c>
      <c r="R436" s="39">
        <v>4.3540000000000001</v>
      </c>
      <c r="S436" s="39">
        <v>3.6789999999999998</v>
      </c>
      <c r="T436" s="40">
        <f t="shared" si="49"/>
        <v>0.18347377004620835</v>
      </c>
      <c r="U436" s="67"/>
      <c r="V436" s="38">
        <v>46023</v>
      </c>
      <c r="W436" s="39">
        <v>2.7355999999999998</v>
      </c>
      <c r="X436" s="39">
        <v>2.1379000000000001</v>
      </c>
      <c r="Y436" s="40">
        <f t="shared" si="59"/>
        <v>0.27957341316244899</v>
      </c>
      <c r="Z436" s="67"/>
      <c r="AA436" s="71">
        <v>46023</v>
      </c>
      <c r="AB436" s="99">
        <v>4745.1000000000004</v>
      </c>
      <c r="AC436" s="99">
        <v>4354.3</v>
      </c>
      <c r="AD436" s="73">
        <f t="shared" si="60"/>
        <v>8.9750361711411708E-2</v>
      </c>
      <c r="AE436" s="67"/>
      <c r="AF436" s="71">
        <v>46023</v>
      </c>
      <c r="AG436" s="72">
        <v>96.99</v>
      </c>
      <c r="AH436" s="72">
        <v>98.24</v>
      </c>
      <c r="AI436" s="73">
        <f t="shared" si="61"/>
        <v>-1.2723941368078195E-2</v>
      </c>
      <c r="AJ436" s="67"/>
      <c r="AK436" s="74">
        <v>46053</v>
      </c>
      <c r="AL436" s="41">
        <v>4.2599999999999999E-2</v>
      </c>
      <c r="AM436" s="41">
        <f t="shared" si="63"/>
        <v>8.000000000000021E-4</v>
      </c>
      <c r="AN436" s="67"/>
      <c r="AO436" s="75">
        <v>46023</v>
      </c>
      <c r="AP436" s="76">
        <v>414367.6</v>
      </c>
      <c r="AQ436" s="80">
        <f t="shared" si="43"/>
        <v>4.3552530081203411E-3</v>
      </c>
      <c r="AR436" s="67"/>
      <c r="AS436" s="94">
        <v>46023</v>
      </c>
      <c r="AT436" s="78">
        <v>0.9294</v>
      </c>
      <c r="AU436" s="67"/>
      <c r="AV436" s="79">
        <v>46023</v>
      </c>
      <c r="AW436" s="76">
        <v>422321</v>
      </c>
      <c r="AX436" s="80">
        <f t="shared" si="44"/>
        <v>-5.0264515984634883E-3</v>
      </c>
      <c r="AY436" s="67"/>
      <c r="AZ436" s="81">
        <v>46023</v>
      </c>
      <c r="BA436" s="82">
        <v>167.80020141601563</v>
      </c>
      <c r="BB436" s="82">
        <v>219.48228454589844</v>
      </c>
      <c r="BC436" s="67"/>
      <c r="BD436" s="83">
        <v>46037</v>
      </c>
      <c r="BE436" s="42">
        <v>13246</v>
      </c>
      <c r="BF436" s="41">
        <f t="shared" si="45"/>
        <v>-3.0023432923257154E-2</v>
      </c>
      <c r="BG436" s="67"/>
      <c r="BH436" s="84">
        <v>46023</v>
      </c>
      <c r="BI436" s="85">
        <v>102.3963</v>
      </c>
      <c r="BJ436" s="87">
        <f t="shared" si="46"/>
        <v>7.063467944424584E-3</v>
      </c>
      <c r="BK436" s="67"/>
      <c r="BL436" s="84">
        <v>46023</v>
      </c>
      <c r="BM436" s="86">
        <v>2.4320911000000001</v>
      </c>
      <c r="BN436" s="67"/>
      <c r="BO436" s="88">
        <v>46023</v>
      </c>
      <c r="BP436" s="89">
        <v>5.9240000000000004</v>
      </c>
      <c r="BQ436" s="89">
        <v>5.6609999999999996</v>
      </c>
      <c r="BR436" s="90">
        <f t="shared" si="37"/>
        <v>4.6458222928811299E-2</v>
      </c>
    </row>
    <row r="437" spans="1:70" ht="12.75">
      <c r="A437" s="101"/>
      <c r="B437" s="1"/>
      <c r="F437" s="102"/>
      <c r="G437" s="1"/>
      <c r="K437" s="100"/>
      <c r="L437" s="103"/>
      <c r="M437" s="103"/>
      <c r="N437" s="103"/>
      <c r="O437" s="103"/>
      <c r="P437" s="100"/>
      <c r="U437" s="100"/>
      <c r="Z437" s="100"/>
      <c r="AE437" s="100"/>
      <c r="AJ437" s="100"/>
      <c r="AL437" s="78"/>
      <c r="AM437" s="78"/>
      <c r="AN437" s="100"/>
      <c r="AQ437" s="78"/>
      <c r="AR437" s="100"/>
      <c r="AT437" s="78"/>
      <c r="AU437" s="100"/>
      <c r="AX437" s="78"/>
      <c r="AY437" s="100"/>
      <c r="BC437" s="100"/>
      <c r="BF437" s="78"/>
      <c r="BG437" s="100"/>
      <c r="BJ437" s="78"/>
      <c r="BK437" s="100"/>
      <c r="BN437" s="100"/>
      <c r="BP437" s="104"/>
      <c r="BQ437" s="104"/>
    </row>
    <row r="438" spans="1:70" ht="12.75">
      <c r="A438" s="101"/>
      <c r="B438" s="1"/>
      <c r="F438" s="102"/>
      <c r="G438" s="1"/>
      <c r="K438" s="100"/>
      <c r="L438" s="103"/>
      <c r="M438" s="103"/>
      <c r="N438" s="103"/>
      <c r="O438" s="103"/>
      <c r="P438" s="100"/>
      <c r="U438" s="100"/>
      <c r="Z438" s="100"/>
      <c r="AE438" s="100"/>
      <c r="AJ438" s="100"/>
      <c r="AL438" s="78"/>
      <c r="AM438" s="78"/>
      <c r="AN438" s="100"/>
      <c r="AQ438" s="78"/>
      <c r="AR438" s="100"/>
      <c r="AT438" s="78"/>
      <c r="AU438" s="100"/>
      <c r="AX438" s="78"/>
      <c r="AY438" s="100"/>
      <c r="BC438" s="100"/>
      <c r="BF438" s="78"/>
      <c r="BG438" s="100"/>
      <c r="BJ438" s="78"/>
      <c r="BK438" s="100"/>
      <c r="BN438" s="100"/>
      <c r="BP438" s="104"/>
      <c r="BQ438" s="104"/>
    </row>
    <row r="439" spans="1:70" ht="12.75">
      <c r="A439" s="101"/>
      <c r="B439" s="1"/>
      <c r="F439" s="102"/>
      <c r="G439" s="1"/>
      <c r="K439" s="100"/>
      <c r="L439" s="103"/>
      <c r="M439" s="103"/>
      <c r="N439" s="103"/>
      <c r="O439" s="103"/>
      <c r="P439" s="100"/>
      <c r="U439" s="100"/>
      <c r="Z439" s="100"/>
      <c r="AE439" s="100"/>
      <c r="AJ439" s="100"/>
      <c r="AL439" s="78"/>
      <c r="AM439" s="78"/>
      <c r="AN439" s="100"/>
      <c r="AQ439" s="78"/>
      <c r="AR439" s="100"/>
      <c r="AT439" s="78"/>
      <c r="AU439" s="100"/>
      <c r="AX439" s="78"/>
      <c r="AY439" s="100"/>
      <c r="BC439" s="100"/>
      <c r="BF439" s="78"/>
      <c r="BG439" s="100"/>
      <c r="BJ439" s="78"/>
      <c r="BK439" s="100"/>
      <c r="BN439" s="100"/>
      <c r="BP439" s="104"/>
      <c r="BQ439" s="104"/>
    </row>
    <row r="440" spans="1:70" ht="12.75">
      <c r="A440" s="101"/>
      <c r="B440" s="1"/>
      <c r="F440" s="102"/>
      <c r="G440" s="1"/>
      <c r="K440" s="100"/>
      <c r="L440" s="103"/>
      <c r="M440" s="103"/>
      <c r="N440" s="103"/>
      <c r="O440" s="103"/>
      <c r="P440" s="100"/>
      <c r="U440" s="100"/>
      <c r="Z440" s="100"/>
      <c r="AE440" s="100"/>
      <c r="AJ440" s="100"/>
      <c r="AL440" s="78"/>
      <c r="AM440" s="78"/>
      <c r="AN440" s="100"/>
      <c r="AQ440" s="78"/>
      <c r="AR440" s="100"/>
      <c r="AT440" s="78"/>
      <c r="AU440" s="100"/>
      <c r="AX440" s="78"/>
      <c r="AY440" s="100"/>
      <c r="BC440" s="100"/>
      <c r="BF440" s="78"/>
      <c r="BG440" s="100"/>
      <c r="BJ440" s="78"/>
      <c r="BK440" s="100"/>
      <c r="BN440" s="100"/>
      <c r="BP440" s="104"/>
      <c r="BQ440" s="104"/>
    </row>
    <row r="441" spans="1:70" ht="12.75">
      <c r="A441" s="101"/>
      <c r="B441" s="1"/>
      <c r="F441" s="102"/>
      <c r="G441" s="1"/>
      <c r="K441" s="100"/>
      <c r="L441" s="103"/>
      <c r="M441" s="103"/>
      <c r="N441" s="103"/>
      <c r="O441" s="103"/>
      <c r="P441" s="100"/>
      <c r="U441" s="100"/>
      <c r="Z441" s="100"/>
      <c r="AE441" s="100"/>
      <c r="AJ441" s="100"/>
      <c r="AL441" s="78"/>
      <c r="AM441" s="78"/>
      <c r="AN441" s="100"/>
      <c r="AQ441" s="78"/>
      <c r="AR441" s="100"/>
      <c r="AT441" s="78"/>
      <c r="AU441" s="100"/>
      <c r="AX441" s="78"/>
      <c r="AY441" s="100"/>
      <c r="BC441" s="100"/>
      <c r="BF441" s="78"/>
      <c r="BG441" s="100"/>
      <c r="BJ441" s="78"/>
      <c r="BK441" s="100"/>
      <c r="BN441" s="100"/>
      <c r="BP441" s="104"/>
      <c r="BQ441" s="104"/>
    </row>
    <row r="442" spans="1:70" ht="12.75">
      <c r="A442" s="101"/>
      <c r="B442" s="1"/>
      <c r="F442" s="102"/>
      <c r="G442" s="1"/>
      <c r="K442" s="100"/>
      <c r="L442" s="103"/>
      <c r="M442" s="103"/>
      <c r="N442" s="103"/>
      <c r="O442" s="103"/>
      <c r="P442" s="100"/>
      <c r="U442" s="100"/>
      <c r="Z442" s="100"/>
      <c r="AE442" s="100"/>
      <c r="AJ442" s="100"/>
      <c r="AL442" s="78"/>
      <c r="AM442" s="78"/>
      <c r="AN442" s="100"/>
      <c r="AQ442" s="78"/>
      <c r="AR442" s="100"/>
      <c r="AT442" s="78"/>
      <c r="AU442" s="100"/>
      <c r="AX442" s="78"/>
      <c r="AY442" s="100"/>
      <c r="BC442" s="100"/>
      <c r="BF442" s="78"/>
      <c r="BG442" s="100"/>
      <c r="BJ442" s="78"/>
      <c r="BK442" s="100"/>
      <c r="BN442" s="100"/>
      <c r="BP442" s="104"/>
      <c r="BQ442" s="104"/>
    </row>
    <row r="443" spans="1:70" ht="12.75">
      <c r="A443" s="101"/>
      <c r="B443" s="1"/>
      <c r="F443" s="102"/>
      <c r="G443" s="1"/>
      <c r="K443" s="100"/>
      <c r="L443" s="103"/>
      <c r="M443" s="103"/>
      <c r="N443" s="103"/>
      <c r="O443" s="103"/>
      <c r="P443" s="100"/>
      <c r="U443" s="100"/>
      <c r="Z443" s="100"/>
      <c r="AE443" s="100"/>
      <c r="AJ443" s="100"/>
      <c r="AL443" s="78"/>
      <c r="AM443" s="78"/>
      <c r="AN443" s="100"/>
      <c r="AQ443" s="78"/>
      <c r="AR443" s="100"/>
      <c r="AT443" s="78"/>
      <c r="AU443" s="100"/>
      <c r="AX443" s="78"/>
      <c r="AY443" s="100"/>
      <c r="BC443" s="100"/>
      <c r="BF443" s="78"/>
      <c r="BG443" s="100"/>
      <c r="BJ443" s="78"/>
      <c r="BK443" s="100"/>
      <c r="BN443" s="100"/>
      <c r="BP443" s="104"/>
      <c r="BQ443" s="104"/>
    </row>
    <row r="444" spans="1:70" ht="12.75">
      <c r="A444" s="101"/>
      <c r="B444" s="1"/>
      <c r="F444" s="102"/>
      <c r="G444" s="1"/>
      <c r="K444" s="100"/>
      <c r="L444" s="103"/>
      <c r="M444" s="103"/>
      <c r="N444" s="103"/>
      <c r="O444" s="103"/>
      <c r="P444" s="100"/>
      <c r="U444" s="100"/>
      <c r="Z444" s="100"/>
      <c r="AE444" s="100"/>
      <c r="AJ444" s="100"/>
      <c r="AL444" s="78"/>
      <c r="AM444" s="78"/>
      <c r="AN444" s="100"/>
      <c r="AQ444" s="78"/>
      <c r="AR444" s="100"/>
      <c r="AT444" s="78"/>
      <c r="AU444" s="100"/>
      <c r="AX444" s="78"/>
      <c r="AY444" s="100"/>
      <c r="BC444" s="100"/>
      <c r="BF444" s="78"/>
      <c r="BG444" s="100"/>
      <c r="BJ444" s="78"/>
      <c r="BK444" s="100"/>
      <c r="BN444" s="100"/>
      <c r="BP444" s="104"/>
      <c r="BQ444" s="104"/>
    </row>
    <row r="445" spans="1:70" ht="12.75">
      <c r="A445" s="101"/>
      <c r="B445" s="1"/>
      <c r="F445" s="102"/>
      <c r="G445" s="1"/>
      <c r="K445" s="100"/>
      <c r="L445" s="103"/>
      <c r="M445" s="103"/>
      <c r="N445" s="103"/>
      <c r="O445" s="103"/>
      <c r="P445" s="100"/>
      <c r="U445" s="100"/>
      <c r="Z445" s="100"/>
      <c r="AE445" s="100"/>
      <c r="AJ445" s="100"/>
      <c r="AL445" s="78"/>
      <c r="AM445" s="78"/>
      <c r="AN445" s="100"/>
      <c r="AQ445" s="78"/>
      <c r="AR445" s="100"/>
      <c r="AT445" s="78"/>
      <c r="AU445" s="100"/>
      <c r="AX445" s="78"/>
      <c r="AY445" s="100"/>
      <c r="BC445" s="100"/>
      <c r="BF445" s="78"/>
      <c r="BG445" s="100"/>
      <c r="BJ445" s="78"/>
      <c r="BK445" s="100"/>
      <c r="BN445" s="100"/>
      <c r="BP445" s="104"/>
      <c r="BQ445" s="104"/>
    </row>
    <row r="446" spans="1:70" ht="12.75">
      <c r="A446" s="101"/>
      <c r="B446" s="1"/>
      <c r="F446" s="102"/>
      <c r="G446" s="1"/>
      <c r="K446" s="100"/>
      <c r="L446" s="103"/>
      <c r="M446" s="103"/>
      <c r="N446" s="103"/>
      <c r="O446" s="103"/>
      <c r="P446" s="100"/>
      <c r="U446" s="100"/>
      <c r="Z446" s="100"/>
      <c r="AE446" s="100"/>
      <c r="AJ446" s="100"/>
      <c r="AL446" s="78"/>
      <c r="AM446" s="78"/>
      <c r="AN446" s="100"/>
      <c r="AQ446" s="78"/>
      <c r="AR446" s="100"/>
      <c r="AT446" s="78"/>
      <c r="AU446" s="100"/>
      <c r="AX446" s="78"/>
      <c r="AY446" s="100"/>
      <c r="BC446" s="100"/>
      <c r="BF446" s="78"/>
      <c r="BG446" s="100"/>
      <c r="BJ446" s="78"/>
      <c r="BK446" s="100"/>
      <c r="BN446" s="100"/>
      <c r="BP446" s="104"/>
      <c r="BQ446" s="104"/>
    </row>
    <row r="447" spans="1:70" ht="12.75">
      <c r="A447" s="101"/>
      <c r="B447" s="1"/>
      <c r="F447" s="102"/>
      <c r="G447" s="1"/>
      <c r="K447" s="100"/>
      <c r="L447" s="103"/>
      <c r="M447" s="103"/>
      <c r="N447" s="103"/>
      <c r="O447" s="103"/>
      <c r="P447" s="100"/>
      <c r="U447" s="100"/>
      <c r="Z447" s="100"/>
      <c r="AE447" s="100"/>
      <c r="AJ447" s="100"/>
      <c r="AL447" s="78"/>
      <c r="AM447" s="78"/>
      <c r="AN447" s="100"/>
      <c r="AQ447" s="78"/>
      <c r="AR447" s="100"/>
      <c r="AT447" s="78"/>
      <c r="AU447" s="100"/>
      <c r="AX447" s="78"/>
      <c r="AY447" s="100"/>
      <c r="BC447" s="100"/>
      <c r="BF447" s="78"/>
      <c r="BG447" s="100"/>
      <c r="BJ447" s="78"/>
      <c r="BK447" s="100"/>
      <c r="BN447" s="100"/>
      <c r="BP447" s="104"/>
      <c r="BQ447" s="104"/>
    </row>
    <row r="448" spans="1:70" ht="12.75">
      <c r="A448" s="101"/>
      <c r="B448" s="1"/>
      <c r="F448" s="102"/>
      <c r="G448" s="1"/>
      <c r="K448" s="100"/>
      <c r="L448" s="103"/>
      <c r="M448" s="103"/>
      <c r="N448" s="103"/>
      <c r="O448" s="103"/>
      <c r="P448" s="100"/>
      <c r="U448" s="100"/>
      <c r="Z448" s="100"/>
      <c r="AE448" s="100"/>
      <c r="AJ448" s="100"/>
      <c r="AL448" s="78"/>
      <c r="AM448" s="78"/>
      <c r="AN448" s="100"/>
      <c r="AQ448" s="78"/>
      <c r="AR448" s="100"/>
      <c r="AT448" s="78"/>
      <c r="AU448" s="100"/>
      <c r="AX448" s="78"/>
      <c r="AY448" s="100"/>
      <c r="BC448" s="100"/>
      <c r="BF448" s="78"/>
      <c r="BG448" s="100"/>
      <c r="BJ448" s="78"/>
      <c r="BK448" s="100"/>
      <c r="BN448" s="100"/>
      <c r="BP448" s="104"/>
      <c r="BQ448" s="104"/>
    </row>
    <row r="449" spans="1:69" ht="12.75">
      <c r="A449" s="101"/>
      <c r="B449" s="1"/>
      <c r="F449" s="102"/>
      <c r="G449" s="1"/>
      <c r="K449" s="100"/>
      <c r="L449" s="103"/>
      <c r="M449" s="103"/>
      <c r="N449" s="103"/>
      <c r="O449" s="103"/>
      <c r="P449" s="100"/>
      <c r="U449" s="100"/>
      <c r="Z449" s="100"/>
      <c r="AE449" s="100"/>
      <c r="AJ449" s="100"/>
      <c r="AL449" s="78"/>
      <c r="AM449" s="78"/>
      <c r="AN449" s="100"/>
      <c r="AQ449" s="78"/>
      <c r="AR449" s="100"/>
      <c r="AT449" s="78"/>
      <c r="AU449" s="100"/>
      <c r="AX449" s="78"/>
      <c r="AY449" s="100"/>
      <c r="BC449" s="100"/>
      <c r="BF449" s="78"/>
      <c r="BG449" s="100"/>
      <c r="BJ449" s="78"/>
      <c r="BK449" s="100"/>
      <c r="BN449" s="100"/>
      <c r="BP449" s="104"/>
      <c r="BQ449" s="104"/>
    </row>
    <row r="450" spans="1:69" ht="12.75">
      <c r="A450" s="101"/>
      <c r="B450" s="1"/>
      <c r="F450" s="102"/>
      <c r="G450" s="1"/>
      <c r="K450" s="100"/>
      <c r="L450" s="103"/>
      <c r="M450" s="103"/>
      <c r="N450" s="103"/>
      <c r="O450" s="103"/>
      <c r="P450" s="100"/>
      <c r="U450" s="100"/>
      <c r="Z450" s="100"/>
      <c r="AE450" s="100"/>
      <c r="AJ450" s="100"/>
      <c r="AL450" s="78"/>
      <c r="AM450" s="78"/>
      <c r="AN450" s="100"/>
      <c r="AQ450" s="78"/>
      <c r="AR450" s="100"/>
      <c r="AT450" s="78"/>
      <c r="AU450" s="100"/>
      <c r="AX450" s="78"/>
      <c r="AY450" s="100"/>
      <c r="BC450" s="100"/>
      <c r="BF450" s="78"/>
      <c r="BG450" s="100"/>
      <c r="BJ450" s="78"/>
      <c r="BK450" s="100"/>
      <c r="BN450" s="100"/>
      <c r="BP450" s="104"/>
      <c r="BQ450" s="104"/>
    </row>
    <row r="451" spans="1:69" ht="12.75">
      <c r="A451" s="101"/>
      <c r="B451" s="1"/>
      <c r="F451" s="102"/>
      <c r="G451" s="1"/>
      <c r="K451" s="100"/>
      <c r="L451" s="103"/>
      <c r="M451" s="103"/>
      <c r="N451" s="103"/>
      <c r="O451" s="103"/>
      <c r="P451" s="100"/>
      <c r="U451" s="100"/>
      <c r="Z451" s="100"/>
      <c r="AE451" s="100"/>
      <c r="AJ451" s="100"/>
      <c r="AL451" s="78"/>
      <c r="AM451" s="78"/>
      <c r="AN451" s="100"/>
      <c r="AQ451" s="78"/>
      <c r="AR451" s="100"/>
      <c r="AT451" s="78"/>
      <c r="AU451" s="100"/>
      <c r="AX451" s="78"/>
      <c r="AY451" s="100"/>
      <c r="BC451" s="100"/>
      <c r="BF451" s="78"/>
      <c r="BG451" s="100"/>
      <c r="BJ451" s="78"/>
      <c r="BK451" s="100"/>
      <c r="BN451" s="100"/>
      <c r="BP451" s="104"/>
      <c r="BQ451" s="104"/>
    </row>
    <row r="452" spans="1:69" ht="12.75">
      <c r="A452" s="101"/>
      <c r="B452" s="1"/>
      <c r="F452" s="102"/>
      <c r="G452" s="1"/>
      <c r="K452" s="100"/>
      <c r="L452" s="103"/>
      <c r="M452" s="103"/>
      <c r="N452" s="103"/>
      <c r="O452" s="103"/>
      <c r="P452" s="100"/>
      <c r="U452" s="100"/>
      <c r="Z452" s="100"/>
      <c r="AE452" s="100"/>
      <c r="AJ452" s="100"/>
      <c r="AL452" s="78"/>
      <c r="AM452" s="78"/>
      <c r="AN452" s="100"/>
      <c r="AQ452" s="78"/>
      <c r="AR452" s="100"/>
      <c r="AT452" s="78"/>
      <c r="AU452" s="100"/>
      <c r="AX452" s="78"/>
      <c r="AY452" s="100"/>
      <c r="BC452" s="100"/>
      <c r="BF452" s="78"/>
      <c r="BG452" s="100"/>
      <c r="BJ452" s="78"/>
      <c r="BK452" s="100"/>
      <c r="BN452" s="100"/>
      <c r="BP452" s="104"/>
      <c r="BQ452" s="104"/>
    </row>
    <row r="453" spans="1:69" ht="12.75">
      <c r="A453" s="101"/>
      <c r="B453" s="1"/>
      <c r="F453" s="102"/>
      <c r="G453" s="1"/>
      <c r="K453" s="100"/>
      <c r="L453" s="103"/>
      <c r="M453" s="103"/>
      <c r="N453" s="103"/>
      <c r="O453" s="103"/>
      <c r="P453" s="100"/>
      <c r="U453" s="100"/>
      <c r="Z453" s="100"/>
      <c r="AE453" s="100"/>
      <c r="AJ453" s="100"/>
      <c r="AL453" s="78"/>
      <c r="AM453" s="78"/>
      <c r="AN453" s="100"/>
      <c r="AQ453" s="78"/>
      <c r="AR453" s="100"/>
      <c r="AT453" s="78"/>
      <c r="AU453" s="100"/>
      <c r="AX453" s="78"/>
      <c r="AY453" s="100"/>
      <c r="BC453" s="100"/>
      <c r="BF453" s="78"/>
      <c r="BG453" s="100"/>
      <c r="BJ453" s="78"/>
      <c r="BK453" s="100"/>
      <c r="BN453" s="100"/>
      <c r="BP453" s="104"/>
      <c r="BQ453" s="104"/>
    </row>
    <row r="454" spans="1:69" ht="12.75">
      <c r="A454" s="101"/>
      <c r="B454" s="1"/>
      <c r="F454" s="102"/>
      <c r="G454" s="1"/>
      <c r="K454" s="100"/>
      <c r="L454" s="103"/>
      <c r="M454" s="103"/>
      <c r="N454" s="103"/>
      <c r="O454" s="103"/>
      <c r="P454" s="100"/>
      <c r="U454" s="100"/>
      <c r="Z454" s="100"/>
      <c r="AE454" s="100"/>
      <c r="AJ454" s="100"/>
      <c r="AL454" s="78"/>
      <c r="AM454" s="78"/>
      <c r="AN454" s="100"/>
      <c r="AQ454" s="78"/>
      <c r="AR454" s="100"/>
      <c r="AT454" s="78"/>
      <c r="AU454" s="100"/>
      <c r="AX454" s="78"/>
      <c r="AY454" s="100"/>
      <c r="BC454" s="100"/>
      <c r="BF454" s="78"/>
      <c r="BG454" s="100"/>
      <c r="BJ454" s="78"/>
      <c r="BK454" s="100"/>
      <c r="BN454" s="100"/>
      <c r="BP454" s="104"/>
      <c r="BQ454" s="104"/>
    </row>
    <row r="455" spans="1:69" ht="12.75">
      <c r="A455" s="101"/>
      <c r="B455" s="1"/>
      <c r="F455" s="102"/>
      <c r="G455" s="1"/>
      <c r="K455" s="100"/>
      <c r="L455" s="103"/>
      <c r="M455" s="103"/>
      <c r="N455" s="103"/>
      <c r="O455" s="103"/>
      <c r="P455" s="100"/>
      <c r="U455" s="100"/>
      <c r="Z455" s="100"/>
      <c r="AE455" s="100"/>
      <c r="AJ455" s="100"/>
      <c r="AL455" s="78"/>
      <c r="AM455" s="78"/>
      <c r="AN455" s="100"/>
      <c r="AQ455" s="78"/>
      <c r="AR455" s="100"/>
      <c r="AT455" s="78"/>
      <c r="AU455" s="100"/>
      <c r="AX455" s="78"/>
      <c r="AY455" s="100"/>
      <c r="BC455" s="100"/>
      <c r="BF455" s="78"/>
      <c r="BG455" s="100"/>
      <c r="BJ455" s="78"/>
      <c r="BK455" s="100"/>
      <c r="BN455" s="100"/>
      <c r="BP455" s="104"/>
      <c r="BQ455" s="104"/>
    </row>
    <row r="456" spans="1:69" ht="12.75">
      <c r="A456" s="101"/>
      <c r="B456" s="1"/>
      <c r="F456" s="102"/>
      <c r="G456" s="1"/>
      <c r="K456" s="100"/>
      <c r="L456" s="103"/>
      <c r="M456" s="103"/>
      <c r="N456" s="103"/>
      <c r="O456" s="103"/>
      <c r="P456" s="100"/>
      <c r="U456" s="100"/>
      <c r="Z456" s="100"/>
      <c r="AE456" s="100"/>
      <c r="AJ456" s="100"/>
      <c r="AL456" s="78"/>
      <c r="AM456" s="78"/>
      <c r="AN456" s="100"/>
      <c r="AQ456" s="78"/>
      <c r="AR456" s="100"/>
      <c r="AT456" s="78"/>
      <c r="AU456" s="100"/>
      <c r="AX456" s="78"/>
      <c r="AY456" s="100"/>
      <c r="BC456" s="100"/>
      <c r="BF456" s="78"/>
      <c r="BG456" s="100"/>
      <c r="BJ456" s="78"/>
      <c r="BK456" s="100"/>
      <c r="BN456" s="100"/>
      <c r="BP456" s="104"/>
      <c r="BQ456" s="104"/>
    </row>
    <row r="457" spans="1:69" ht="12.75">
      <c r="A457" s="101"/>
      <c r="B457" s="1"/>
      <c r="F457" s="102"/>
      <c r="G457" s="1"/>
      <c r="K457" s="100"/>
      <c r="L457" s="103"/>
      <c r="M457" s="103"/>
      <c r="N457" s="103"/>
      <c r="O457" s="103"/>
      <c r="P457" s="100"/>
      <c r="U457" s="100"/>
      <c r="Z457" s="100"/>
      <c r="AE457" s="100"/>
      <c r="AJ457" s="100"/>
      <c r="AL457" s="78"/>
      <c r="AM457" s="78"/>
      <c r="AN457" s="100"/>
      <c r="AQ457" s="78"/>
      <c r="AR457" s="100"/>
      <c r="AT457" s="78"/>
      <c r="AU457" s="100"/>
      <c r="AX457" s="78"/>
      <c r="AY457" s="100"/>
      <c r="BC457" s="100"/>
      <c r="BF457" s="78"/>
      <c r="BG457" s="100"/>
      <c r="BJ457" s="78"/>
      <c r="BK457" s="100"/>
      <c r="BN457" s="100"/>
      <c r="BP457" s="104"/>
      <c r="BQ457" s="104"/>
    </row>
    <row r="458" spans="1:69" ht="12.75">
      <c r="A458" s="101"/>
      <c r="B458" s="1"/>
      <c r="F458" s="102"/>
      <c r="G458" s="1"/>
      <c r="K458" s="100"/>
      <c r="L458" s="103"/>
      <c r="M458" s="103"/>
      <c r="N458" s="103"/>
      <c r="O458" s="103"/>
      <c r="P458" s="100"/>
      <c r="U458" s="100"/>
      <c r="Z458" s="100"/>
      <c r="AE458" s="100"/>
      <c r="AJ458" s="100"/>
      <c r="AL458" s="78"/>
      <c r="AM458" s="78"/>
      <c r="AN458" s="100"/>
      <c r="AQ458" s="78"/>
      <c r="AR458" s="100"/>
      <c r="AT458" s="78"/>
      <c r="AU458" s="100"/>
      <c r="AX458" s="78"/>
      <c r="AY458" s="100"/>
      <c r="BC458" s="100"/>
      <c r="BF458" s="78"/>
      <c r="BG458" s="100"/>
      <c r="BJ458" s="78"/>
      <c r="BK458" s="100"/>
      <c r="BN458" s="100"/>
      <c r="BP458" s="104"/>
      <c r="BQ458" s="104"/>
    </row>
    <row r="459" spans="1:69" ht="12.75">
      <c r="A459" s="101"/>
      <c r="B459" s="1"/>
      <c r="F459" s="102"/>
      <c r="G459" s="1"/>
      <c r="K459" s="100"/>
      <c r="L459" s="103"/>
      <c r="M459" s="103"/>
      <c r="N459" s="103"/>
      <c r="O459" s="103"/>
      <c r="P459" s="100"/>
      <c r="U459" s="100"/>
      <c r="Z459" s="100"/>
      <c r="AE459" s="100"/>
      <c r="AJ459" s="100"/>
      <c r="AL459" s="78"/>
      <c r="AM459" s="78"/>
      <c r="AN459" s="100"/>
      <c r="AQ459" s="78"/>
      <c r="AR459" s="100"/>
      <c r="AT459" s="78"/>
      <c r="AU459" s="100"/>
      <c r="AX459" s="78"/>
      <c r="AY459" s="100"/>
      <c r="BC459" s="100"/>
      <c r="BF459" s="78"/>
      <c r="BG459" s="100"/>
      <c r="BJ459" s="78"/>
      <c r="BK459" s="100"/>
      <c r="BN459" s="100"/>
      <c r="BP459" s="104"/>
      <c r="BQ459" s="104"/>
    </row>
    <row r="460" spans="1:69" ht="12.75">
      <c r="A460" s="101"/>
      <c r="B460" s="1"/>
      <c r="F460" s="102"/>
      <c r="G460" s="1"/>
      <c r="K460" s="100"/>
      <c r="L460" s="103"/>
      <c r="M460" s="103"/>
      <c r="N460" s="103"/>
      <c r="O460" s="103"/>
      <c r="P460" s="100"/>
      <c r="U460" s="100"/>
      <c r="Z460" s="100"/>
      <c r="AE460" s="100"/>
      <c r="AJ460" s="100"/>
      <c r="AL460" s="78"/>
      <c r="AM460" s="78"/>
      <c r="AN460" s="100"/>
      <c r="AQ460" s="78"/>
      <c r="AR460" s="100"/>
      <c r="AT460" s="78"/>
      <c r="AU460" s="100"/>
      <c r="AX460" s="78"/>
      <c r="AY460" s="100"/>
      <c r="BC460" s="100"/>
      <c r="BF460" s="78"/>
      <c r="BG460" s="100"/>
      <c r="BJ460" s="78"/>
      <c r="BK460" s="100"/>
      <c r="BN460" s="100"/>
      <c r="BP460" s="104"/>
      <c r="BQ460" s="104"/>
    </row>
    <row r="461" spans="1:69" ht="12.75">
      <c r="A461" s="101"/>
      <c r="B461" s="1"/>
      <c r="F461" s="102"/>
      <c r="G461" s="1"/>
      <c r="K461" s="100"/>
      <c r="L461" s="103"/>
      <c r="M461" s="103"/>
      <c r="N461" s="103"/>
      <c r="O461" s="103"/>
      <c r="P461" s="100"/>
      <c r="U461" s="100"/>
      <c r="Z461" s="100"/>
      <c r="AE461" s="100"/>
      <c r="AJ461" s="100"/>
      <c r="AL461" s="78"/>
      <c r="AM461" s="78"/>
      <c r="AN461" s="100"/>
      <c r="AQ461" s="78"/>
      <c r="AR461" s="100"/>
      <c r="AT461" s="78"/>
      <c r="AU461" s="100"/>
      <c r="AX461" s="78"/>
      <c r="AY461" s="100"/>
      <c r="BC461" s="100"/>
      <c r="BF461" s="78"/>
      <c r="BG461" s="100"/>
      <c r="BJ461" s="78"/>
      <c r="BK461" s="100"/>
      <c r="BN461" s="100"/>
      <c r="BP461" s="104"/>
      <c r="BQ461" s="104"/>
    </row>
    <row r="462" spans="1:69" ht="12.75">
      <c r="A462" s="101"/>
      <c r="B462" s="1"/>
      <c r="F462" s="102"/>
      <c r="G462" s="1"/>
      <c r="K462" s="100"/>
      <c r="L462" s="103"/>
      <c r="M462" s="103"/>
      <c r="N462" s="103"/>
      <c r="O462" s="103"/>
      <c r="P462" s="100"/>
      <c r="U462" s="100"/>
      <c r="Z462" s="100"/>
      <c r="AE462" s="100"/>
      <c r="AJ462" s="100"/>
      <c r="AL462" s="78"/>
      <c r="AM462" s="78"/>
      <c r="AN462" s="100"/>
      <c r="AQ462" s="78"/>
      <c r="AR462" s="100"/>
      <c r="AT462" s="78"/>
      <c r="AU462" s="100"/>
      <c r="AX462" s="78"/>
      <c r="AY462" s="100"/>
      <c r="BC462" s="100"/>
      <c r="BF462" s="78"/>
      <c r="BG462" s="100"/>
      <c r="BJ462" s="78"/>
      <c r="BK462" s="100"/>
      <c r="BN462" s="100"/>
      <c r="BP462" s="104"/>
      <c r="BQ462" s="104"/>
    </row>
    <row r="463" spans="1:69" ht="12.75">
      <c r="A463" s="101"/>
      <c r="B463" s="1"/>
      <c r="F463" s="102"/>
      <c r="G463" s="1"/>
      <c r="K463" s="100"/>
      <c r="L463" s="103"/>
      <c r="M463" s="103"/>
      <c r="N463" s="103"/>
      <c r="O463" s="103"/>
      <c r="P463" s="100"/>
      <c r="U463" s="100"/>
      <c r="Z463" s="100"/>
      <c r="AE463" s="100"/>
      <c r="AJ463" s="100"/>
      <c r="AL463" s="78"/>
      <c r="AM463" s="78"/>
      <c r="AN463" s="100"/>
      <c r="AQ463" s="78"/>
      <c r="AR463" s="100"/>
      <c r="AT463" s="78"/>
      <c r="AU463" s="100"/>
      <c r="AX463" s="78"/>
      <c r="AY463" s="100"/>
      <c r="BC463" s="100"/>
      <c r="BF463" s="78"/>
      <c r="BG463" s="100"/>
      <c r="BJ463" s="78"/>
      <c r="BK463" s="100"/>
      <c r="BN463" s="100"/>
      <c r="BP463" s="104"/>
      <c r="BQ463" s="104"/>
    </row>
    <row r="464" spans="1:69" ht="12.75">
      <c r="A464" s="101"/>
      <c r="B464" s="1"/>
      <c r="F464" s="102"/>
      <c r="G464" s="1"/>
      <c r="K464" s="100"/>
      <c r="L464" s="103"/>
      <c r="M464" s="103"/>
      <c r="N464" s="103"/>
      <c r="O464" s="103"/>
      <c r="P464" s="100"/>
      <c r="U464" s="100"/>
      <c r="Z464" s="100"/>
      <c r="AE464" s="100"/>
      <c r="AJ464" s="100"/>
      <c r="AL464" s="78"/>
      <c r="AM464" s="78"/>
      <c r="AN464" s="100"/>
      <c r="AQ464" s="78"/>
      <c r="AR464" s="100"/>
      <c r="AT464" s="78"/>
      <c r="AU464" s="100"/>
      <c r="AX464" s="78"/>
      <c r="AY464" s="100"/>
      <c r="BC464" s="100"/>
      <c r="BF464" s="78"/>
      <c r="BG464" s="100"/>
      <c r="BJ464" s="78"/>
      <c r="BK464" s="100"/>
      <c r="BN464" s="100"/>
      <c r="BP464" s="104"/>
      <c r="BQ464" s="104"/>
    </row>
    <row r="465" spans="1:69" ht="12.75">
      <c r="A465" s="101"/>
      <c r="B465" s="1"/>
      <c r="F465" s="102"/>
      <c r="G465" s="1"/>
      <c r="K465" s="100"/>
      <c r="L465" s="103"/>
      <c r="M465" s="103"/>
      <c r="N465" s="103"/>
      <c r="O465" s="103"/>
      <c r="P465" s="100"/>
      <c r="U465" s="100"/>
      <c r="Z465" s="100"/>
      <c r="AE465" s="100"/>
      <c r="AJ465" s="100"/>
      <c r="AL465" s="78"/>
      <c r="AM465" s="78"/>
      <c r="AN465" s="100"/>
      <c r="AQ465" s="78"/>
      <c r="AR465" s="100"/>
      <c r="AT465" s="78"/>
      <c r="AU465" s="100"/>
      <c r="AX465" s="78"/>
      <c r="AY465" s="100"/>
      <c r="BC465" s="100"/>
      <c r="BF465" s="78"/>
      <c r="BG465" s="100"/>
      <c r="BJ465" s="78"/>
      <c r="BK465" s="100"/>
      <c r="BN465" s="100"/>
      <c r="BP465" s="104"/>
      <c r="BQ465" s="104"/>
    </row>
    <row r="466" spans="1:69" ht="12.75">
      <c r="A466" s="101"/>
      <c r="B466" s="1"/>
      <c r="F466" s="102"/>
      <c r="G466" s="1"/>
      <c r="K466" s="100"/>
      <c r="L466" s="103"/>
      <c r="M466" s="103"/>
      <c r="N466" s="103"/>
      <c r="O466" s="103"/>
      <c r="P466" s="100"/>
      <c r="U466" s="100"/>
      <c r="Z466" s="100"/>
      <c r="AE466" s="100"/>
      <c r="AJ466" s="100"/>
      <c r="AL466" s="78"/>
      <c r="AM466" s="78"/>
      <c r="AN466" s="100"/>
      <c r="AQ466" s="78"/>
      <c r="AR466" s="100"/>
      <c r="AT466" s="78"/>
      <c r="AU466" s="100"/>
      <c r="AX466" s="78"/>
      <c r="AY466" s="100"/>
      <c r="BC466" s="100"/>
      <c r="BF466" s="78"/>
      <c r="BG466" s="100"/>
      <c r="BJ466" s="78"/>
      <c r="BK466" s="100"/>
      <c r="BN466" s="100"/>
      <c r="BP466" s="104"/>
      <c r="BQ466" s="104"/>
    </row>
    <row r="467" spans="1:69" ht="12.75">
      <c r="A467" s="101"/>
      <c r="B467" s="1"/>
      <c r="F467" s="102"/>
      <c r="G467" s="1"/>
      <c r="K467" s="100"/>
      <c r="L467" s="103"/>
      <c r="M467" s="103"/>
      <c r="N467" s="103"/>
      <c r="O467" s="103"/>
      <c r="P467" s="100"/>
      <c r="U467" s="100"/>
      <c r="Z467" s="100"/>
      <c r="AE467" s="100"/>
      <c r="AJ467" s="100"/>
      <c r="AL467" s="78"/>
      <c r="AM467" s="78"/>
      <c r="AN467" s="100"/>
      <c r="AQ467" s="78"/>
      <c r="AR467" s="100"/>
      <c r="AT467" s="78"/>
      <c r="AU467" s="100"/>
      <c r="AX467" s="78"/>
      <c r="AY467" s="100"/>
      <c r="BC467" s="100"/>
      <c r="BF467" s="78"/>
      <c r="BG467" s="100"/>
      <c r="BJ467" s="78"/>
      <c r="BK467" s="100"/>
      <c r="BN467" s="100"/>
      <c r="BP467" s="104"/>
      <c r="BQ467" s="104"/>
    </row>
    <row r="468" spans="1:69" ht="12.75">
      <c r="A468" s="101"/>
      <c r="B468" s="1"/>
      <c r="F468" s="102"/>
      <c r="G468" s="1"/>
      <c r="K468" s="100"/>
      <c r="L468" s="103"/>
      <c r="M468" s="103"/>
      <c r="N468" s="103"/>
      <c r="O468" s="103"/>
      <c r="P468" s="100"/>
      <c r="U468" s="100"/>
      <c r="Z468" s="100"/>
      <c r="AE468" s="100"/>
      <c r="AJ468" s="100"/>
      <c r="AL468" s="78"/>
      <c r="AM468" s="78"/>
      <c r="AN468" s="100"/>
      <c r="AQ468" s="78"/>
      <c r="AR468" s="100"/>
      <c r="AT468" s="78"/>
      <c r="AU468" s="100"/>
      <c r="AX468" s="78"/>
      <c r="AY468" s="100"/>
      <c r="BC468" s="100"/>
      <c r="BF468" s="78"/>
      <c r="BG468" s="100"/>
      <c r="BJ468" s="78"/>
      <c r="BK468" s="100"/>
      <c r="BN468" s="100"/>
      <c r="BP468" s="104"/>
      <c r="BQ468" s="104"/>
    </row>
    <row r="469" spans="1:69" ht="12.75">
      <c r="A469" s="101"/>
      <c r="B469" s="1"/>
      <c r="F469" s="102"/>
      <c r="G469" s="1"/>
      <c r="K469" s="100"/>
      <c r="L469" s="103"/>
      <c r="M469" s="103"/>
      <c r="N469" s="103"/>
      <c r="O469" s="103"/>
      <c r="P469" s="100"/>
      <c r="U469" s="100"/>
      <c r="Z469" s="100"/>
      <c r="AE469" s="100"/>
      <c r="AJ469" s="100"/>
      <c r="AL469" s="78"/>
      <c r="AM469" s="78"/>
      <c r="AN469" s="100"/>
      <c r="AQ469" s="78"/>
      <c r="AR469" s="100"/>
      <c r="AT469" s="78"/>
      <c r="AU469" s="100"/>
      <c r="AX469" s="78"/>
      <c r="AY469" s="100"/>
      <c r="BC469" s="100"/>
      <c r="BF469" s="78"/>
      <c r="BG469" s="100"/>
      <c r="BJ469" s="78"/>
      <c r="BK469" s="100"/>
      <c r="BN469" s="100"/>
      <c r="BP469" s="104"/>
      <c r="BQ469" s="104"/>
    </row>
    <row r="470" spans="1:69" ht="12.75">
      <c r="A470" s="101"/>
      <c r="B470" s="1"/>
      <c r="F470" s="102"/>
      <c r="G470" s="1"/>
      <c r="K470" s="100"/>
      <c r="L470" s="103"/>
      <c r="M470" s="103"/>
      <c r="N470" s="103"/>
      <c r="O470" s="103"/>
      <c r="P470" s="100"/>
      <c r="U470" s="100"/>
      <c r="Z470" s="100"/>
      <c r="AE470" s="100"/>
      <c r="AJ470" s="100"/>
      <c r="AL470" s="78"/>
      <c r="AM470" s="78"/>
      <c r="AN470" s="100"/>
      <c r="AQ470" s="78"/>
      <c r="AR470" s="100"/>
      <c r="AT470" s="78"/>
      <c r="AU470" s="100"/>
      <c r="AX470" s="78"/>
      <c r="AY470" s="100"/>
      <c r="BC470" s="100"/>
      <c r="BF470" s="78"/>
      <c r="BG470" s="100"/>
      <c r="BJ470" s="78"/>
      <c r="BK470" s="100"/>
      <c r="BN470" s="100"/>
      <c r="BP470" s="104"/>
      <c r="BQ470" s="104"/>
    </row>
    <row r="471" spans="1:69" ht="12.75">
      <c r="A471" s="101"/>
      <c r="B471" s="1"/>
      <c r="F471" s="102"/>
      <c r="G471" s="1"/>
      <c r="K471" s="100"/>
      <c r="L471" s="103"/>
      <c r="M471" s="103"/>
      <c r="N471" s="103"/>
      <c r="O471" s="103"/>
      <c r="P471" s="100"/>
      <c r="U471" s="100"/>
      <c r="Z471" s="100"/>
      <c r="AE471" s="100"/>
      <c r="AJ471" s="100"/>
      <c r="AL471" s="78"/>
      <c r="AM471" s="78"/>
      <c r="AN471" s="100"/>
      <c r="AQ471" s="78"/>
      <c r="AR471" s="100"/>
      <c r="AT471" s="78"/>
      <c r="AU471" s="100"/>
      <c r="AX471" s="78"/>
      <c r="AY471" s="100"/>
      <c r="BC471" s="100"/>
      <c r="BF471" s="78"/>
      <c r="BG471" s="100"/>
      <c r="BJ471" s="78"/>
      <c r="BK471" s="100"/>
      <c r="BN471" s="100"/>
      <c r="BP471" s="104"/>
      <c r="BQ471" s="104"/>
    </row>
    <row r="472" spans="1:69" ht="12.75">
      <c r="A472" s="101"/>
      <c r="B472" s="1"/>
      <c r="F472" s="102"/>
      <c r="G472" s="1"/>
      <c r="K472" s="100"/>
      <c r="L472" s="103"/>
      <c r="M472" s="103"/>
      <c r="N472" s="103"/>
      <c r="O472" s="103"/>
      <c r="P472" s="100"/>
      <c r="U472" s="100"/>
      <c r="Z472" s="100"/>
      <c r="AE472" s="100"/>
      <c r="AJ472" s="100"/>
      <c r="AL472" s="78"/>
      <c r="AM472" s="78"/>
      <c r="AN472" s="100"/>
      <c r="AQ472" s="78"/>
      <c r="AR472" s="100"/>
      <c r="AT472" s="78"/>
      <c r="AU472" s="100"/>
      <c r="AX472" s="78"/>
      <c r="AY472" s="100"/>
      <c r="BC472" s="100"/>
      <c r="BF472" s="78"/>
      <c r="BG472" s="100"/>
      <c r="BJ472" s="78"/>
      <c r="BK472" s="100"/>
      <c r="BN472" s="100"/>
      <c r="BP472" s="104"/>
      <c r="BQ472" s="104"/>
    </row>
    <row r="473" spans="1:69" ht="12.75">
      <c r="A473" s="101"/>
      <c r="B473" s="1"/>
      <c r="F473" s="102"/>
      <c r="G473" s="1"/>
      <c r="K473" s="100"/>
      <c r="L473" s="103"/>
      <c r="M473" s="103"/>
      <c r="N473" s="103"/>
      <c r="O473" s="103"/>
      <c r="P473" s="100"/>
      <c r="U473" s="100"/>
      <c r="Z473" s="100"/>
      <c r="AE473" s="100"/>
      <c r="AJ473" s="100"/>
      <c r="AL473" s="78"/>
      <c r="AM473" s="78"/>
      <c r="AN473" s="100"/>
      <c r="AQ473" s="78"/>
      <c r="AR473" s="100"/>
      <c r="AT473" s="78"/>
      <c r="AU473" s="100"/>
      <c r="AX473" s="78"/>
      <c r="AY473" s="100"/>
      <c r="BC473" s="100"/>
      <c r="BF473" s="78"/>
      <c r="BG473" s="100"/>
      <c r="BJ473" s="78"/>
      <c r="BK473" s="100"/>
      <c r="BN473" s="100"/>
      <c r="BP473" s="104"/>
      <c r="BQ473" s="104"/>
    </row>
    <row r="474" spans="1:69" ht="12.75">
      <c r="A474" s="101"/>
      <c r="B474" s="1"/>
      <c r="F474" s="102"/>
      <c r="G474" s="1"/>
      <c r="K474" s="100"/>
      <c r="L474" s="103"/>
      <c r="M474" s="103"/>
      <c r="N474" s="103"/>
      <c r="O474" s="103"/>
      <c r="P474" s="100"/>
      <c r="U474" s="100"/>
      <c r="Z474" s="100"/>
      <c r="AE474" s="100"/>
      <c r="AJ474" s="100"/>
      <c r="AL474" s="78"/>
      <c r="AM474" s="78"/>
      <c r="AN474" s="100"/>
      <c r="AQ474" s="78"/>
      <c r="AR474" s="100"/>
      <c r="AT474" s="78"/>
      <c r="AU474" s="100"/>
      <c r="AX474" s="78"/>
      <c r="AY474" s="100"/>
      <c r="BC474" s="100"/>
      <c r="BF474" s="78"/>
      <c r="BG474" s="100"/>
      <c r="BJ474" s="78"/>
      <c r="BK474" s="100"/>
      <c r="BN474" s="100"/>
      <c r="BP474" s="104"/>
      <c r="BQ474" s="104"/>
    </row>
    <row r="475" spans="1:69" ht="12.75">
      <c r="A475" s="101"/>
      <c r="B475" s="1"/>
      <c r="F475" s="102"/>
      <c r="G475" s="1"/>
      <c r="K475" s="100"/>
      <c r="L475" s="103"/>
      <c r="M475" s="103"/>
      <c r="N475" s="103"/>
      <c r="O475" s="103"/>
      <c r="P475" s="100"/>
      <c r="U475" s="100"/>
      <c r="Z475" s="100"/>
      <c r="AE475" s="100"/>
      <c r="AJ475" s="100"/>
      <c r="AL475" s="78"/>
      <c r="AM475" s="78"/>
      <c r="AN475" s="100"/>
      <c r="AQ475" s="78"/>
      <c r="AR475" s="100"/>
      <c r="AT475" s="78"/>
      <c r="AU475" s="100"/>
      <c r="AX475" s="78"/>
      <c r="AY475" s="100"/>
      <c r="BC475" s="100"/>
      <c r="BF475" s="78"/>
      <c r="BG475" s="100"/>
      <c r="BJ475" s="78"/>
      <c r="BK475" s="100"/>
      <c r="BN475" s="100"/>
      <c r="BP475" s="104"/>
      <c r="BQ475" s="104"/>
    </row>
    <row r="476" spans="1:69" ht="12.75">
      <c r="A476" s="101"/>
      <c r="B476" s="1"/>
      <c r="F476" s="102"/>
      <c r="G476" s="1"/>
      <c r="K476" s="100"/>
      <c r="L476" s="103"/>
      <c r="M476" s="103"/>
      <c r="N476" s="103"/>
      <c r="O476" s="103"/>
      <c r="P476" s="100"/>
      <c r="U476" s="100"/>
      <c r="Z476" s="100"/>
      <c r="AE476" s="100"/>
      <c r="AJ476" s="100"/>
      <c r="AL476" s="78"/>
      <c r="AM476" s="78"/>
      <c r="AN476" s="100"/>
      <c r="AQ476" s="78"/>
      <c r="AR476" s="100"/>
      <c r="AT476" s="78"/>
      <c r="AU476" s="100"/>
      <c r="AX476" s="78"/>
      <c r="AY476" s="100"/>
      <c r="BC476" s="100"/>
      <c r="BF476" s="78"/>
      <c r="BG476" s="100"/>
      <c r="BJ476" s="78"/>
      <c r="BK476" s="100"/>
      <c r="BN476" s="100"/>
      <c r="BP476" s="104"/>
      <c r="BQ476" s="104"/>
    </row>
    <row r="477" spans="1:69" ht="12.75">
      <c r="A477" s="101"/>
      <c r="B477" s="1"/>
      <c r="F477" s="102"/>
      <c r="G477" s="1"/>
      <c r="K477" s="100"/>
      <c r="L477" s="103"/>
      <c r="M477" s="103"/>
      <c r="N477" s="103"/>
      <c r="O477" s="103"/>
      <c r="P477" s="100"/>
      <c r="U477" s="100"/>
      <c r="Z477" s="100"/>
      <c r="AE477" s="100"/>
      <c r="AJ477" s="100"/>
      <c r="AL477" s="78"/>
      <c r="AM477" s="78"/>
      <c r="AN477" s="100"/>
      <c r="AQ477" s="78"/>
      <c r="AR477" s="100"/>
      <c r="AT477" s="78"/>
      <c r="AU477" s="100"/>
      <c r="AX477" s="78"/>
      <c r="AY477" s="100"/>
      <c r="BC477" s="100"/>
      <c r="BF477" s="78"/>
      <c r="BG477" s="100"/>
      <c r="BJ477" s="78"/>
      <c r="BK477" s="100"/>
      <c r="BN477" s="100"/>
      <c r="BP477" s="104"/>
      <c r="BQ477" s="104"/>
    </row>
    <row r="478" spans="1:69" ht="12.75">
      <c r="A478" s="101"/>
      <c r="B478" s="1"/>
      <c r="F478" s="102"/>
      <c r="G478" s="1"/>
      <c r="K478" s="100"/>
      <c r="L478" s="103"/>
      <c r="M478" s="103"/>
      <c r="N478" s="103"/>
      <c r="O478" s="103"/>
      <c r="P478" s="100"/>
      <c r="U478" s="100"/>
      <c r="Z478" s="100"/>
      <c r="AE478" s="100"/>
      <c r="AJ478" s="100"/>
      <c r="AL478" s="78"/>
      <c r="AM478" s="78"/>
      <c r="AN478" s="100"/>
      <c r="AQ478" s="78"/>
      <c r="AR478" s="100"/>
      <c r="AT478" s="78"/>
      <c r="AU478" s="100"/>
      <c r="AX478" s="78"/>
      <c r="AY478" s="100"/>
      <c r="BC478" s="100"/>
      <c r="BF478" s="78"/>
      <c r="BG478" s="100"/>
      <c r="BJ478" s="78"/>
      <c r="BK478" s="100"/>
      <c r="BN478" s="100"/>
      <c r="BP478" s="104"/>
      <c r="BQ478" s="104"/>
    </row>
    <row r="479" spans="1:69" ht="12.75">
      <c r="A479" s="101"/>
      <c r="B479" s="1"/>
      <c r="F479" s="102"/>
      <c r="G479" s="1"/>
      <c r="K479" s="100"/>
      <c r="L479" s="103"/>
      <c r="M479" s="103"/>
      <c r="N479" s="103"/>
      <c r="O479" s="103"/>
      <c r="P479" s="100"/>
      <c r="U479" s="100"/>
      <c r="Z479" s="100"/>
      <c r="AE479" s="100"/>
      <c r="AJ479" s="100"/>
      <c r="AL479" s="78"/>
      <c r="AM479" s="78"/>
      <c r="AN479" s="100"/>
      <c r="AQ479" s="78"/>
      <c r="AR479" s="100"/>
      <c r="AT479" s="78"/>
      <c r="AU479" s="100"/>
      <c r="AX479" s="78"/>
      <c r="AY479" s="100"/>
      <c r="BC479" s="100"/>
      <c r="BF479" s="78"/>
      <c r="BG479" s="100"/>
      <c r="BJ479" s="78"/>
      <c r="BK479" s="100"/>
      <c r="BN479" s="100"/>
      <c r="BP479" s="104"/>
      <c r="BQ479" s="104"/>
    </row>
    <row r="480" spans="1:69" ht="12.75">
      <c r="A480" s="101"/>
      <c r="B480" s="1"/>
      <c r="F480" s="102"/>
      <c r="G480" s="1"/>
      <c r="K480" s="100"/>
      <c r="L480" s="103"/>
      <c r="M480" s="103"/>
      <c r="N480" s="103"/>
      <c r="O480" s="103"/>
      <c r="P480" s="100"/>
      <c r="U480" s="100"/>
      <c r="Z480" s="100"/>
      <c r="AE480" s="100"/>
      <c r="AJ480" s="100"/>
      <c r="AL480" s="78"/>
      <c r="AM480" s="78"/>
      <c r="AN480" s="100"/>
      <c r="AQ480" s="78"/>
      <c r="AR480" s="100"/>
      <c r="AT480" s="78"/>
      <c r="AU480" s="100"/>
      <c r="AX480" s="78"/>
      <c r="AY480" s="100"/>
      <c r="BC480" s="100"/>
      <c r="BF480" s="78"/>
      <c r="BG480" s="100"/>
      <c r="BJ480" s="78"/>
      <c r="BK480" s="100"/>
      <c r="BN480" s="100"/>
      <c r="BP480" s="104"/>
      <c r="BQ480" s="104"/>
    </row>
    <row r="481" spans="1:69" ht="12.75">
      <c r="A481" s="101"/>
      <c r="B481" s="1"/>
      <c r="F481" s="102"/>
      <c r="G481" s="1"/>
      <c r="K481" s="100"/>
      <c r="L481" s="103"/>
      <c r="M481" s="103"/>
      <c r="N481" s="103"/>
      <c r="O481" s="103"/>
      <c r="P481" s="100"/>
      <c r="U481" s="100"/>
      <c r="Z481" s="100"/>
      <c r="AE481" s="100"/>
      <c r="AJ481" s="100"/>
      <c r="AL481" s="78"/>
      <c r="AM481" s="78"/>
      <c r="AN481" s="100"/>
      <c r="AQ481" s="78"/>
      <c r="AR481" s="100"/>
      <c r="AT481" s="78"/>
      <c r="AU481" s="100"/>
      <c r="AX481" s="78"/>
      <c r="AY481" s="100"/>
      <c r="BC481" s="100"/>
      <c r="BF481" s="78"/>
      <c r="BG481" s="100"/>
      <c r="BJ481" s="78"/>
      <c r="BK481" s="100"/>
      <c r="BN481" s="100"/>
      <c r="BP481" s="104"/>
      <c r="BQ481" s="104"/>
    </row>
    <row r="482" spans="1:69" ht="12.75">
      <c r="A482" s="101"/>
      <c r="B482" s="1"/>
      <c r="F482" s="102"/>
      <c r="G482" s="1"/>
      <c r="K482" s="100"/>
      <c r="L482" s="103"/>
      <c r="M482" s="103"/>
      <c r="N482" s="103"/>
      <c r="O482" s="103"/>
      <c r="P482" s="100"/>
      <c r="U482" s="100"/>
      <c r="Z482" s="100"/>
      <c r="AE482" s="100"/>
      <c r="AJ482" s="100"/>
      <c r="AL482" s="78"/>
      <c r="AM482" s="78"/>
      <c r="AN482" s="100"/>
      <c r="AQ482" s="78"/>
      <c r="AR482" s="100"/>
      <c r="AT482" s="78"/>
      <c r="AU482" s="100"/>
      <c r="AX482" s="78"/>
      <c r="AY482" s="100"/>
      <c r="BC482" s="100"/>
      <c r="BF482" s="78"/>
      <c r="BG482" s="100"/>
      <c r="BJ482" s="78"/>
      <c r="BK482" s="100"/>
      <c r="BN482" s="100"/>
      <c r="BP482" s="104"/>
      <c r="BQ482" s="104"/>
    </row>
    <row r="483" spans="1:69" ht="12.75">
      <c r="A483" s="101"/>
      <c r="B483" s="1"/>
      <c r="F483" s="102"/>
      <c r="G483" s="1"/>
      <c r="K483" s="100"/>
      <c r="L483" s="103"/>
      <c r="M483" s="103"/>
      <c r="N483" s="103"/>
      <c r="O483" s="103"/>
      <c r="P483" s="100"/>
      <c r="U483" s="100"/>
      <c r="Z483" s="100"/>
      <c r="AE483" s="100"/>
      <c r="AJ483" s="100"/>
      <c r="AL483" s="78"/>
      <c r="AM483" s="78"/>
      <c r="AN483" s="100"/>
      <c r="AQ483" s="78"/>
      <c r="AR483" s="100"/>
      <c r="AT483" s="78"/>
      <c r="AU483" s="100"/>
      <c r="AX483" s="78"/>
      <c r="AY483" s="100"/>
      <c r="BC483" s="100"/>
      <c r="BF483" s="78"/>
      <c r="BG483" s="100"/>
      <c r="BJ483" s="78"/>
      <c r="BK483" s="100"/>
      <c r="BN483" s="100"/>
      <c r="BP483" s="104"/>
      <c r="BQ483" s="104"/>
    </row>
    <row r="484" spans="1:69" ht="12.75">
      <c r="A484" s="101"/>
      <c r="B484" s="1"/>
      <c r="F484" s="102"/>
      <c r="G484" s="1"/>
      <c r="K484" s="100"/>
      <c r="L484" s="103"/>
      <c r="M484" s="103"/>
      <c r="N484" s="103"/>
      <c r="O484" s="103"/>
      <c r="P484" s="100"/>
      <c r="U484" s="100"/>
      <c r="Z484" s="100"/>
      <c r="AE484" s="100"/>
      <c r="AJ484" s="100"/>
      <c r="AL484" s="78"/>
      <c r="AM484" s="78"/>
      <c r="AN484" s="100"/>
      <c r="AQ484" s="78"/>
      <c r="AR484" s="100"/>
      <c r="AT484" s="78"/>
      <c r="AU484" s="100"/>
      <c r="AX484" s="78"/>
      <c r="AY484" s="100"/>
      <c r="BC484" s="100"/>
      <c r="BF484" s="78"/>
      <c r="BG484" s="100"/>
      <c r="BJ484" s="78"/>
      <c r="BK484" s="100"/>
      <c r="BN484" s="100"/>
      <c r="BP484" s="104"/>
      <c r="BQ484" s="104"/>
    </row>
    <row r="485" spans="1:69" ht="12.75">
      <c r="A485" s="101"/>
      <c r="B485" s="1"/>
      <c r="F485" s="102"/>
      <c r="G485" s="1"/>
      <c r="K485" s="100"/>
      <c r="L485" s="103"/>
      <c r="M485" s="103"/>
      <c r="N485" s="103"/>
      <c r="O485" s="103"/>
      <c r="P485" s="100"/>
      <c r="U485" s="100"/>
      <c r="Z485" s="100"/>
      <c r="AE485" s="100"/>
      <c r="AJ485" s="100"/>
      <c r="AL485" s="78"/>
      <c r="AM485" s="78"/>
      <c r="AN485" s="100"/>
      <c r="AQ485" s="78"/>
      <c r="AR485" s="100"/>
      <c r="AT485" s="78"/>
      <c r="AU485" s="100"/>
      <c r="AX485" s="78"/>
      <c r="AY485" s="100"/>
      <c r="BC485" s="100"/>
      <c r="BF485" s="78"/>
      <c r="BG485" s="100"/>
      <c r="BJ485" s="78"/>
      <c r="BK485" s="100"/>
      <c r="BN485" s="100"/>
      <c r="BP485" s="104"/>
      <c r="BQ485" s="104"/>
    </row>
    <row r="486" spans="1:69" ht="12.75">
      <c r="A486" s="101"/>
      <c r="B486" s="1"/>
      <c r="F486" s="102"/>
      <c r="G486" s="1"/>
      <c r="K486" s="100"/>
      <c r="L486" s="103"/>
      <c r="M486" s="103"/>
      <c r="N486" s="103"/>
      <c r="O486" s="103"/>
      <c r="P486" s="100"/>
      <c r="U486" s="100"/>
      <c r="Z486" s="100"/>
      <c r="AE486" s="100"/>
      <c r="AJ486" s="100"/>
      <c r="AL486" s="78"/>
      <c r="AM486" s="78"/>
      <c r="AN486" s="100"/>
      <c r="AQ486" s="78"/>
      <c r="AR486" s="100"/>
      <c r="AT486" s="78"/>
      <c r="AU486" s="100"/>
      <c r="AX486" s="78"/>
      <c r="AY486" s="100"/>
      <c r="BC486" s="100"/>
      <c r="BF486" s="78"/>
      <c r="BG486" s="100"/>
      <c r="BJ486" s="78"/>
      <c r="BK486" s="100"/>
      <c r="BN486" s="100"/>
      <c r="BP486" s="104"/>
      <c r="BQ486" s="104"/>
    </row>
    <row r="487" spans="1:69" ht="12.75">
      <c r="A487" s="101"/>
      <c r="B487" s="1"/>
      <c r="F487" s="102"/>
      <c r="G487" s="1"/>
      <c r="K487" s="100"/>
      <c r="L487" s="103"/>
      <c r="M487" s="103"/>
      <c r="N487" s="103"/>
      <c r="O487" s="103"/>
      <c r="P487" s="100"/>
      <c r="U487" s="100"/>
      <c r="Z487" s="100"/>
      <c r="AE487" s="100"/>
      <c r="AJ487" s="100"/>
      <c r="AL487" s="78"/>
      <c r="AM487" s="78"/>
      <c r="AN487" s="100"/>
      <c r="AQ487" s="78"/>
      <c r="AR487" s="100"/>
      <c r="AT487" s="78"/>
      <c r="AU487" s="100"/>
      <c r="AX487" s="78"/>
      <c r="AY487" s="100"/>
      <c r="BC487" s="100"/>
      <c r="BF487" s="78"/>
      <c r="BG487" s="100"/>
      <c r="BJ487" s="78"/>
      <c r="BK487" s="100"/>
      <c r="BN487" s="100"/>
      <c r="BP487" s="104"/>
      <c r="BQ487" s="104"/>
    </row>
    <row r="488" spans="1:69" ht="12.75">
      <c r="A488" s="101"/>
      <c r="B488" s="1"/>
      <c r="F488" s="102"/>
      <c r="G488" s="1"/>
      <c r="K488" s="100"/>
      <c r="L488" s="103"/>
      <c r="M488" s="103"/>
      <c r="N488" s="103"/>
      <c r="O488" s="103"/>
      <c r="P488" s="100"/>
      <c r="U488" s="100"/>
      <c r="Z488" s="100"/>
      <c r="AE488" s="100"/>
      <c r="AJ488" s="100"/>
      <c r="AL488" s="78"/>
      <c r="AM488" s="78"/>
      <c r="AN488" s="100"/>
      <c r="AQ488" s="78"/>
      <c r="AR488" s="100"/>
      <c r="AT488" s="78"/>
      <c r="AU488" s="100"/>
      <c r="AX488" s="78"/>
      <c r="AY488" s="100"/>
      <c r="BC488" s="100"/>
      <c r="BF488" s="78"/>
      <c r="BG488" s="100"/>
      <c r="BJ488" s="78"/>
      <c r="BK488" s="100"/>
      <c r="BN488" s="100"/>
      <c r="BP488" s="104"/>
      <c r="BQ488" s="104"/>
    </row>
    <row r="489" spans="1:69" ht="12.75">
      <c r="A489" s="101"/>
      <c r="B489" s="1"/>
      <c r="F489" s="102"/>
      <c r="G489" s="1"/>
      <c r="K489" s="100"/>
      <c r="L489" s="103"/>
      <c r="M489" s="103"/>
      <c r="N489" s="103"/>
      <c r="O489" s="103"/>
      <c r="P489" s="100"/>
      <c r="U489" s="100"/>
      <c r="Z489" s="100"/>
      <c r="AE489" s="100"/>
      <c r="AJ489" s="100"/>
      <c r="AL489" s="78"/>
      <c r="AM489" s="78"/>
      <c r="AN489" s="100"/>
      <c r="AQ489" s="78"/>
      <c r="AR489" s="100"/>
      <c r="AT489" s="78"/>
      <c r="AU489" s="100"/>
      <c r="AX489" s="78"/>
      <c r="AY489" s="100"/>
      <c r="BC489" s="100"/>
      <c r="BF489" s="78"/>
      <c r="BG489" s="100"/>
      <c r="BJ489" s="78"/>
      <c r="BK489" s="100"/>
      <c r="BN489" s="100"/>
      <c r="BP489" s="104"/>
      <c r="BQ489" s="104"/>
    </row>
    <row r="490" spans="1:69" ht="12.75">
      <c r="A490" s="101"/>
      <c r="B490" s="1"/>
      <c r="F490" s="102"/>
      <c r="G490" s="1"/>
      <c r="K490" s="100"/>
      <c r="L490" s="103"/>
      <c r="M490" s="103"/>
      <c r="N490" s="103"/>
      <c r="O490" s="103"/>
      <c r="P490" s="100"/>
      <c r="U490" s="100"/>
      <c r="Z490" s="100"/>
      <c r="AE490" s="100"/>
      <c r="AJ490" s="100"/>
      <c r="AL490" s="78"/>
      <c r="AM490" s="78"/>
      <c r="AN490" s="100"/>
      <c r="AQ490" s="78"/>
      <c r="AR490" s="100"/>
      <c r="AT490" s="78"/>
      <c r="AU490" s="100"/>
      <c r="AX490" s="78"/>
      <c r="AY490" s="100"/>
      <c r="BC490" s="100"/>
      <c r="BF490" s="78"/>
      <c r="BG490" s="100"/>
      <c r="BJ490" s="78"/>
      <c r="BK490" s="100"/>
      <c r="BN490" s="100"/>
      <c r="BP490" s="104"/>
      <c r="BQ490" s="104"/>
    </row>
    <row r="491" spans="1:69" ht="12.75">
      <c r="A491" s="101"/>
      <c r="B491" s="1"/>
      <c r="F491" s="102"/>
      <c r="G491" s="1"/>
      <c r="K491" s="100"/>
      <c r="L491" s="103"/>
      <c r="M491" s="103"/>
      <c r="N491" s="103"/>
      <c r="O491" s="103"/>
      <c r="P491" s="100"/>
      <c r="U491" s="100"/>
      <c r="Z491" s="100"/>
      <c r="AE491" s="100"/>
      <c r="AJ491" s="100"/>
      <c r="AL491" s="78"/>
      <c r="AM491" s="78"/>
      <c r="AN491" s="100"/>
      <c r="AQ491" s="78"/>
      <c r="AR491" s="100"/>
      <c r="AT491" s="78"/>
      <c r="AU491" s="100"/>
      <c r="AX491" s="78"/>
      <c r="AY491" s="100"/>
      <c r="BC491" s="100"/>
      <c r="BF491" s="78"/>
      <c r="BG491" s="100"/>
      <c r="BJ491" s="78"/>
      <c r="BK491" s="100"/>
      <c r="BN491" s="100"/>
      <c r="BP491" s="104"/>
      <c r="BQ491" s="104"/>
    </row>
    <row r="492" spans="1:69" ht="12.75">
      <c r="A492" s="101"/>
      <c r="B492" s="1"/>
      <c r="F492" s="102"/>
      <c r="G492" s="1"/>
      <c r="K492" s="100"/>
      <c r="L492" s="103"/>
      <c r="M492" s="103"/>
      <c r="N492" s="103"/>
      <c r="O492" s="103"/>
      <c r="P492" s="100"/>
      <c r="U492" s="100"/>
      <c r="Z492" s="100"/>
      <c r="AE492" s="100"/>
      <c r="AJ492" s="100"/>
      <c r="AL492" s="78"/>
      <c r="AM492" s="78"/>
      <c r="AN492" s="100"/>
      <c r="AQ492" s="78"/>
      <c r="AR492" s="100"/>
      <c r="AT492" s="78"/>
      <c r="AU492" s="100"/>
      <c r="AX492" s="78"/>
      <c r="AY492" s="100"/>
      <c r="BC492" s="100"/>
      <c r="BF492" s="78"/>
      <c r="BG492" s="100"/>
      <c r="BJ492" s="78"/>
      <c r="BK492" s="100"/>
      <c r="BN492" s="100"/>
      <c r="BP492" s="104"/>
      <c r="BQ492" s="104"/>
    </row>
    <row r="493" spans="1:69" ht="12.75">
      <c r="A493" s="101"/>
      <c r="B493" s="1"/>
      <c r="F493" s="102"/>
      <c r="G493" s="1"/>
      <c r="K493" s="100"/>
      <c r="L493" s="103"/>
      <c r="M493" s="103"/>
      <c r="N493" s="103"/>
      <c r="O493" s="103"/>
      <c r="P493" s="100"/>
      <c r="U493" s="100"/>
      <c r="Z493" s="100"/>
      <c r="AE493" s="100"/>
      <c r="AJ493" s="100"/>
      <c r="AL493" s="78"/>
      <c r="AM493" s="78"/>
      <c r="AN493" s="100"/>
      <c r="AQ493" s="78"/>
      <c r="AR493" s="100"/>
      <c r="AT493" s="78"/>
      <c r="AU493" s="100"/>
      <c r="AX493" s="78"/>
      <c r="AY493" s="100"/>
      <c r="BC493" s="100"/>
      <c r="BF493" s="78"/>
      <c r="BG493" s="100"/>
      <c r="BJ493" s="78"/>
      <c r="BK493" s="100"/>
      <c r="BN493" s="100"/>
      <c r="BP493" s="104"/>
      <c r="BQ493" s="104"/>
    </row>
    <row r="494" spans="1:69" ht="12.75">
      <c r="A494" s="101"/>
      <c r="B494" s="1"/>
      <c r="F494" s="102"/>
      <c r="G494" s="1"/>
      <c r="K494" s="100"/>
      <c r="L494" s="103"/>
      <c r="M494" s="103"/>
      <c r="N494" s="103"/>
      <c r="O494" s="103"/>
      <c r="P494" s="100"/>
      <c r="U494" s="100"/>
      <c r="Z494" s="100"/>
      <c r="AE494" s="100"/>
      <c r="AJ494" s="100"/>
      <c r="AL494" s="78"/>
      <c r="AM494" s="78"/>
      <c r="AN494" s="100"/>
      <c r="AQ494" s="78"/>
      <c r="AR494" s="100"/>
      <c r="AT494" s="78"/>
      <c r="AU494" s="100"/>
      <c r="AX494" s="78"/>
      <c r="AY494" s="100"/>
      <c r="BC494" s="100"/>
      <c r="BF494" s="78"/>
      <c r="BG494" s="100"/>
      <c r="BJ494" s="78"/>
      <c r="BK494" s="100"/>
      <c r="BN494" s="100"/>
      <c r="BP494" s="104"/>
      <c r="BQ494" s="104"/>
    </row>
    <row r="495" spans="1:69" ht="12.75">
      <c r="A495" s="101"/>
      <c r="B495" s="1"/>
      <c r="F495" s="102"/>
      <c r="G495" s="1"/>
      <c r="K495" s="100"/>
      <c r="L495" s="103"/>
      <c r="M495" s="103"/>
      <c r="N495" s="103"/>
      <c r="O495" s="103"/>
      <c r="P495" s="100"/>
      <c r="U495" s="100"/>
      <c r="Z495" s="100"/>
      <c r="AE495" s="100"/>
      <c r="AJ495" s="100"/>
      <c r="AL495" s="78"/>
      <c r="AM495" s="78"/>
      <c r="AN495" s="100"/>
      <c r="AQ495" s="78"/>
      <c r="AR495" s="100"/>
      <c r="AT495" s="78"/>
      <c r="AU495" s="100"/>
      <c r="AX495" s="78"/>
      <c r="AY495" s="100"/>
      <c r="BC495" s="100"/>
      <c r="BF495" s="78"/>
      <c r="BG495" s="100"/>
      <c r="BJ495" s="78"/>
      <c r="BK495" s="100"/>
      <c r="BN495" s="100"/>
      <c r="BP495" s="104"/>
      <c r="BQ495" s="104"/>
    </row>
    <row r="496" spans="1:69" ht="12.75">
      <c r="A496" s="101"/>
      <c r="B496" s="1"/>
      <c r="F496" s="102"/>
      <c r="G496" s="1"/>
      <c r="K496" s="100"/>
      <c r="L496" s="103"/>
      <c r="M496" s="103"/>
      <c r="N496" s="103"/>
      <c r="O496" s="103"/>
      <c r="P496" s="100"/>
      <c r="U496" s="100"/>
      <c r="Z496" s="100"/>
      <c r="AE496" s="100"/>
      <c r="AJ496" s="100"/>
      <c r="AL496" s="78"/>
      <c r="AM496" s="78"/>
      <c r="AN496" s="100"/>
      <c r="AQ496" s="78"/>
      <c r="AR496" s="100"/>
      <c r="AT496" s="78"/>
      <c r="AU496" s="100"/>
      <c r="AX496" s="78"/>
      <c r="AY496" s="100"/>
      <c r="BC496" s="100"/>
      <c r="BF496" s="78"/>
      <c r="BG496" s="100"/>
      <c r="BJ496" s="78"/>
      <c r="BK496" s="100"/>
      <c r="BN496" s="100"/>
      <c r="BP496" s="104"/>
      <c r="BQ496" s="104"/>
    </row>
    <row r="497" spans="1:69" ht="12.75">
      <c r="A497" s="101"/>
      <c r="B497" s="1"/>
      <c r="F497" s="102"/>
      <c r="G497" s="1"/>
      <c r="K497" s="100"/>
      <c r="L497" s="103"/>
      <c r="M497" s="103"/>
      <c r="N497" s="103"/>
      <c r="O497" s="103"/>
      <c r="P497" s="100"/>
      <c r="U497" s="100"/>
      <c r="Z497" s="100"/>
      <c r="AE497" s="100"/>
      <c r="AJ497" s="100"/>
      <c r="AL497" s="78"/>
      <c r="AM497" s="78"/>
      <c r="AN497" s="100"/>
      <c r="AQ497" s="78"/>
      <c r="AR497" s="100"/>
      <c r="AT497" s="78"/>
      <c r="AU497" s="100"/>
      <c r="AX497" s="78"/>
      <c r="AY497" s="100"/>
      <c r="BC497" s="100"/>
      <c r="BF497" s="78"/>
      <c r="BG497" s="100"/>
      <c r="BJ497" s="78"/>
      <c r="BK497" s="100"/>
      <c r="BN497" s="100"/>
      <c r="BP497" s="104"/>
      <c r="BQ497" s="104"/>
    </row>
    <row r="498" spans="1:69" ht="12.75">
      <c r="A498" s="101"/>
      <c r="B498" s="1"/>
      <c r="F498" s="102"/>
      <c r="G498" s="1"/>
      <c r="K498" s="100"/>
      <c r="L498" s="103"/>
      <c r="M498" s="103"/>
      <c r="N498" s="103"/>
      <c r="O498" s="103"/>
      <c r="P498" s="100"/>
      <c r="U498" s="100"/>
      <c r="Z498" s="100"/>
      <c r="AE498" s="100"/>
      <c r="AJ498" s="100"/>
      <c r="AL498" s="78"/>
      <c r="AM498" s="78"/>
      <c r="AN498" s="100"/>
      <c r="AQ498" s="78"/>
      <c r="AR498" s="100"/>
      <c r="AT498" s="78"/>
      <c r="AU498" s="100"/>
      <c r="AX498" s="78"/>
      <c r="AY498" s="100"/>
      <c r="BC498" s="100"/>
      <c r="BF498" s="78"/>
      <c r="BG498" s="100"/>
      <c r="BJ498" s="78"/>
      <c r="BK498" s="100"/>
      <c r="BN498" s="100"/>
      <c r="BP498" s="104"/>
      <c r="BQ498" s="104"/>
    </row>
    <row r="499" spans="1:69" ht="12.75">
      <c r="A499" s="101"/>
      <c r="B499" s="1"/>
      <c r="F499" s="102"/>
      <c r="G499" s="1"/>
      <c r="K499" s="100"/>
      <c r="L499" s="103"/>
      <c r="M499" s="103"/>
      <c r="N499" s="103"/>
      <c r="O499" s="103"/>
      <c r="P499" s="100"/>
      <c r="U499" s="100"/>
      <c r="Z499" s="100"/>
      <c r="AE499" s="100"/>
      <c r="AJ499" s="100"/>
      <c r="AL499" s="78"/>
      <c r="AM499" s="78"/>
      <c r="AN499" s="100"/>
      <c r="AQ499" s="78"/>
      <c r="AR499" s="100"/>
      <c r="AT499" s="78"/>
      <c r="AU499" s="100"/>
      <c r="AX499" s="78"/>
      <c r="AY499" s="100"/>
      <c r="BC499" s="100"/>
      <c r="BF499" s="78"/>
      <c r="BG499" s="100"/>
      <c r="BJ499" s="78"/>
      <c r="BK499" s="100"/>
      <c r="BN499" s="100"/>
      <c r="BP499" s="104"/>
      <c r="BQ499" s="104"/>
    </row>
    <row r="500" spans="1:69" ht="12.75">
      <c r="A500" s="101"/>
      <c r="B500" s="1"/>
      <c r="F500" s="102"/>
      <c r="G500" s="1"/>
      <c r="K500" s="100"/>
      <c r="L500" s="103"/>
      <c r="M500" s="103"/>
      <c r="N500" s="103"/>
      <c r="O500" s="103"/>
      <c r="P500" s="100"/>
      <c r="U500" s="100"/>
      <c r="Z500" s="100"/>
      <c r="AE500" s="100"/>
      <c r="AJ500" s="100"/>
      <c r="AL500" s="78"/>
      <c r="AM500" s="78"/>
      <c r="AN500" s="100"/>
      <c r="AQ500" s="78"/>
      <c r="AR500" s="100"/>
      <c r="AT500" s="78"/>
      <c r="AU500" s="100"/>
      <c r="AX500" s="78"/>
      <c r="AY500" s="100"/>
      <c r="BC500" s="100"/>
      <c r="BF500" s="78"/>
      <c r="BG500" s="100"/>
      <c r="BJ500" s="78"/>
      <c r="BK500" s="100"/>
      <c r="BN500" s="100"/>
      <c r="BP500" s="104"/>
      <c r="BQ500" s="104"/>
    </row>
    <row r="501" spans="1:69" ht="12.75">
      <c r="A501" s="101"/>
      <c r="B501" s="1"/>
      <c r="F501" s="102"/>
      <c r="G501" s="1"/>
      <c r="K501" s="100"/>
      <c r="L501" s="103"/>
      <c r="M501" s="103"/>
      <c r="N501" s="103"/>
      <c r="O501" s="103"/>
      <c r="P501" s="100"/>
      <c r="U501" s="100"/>
      <c r="Z501" s="100"/>
      <c r="AE501" s="100"/>
      <c r="AJ501" s="100"/>
      <c r="AL501" s="78"/>
      <c r="AM501" s="78"/>
      <c r="AN501" s="100"/>
      <c r="AQ501" s="78"/>
      <c r="AR501" s="100"/>
      <c r="AT501" s="78"/>
      <c r="AU501" s="100"/>
      <c r="AX501" s="78"/>
      <c r="AY501" s="100"/>
      <c r="BC501" s="100"/>
      <c r="BF501" s="78"/>
      <c r="BG501" s="100"/>
      <c r="BJ501" s="78"/>
      <c r="BK501" s="100"/>
      <c r="BN501" s="100"/>
      <c r="BP501" s="104"/>
      <c r="BQ501" s="104"/>
    </row>
    <row r="502" spans="1:69" ht="12.75">
      <c r="A502" s="101"/>
      <c r="B502" s="1"/>
      <c r="F502" s="102"/>
      <c r="G502" s="1"/>
      <c r="K502" s="100"/>
      <c r="L502" s="103"/>
      <c r="M502" s="103"/>
      <c r="N502" s="103"/>
      <c r="O502" s="103"/>
      <c r="P502" s="100"/>
      <c r="U502" s="100"/>
      <c r="Z502" s="100"/>
      <c r="AE502" s="100"/>
      <c r="AJ502" s="100"/>
      <c r="AL502" s="78"/>
      <c r="AM502" s="78"/>
      <c r="AN502" s="100"/>
      <c r="AQ502" s="78"/>
      <c r="AR502" s="100"/>
      <c r="AT502" s="78"/>
      <c r="AU502" s="100"/>
      <c r="AX502" s="78"/>
      <c r="AY502" s="100"/>
      <c r="BC502" s="100"/>
      <c r="BF502" s="78"/>
      <c r="BG502" s="100"/>
      <c r="BJ502" s="78"/>
      <c r="BK502" s="100"/>
      <c r="BN502" s="100"/>
      <c r="BP502" s="104"/>
      <c r="BQ502" s="104"/>
    </row>
    <row r="503" spans="1:69" ht="12.75">
      <c r="A503" s="101"/>
      <c r="B503" s="1"/>
      <c r="F503" s="102"/>
      <c r="G503" s="1"/>
      <c r="K503" s="100"/>
      <c r="L503" s="103"/>
      <c r="M503" s="103"/>
      <c r="N503" s="103"/>
      <c r="O503" s="103"/>
      <c r="P503" s="100"/>
      <c r="U503" s="100"/>
      <c r="Z503" s="100"/>
      <c r="AE503" s="100"/>
      <c r="AJ503" s="100"/>
      <c r="AL503" s="78"/>
      <c r="AM503" s="78"/>
      <c r="AN503" s="100"/>
      <c r="AQ503" s="78"/>
      <c r="AR503" s="100"/>
      <c r="AT503" s="78"/>
      <c r="AU503" s="100"/>
      <c r="AX503" s="78"/>
      <c r="AY503" s="100"/>
      <c r="BC503" s="100"/>
      <c r="BF503" s="78"/>
      <c r="BG503" s="100"/>
      <c r="BJ503" s="78"/>
      <c r="BK503" s="100"/>
      <c r="BN503" s="100"/>
      <c r="BP503" s="104"/>
      <c r="BQ503" s="104"/>
    </row>
    <row r="504" spans="1:69" ht="12.75">
      <c r="A504" s="101"/>
      <c r="B504" s="1"/>
      <c r="F504" s="102"/>
      <c r="G504" s="1"/>
      <c r="K504" s="100"/>
      <c r="L504" s="103"/>
      <c r="M504" s="103"/>
      <c r="N504" s="103"/>
      <c r="O504" s="103"/>
      <c r="P504" s="100"/>
      <c r="U504" s="100"/>
      <c r="Z504" s="100"/>
      <c r="AE504" s="100"/>
      <c r="AJ504" s="100"/>
      <c r="AL504" s="78"/>
      <c r="AM504" s="78"/>
      <c r="AN504" s="100"/>
      <c r="AQ504" s="78"/>
      <c r="AR504" s="100"/>
      <c r="AT504" s="78"/>
      <c r="AU504" s="100"/>
      <c r="AX504" s="78"/>
      <c r="AY504" s="100"/>
      <c r="BC504" s="100"/>
      <c r="BF504" s="78"/>
      <c r="BG504" s="100"/>
      <c r="BJ504" s="78"/>
      <c r="BK504" s="100"/>
      <c r="BN504" s="100"/>
      <c r="BP504" s="104"/>
      <c r="BQ504" s="104"/>
    </row>
    <row r="505" spans="1:69" ht="12.75">
      <c r="A505" s="101"/>
      <c r="B505" s="1"/>
      <c r="F505" s="102"/>
      <c r="G505" s="1"/>
      <c r="K505" s="100"/>
      <c r="L505" s="103"/>
      <c r="M505" s="103"/>
      <c r="N505" s="103"/>
      <c r="O505" s="103"/>
      <c r="P505" s="100"/>
      <c r="U505" s="100"/>
      <c r="Z505" s="100"/>
      <c r="AE505" s="100"/>
      <c r="AJ505" s="100"/>
      <c r="AL505" s="78"/>
      <c r="AM505" s="78"/>
      <c r="AN505" s="100"/>
      <c r="AQ505" s="78"/>
      <c r="AR505" s="100"/>
      <c r="AT505" s="78"/>
      <c r="AU505" s="100"/>
      <c r="AX505" s="78"/>
      <c r="AY505" s="100"/>
      <c r="BC505" s="100"/>
      <c r="BF505" s="78"/>
      <c r="BG505" s="100"/>
      <c r="BJ505" s="78"/>
      <c r="BK505" s="100"/>
      <c r="BN505" s="100"/>
      <c r="BP505" s="104"/>
      <c r="BQ505" s="104"/>
    </row>
    <row r="506" spans="1:69" ht="12.75">
      <c r="A506" s="101"/>
      <c r="B506" s="1"/>
      <c r="F506" s="102"/>
      <c r="G506" s="1"/>
      <c r="K506" s="100"/>
      <c r="L506" s="103"/>
      <c r="M506" s="103"/>
      <c r="N506" s="103"/>
      <c r="O506" s="103"/>
      <c r="P506" s="100"/>
      <c r="U506" s="100"/>
      <c r="Z506" s="100"/>
      <c r="AE506" s="100"/>
      <c r="AJ506" s="100"/>
      <c r="AL506" s="78"/>
      <c r="AM506" s="78"/>
      <c r="AN506" s="100"/>
      <c r="AQ506" s="78"/>
      <c r="AR506" s="100"/>
      <c r="AT506" s="78"/>
      <c r="AU506" s="100"/>
      <c r="AX506" s="78"/>
      <c r="AY506" s="100"/>
      <c r="BC506" s="100"/>
      <c r="BF506" s="78"/>
      <c r="BG506" s="100"/>
      <c r="BJ506" s="78"/>
      <c r="BK506" s="100"/>
      <c r="BN506" s="100"/>
      <c r="BP506" s="104"/>
      <c r="BQ506" s="104"/>
    </row>
    <row r="507" spans="1:69" ht="12.75">
      <c r="A507" s="101"/>
      <c r="B507" s="1"/>
      <c r="F507" s="102"/>
      <c r="G507" s="1"/>
      <c r="K507" s="100"/>
      <c r="L507" s="103"/>
      <c r="M507" s="103"/>
      <c r="N507" s="103"/>
      <c r="O507" s="103"/>
      <c r="P507" s="100"/>
      <c r="U507" s="100"/>
      <c r="Z507" s="100"/>
      <c r="AE507" s="100"/>
      <c r="AJ507" s="100"/>
      <c r="AL507" s="78"/>
      <c r="AM507" s="78"/>
      <c r="AN507" s="100"/>
      <c r="AQ507" s="78"/>
      <c r="AR507" s="100"/>
      <c r="AT507" s="78"/>
      <c r="AU507" s="100"/>
      <c r="AX507" s="78"/>
      <c r="AY507" s="100"/>
      <c r="BC507" s="100"/>
      <c r="BF507" s="78"/>
      <c r="BG507" s="100"/>
      <c r="BJ507" s="78"/>
      <c r="BK507" s="100"/>
      <c r="BN507" s="100"/>
      <c r="BP507" s="104"/>
      <c r="BQ507" s="104"/>
    </row>
    <row r="508" spans="1:69" ht="12.75">
      <c r="A508" s="101"/>
      <c r="B508" s="1"/>
      <c r="F508" s="102"/>
      <c r="G508" s="1"/>
      <c r="K508" s="100"/>
      <c r="L508" s="103"/>
      <c r="M508" s="103"/>
      <c r="N508" s="103"/>
      <c r="O508" s="103"/>
      <c r="P508" s="100"/>
      <c r="U508" s="100"/>
      <c r="Z508" s="100"/>
      <c r="AE508" s="100"/>
      <c r="AJ508" s="100"/>
      <c r="AL508" s="78"/>
      <c r="AM508" s="78"/>
      <c r="AN508" s="100"/>
      <c r="AQ508" s="78"/>
      <c r="AR508" s="100"/>
      <c r="AT508" s="78"/>
      <c r="AU508" s="100"/>
      <c r="AX508" s="78"/>
      <c r="AY508" s="100"/>
      <c r="BC508" s="100"/>
      <c r="BF508" s="78"/>
      <c r="BG508" s="100"/>
      <c r="BJ508" s="78"/>
      <c r="BK508" s="100"/>
      <c r="BN508" s="100"/>
      <c r="BP508" s="104"/>
      <c r="BQ508" s="104"/>
    </row>
    <row r="509" spans="1:69" ht="12.75">
      <c r="A509" s="101"/>
      <c r="B509" s="1"/>
      <c r="F509" s="102"/>
      <c r="G509" s="1"/>
      <c r="K509" s="100"/>
      <c r="L509" s="103"/>
      <c r="M509" s="103"/>
      <c r="N509" s="103"/>
      <c r="O509" s="103"/>
      <c r="P509" s="100"/>
      <c r="U509" s="100"/>
      <c r="Z509" s="100"/>
      <c r="AE509" s="100"/>
      <c r="AJ509" s="100"/>
      <c r="AL509" s="78"/>
      <c r="AM509" s="78"/>
      <c r="AN509" s="100"/>
      <c r="AQ509" s="78"/>
      <c r="AR509" s="100"/>
      <c r="AT509" s="78"/>
      <c r="AU509" s="100"/>
      <c r="AX509" s="78"/>
      <c r="AY509" s="100"/>
      <c r="BC509" s="100"/>
      <c r="BF509" s="78"/>
      <c r="BG509" s="100"/>
      <c r="BJ509" s="78"/>
      <c r="BK509" s="100"/>
      <c r="BN509" s="100"/>
      <c r="BP509" s="104"/>
      <c r="BQ509" s="104"/>
    </row>
    <row r="510" spans="1:69" ht="12.75">
      <c r="A510" s="101"/>
      <c r="B510" s="1"/>
      <c r="F510" s="102"/>
      <c r="G510" s="1"/>
      <c r="K510" s="100"/>
      <c r="L510" s="103"/>
      <c r="M510" s="103"/>
      <c r="N510" s="103"/>
      <c r="O510" s="103"/>
      <c r="P510" s="100"/>
      <c r="U510" s="100"/>
      <c r="Z510" s="100"/>
      <c r="AE510" s="100"/>
      <c r="AJ510" s="100"/>
      <c r="AL510" s="78"/>
      <c r="AM510" s="78"/>
      <c r="AN510" s="100"/>
      <c r="AQ510" s="78"/>
      <c r="AR510" s="100"/>
      <c r="AT510" s="78"/>
      <c r="AU510" s="100"/>
      <c r="AX510" s="78"/>
      <c r="AY510" s="100"/>
      <c r="BC510" s="100"/>
      <c r="BF510" s="78"/>
      <c r="BG510" s="100"/>
      <c r="BJ510" s="78"/>
      <c r="BK510" s="100"/>
      <c r="BN510" s="100"/>
      <c r="BP510" s="104"/>
      <c r="BQ510" s="104"/>
    </row>
    <row r="511" spans="1:69" ht="12.75">
      <c r="A511" s="101"/>
      <c r="B511" s="1"/>
      <c r="F511" s="102"/>
      <c r="G511" s="1"/>
      <c r="K511" s="100"/>
      <c r="L511" s="103"/>
      <c r="M511" s="103"/>
      <c r="N511" s="103"/>
      <c r="O511" s="103"/>
      <c r="P511" s="100"/>
      <c r="U511" s="100"/>
      <c r="Z511" s="100"/>
      <c r="AE511" s="100"/>
      <c r="AJ511" s="100"/>
      <c r="AL511" s="78"/>
      <c r="AM511" s="78"/>
      <c r="AN511" s="100"/>
      <c r="AQ511" s="78"/>
      <c r="AR511" s="100"/>
      <c r="AT511" s="78"/>
      <c r="AU511" s="100"/>
      <c r="AX511" s="78"/>
      <c r="AY511" s="100"/>
      <c r="BC511" s="100"/>
      <c r="BF511" s="78"/>
      <c r="BG511" s="100"/>
      <c r="BJ511" s="78"/>
      <c r="BK511" s="100"/>
      <c r="BN511" s="100"/>
      <c r="BP511" s="104"/>
      <c r="BQ511" s="104"/>
    </row>
    <row r="512" spans="1:69" ht="12.75">
      <c r="A512" s="101"/>
      <c r="B512" s="1"/>
      <c r="F512" s="102"/>
      <c r="G512" s="1"/>
      <c r="K512" s="100"/>
      <c r="L512" s="103"/>
      <c r="M512" s="103"/>
      <c r="N512" s="103"/>
      <c r="O512" s="103"/>
      <c r="P512" s="100"/>
      <c r="U512" s="100"/>
      <c r="Z512" s="100"/>
      <c r="AE512" s="100"/>
      <c r="AJ512" s="100"/>
      <c r="AL512" s="78"/>
      <c r="AM512" s="78"/>
      <c r="AN512" s="100"/>
      <c r="AQ512" s="78"/>
      <c r="AR512" s="100"/>
      <c r="AT512" s="78"/>
      <c r="AU512" s="100"/>
      <c r="AX512" s="78"/>
      <c r="AY512" s="100"/>
      <c r="BC512" s="100"/>
      <c r="BF512" s="78"/>
      <c r="BG512" s="100"/>
      <c r="BJ512" s="78"/>
      <c r="BK512" s="100"/>
      <c r="BN512" s="100"/>
      <c r="BP512" s="104"/>
      <c r="BQ512" s="104"/>
    </row>
    <row r="513" spans="1:69" ht="12.75">
      <c r="A513" s="101"/>
      <c r="B513" s="1"/>
      <c r="F513" s="102"/>
      <c r="G513" s="1"/>
      <c r="K513" s="100"/>
      <c r="L513" s="103"/>
      <c r="M513" s="103"/>
      <c r="N513" s="103"/>
      <c r="O513" s="103"/>
      <c r="P513" s="100"/>
      <c r="U513" s="100"/>
      <c r="Z513" s="100"/>
      <c r="AE513" s="100"/>
      <c r="AJ513" s="100"/>
      <c r="AL513" s="78"/>
      <c r="AM513" s="78"/>
      <c r="AN513" s="100"/>
      <c r="AQ513" s="78"/>
      <c r="AR513" s="100"/>
      <c r="AT513" s="78"/>
      <c r="AU513" s="100"/>
      <c r="AX513" s="78"/>
      <c r="AY513" s="100"/>
      <c r="BC513" s="100"/>
      <c r="BF513" s="78"/>
      <c r="BG513" s="100"/>
      <c r="BJ513" s="78"/>
      <c r="BK513" s="100"/>
      <c r="BN513" s="100"/>
      <c r="BP513" s="104"/>
      <c r="BQ513" s="104"/>
    </row>
    <row r="514" spans="1:69" ht="12.75">
      <c r="A514" s="101"/>
      <c r="B514" s="1"/>
      <c r="F514" s="102"/>
      <c r="G514" s="1"/>
      <c r="K514" s="100"/>
      <c r="L514" s="103"/>
      <c r="M514" s="103"/>
      <c r="N514" s="103"/>
      <c r="O514" s="103"/>
      <c r="P514" s="100"/>
      <c r="U514" s="100"/>
      <c r="Z514" s="100"/>
      <c r="AE514" s="100"/>
      <c r="AJ514" s="100"/>
      <c r="AL514" s="78"/>
      <c r="AM514" s="78"/>
      <c r="AN514" s="100"/>
      <c r="AQ514" s="78"/>
      <c r="AR514" s="100"/>
      <c r="AT514" s="78"/>
      <c r="AU514" s="100"/>
      <c r="AX514" s="78"/>
      <c r="AY514" s="100"/>
      <c r="BC514" s="100"/>
      <c r="BF514" s="78"/>
      <c r="BG514" s="100"/>
      <c r="BJ514" s="78"/>
      <c r="BK514" s="100"/>
      <c r="BN514" s="100"/>
      <c r="BP514" s="104"/>
      <c r="BQ514" s="104"/>
    </row>
    <row r="515" spans="1:69" ht="12.75">
      <c r="A515" s="101"/>
      <c r="B515" s="1"/>
      <c r="F515" s="102"/>
      <c r="G515" s="1"/>
      <c r="K515" s="100"/>
      <c r="L515" s="103"/>
      <c r="M515" s="103"/>
      <c r="N515" s="103"/>
      <c r="O515" s="103"/>
      <c r="P515" s="100"/>
      <c r="U515" s="100"/>
      <c r="Z515" s="100"/>
      <c r="AE515" s="100"/>
      <c r="AJ515" s="100"/>
      <c r="AL515" s="78"/>
      <c r="AM515" s="78"/>
      <c r="AN515" s="100"/>
      <c r="AQ515" s="78"/>
      <c r="AR515" s="100"/>
      <c r="AT515" s="78"/>
      <c r="AU515" s="100"/>
      <c r="AX515" s="78"/>
      <c r="AY515" s="100"/>
      <c r="BC515" s="100"/>
      <c r="BF515" s="78"/>
      <c r="BG515" s="100"/>
      <c r="BJ515" s="78"/>
      <c r="BK515" s="100"/>
      <c r="BN515" s="100"/>
      <c r="BP515" s="104"/>
      <c r="BQ515" s="104"/>
    </row>
    <row r="516" spans="1:69" ht="12.75">
      <c r="A516" s="101"/>
      <c r="B516" s="1"/>
      <c r="F516" s="102"/>
      <c r="G516" s="1"/>
      <c r="K516" s="100"/>
      <c r="L516" s="103"/>
      <c r="M516" s="103"/>
      <c r="N516" s="103"/>
      <c r="O516" s="103"/>
      <c r="P516" s="100"/>
      <c r="U516" s="100"/>
      <c r="Z516" s="100"/>
      <c r="AE516" s="100"/>
      <c r="AJ516" s="100"/>
      <c r="AL516" s="78"/>
      <c r="AM516" s="78"/>
      <c r="AN516" s="100"/>
      <c r="AQ516" s="78"/>
      <c r="AR516" s="100"/>
      <c r="AT516" s="78"/>
      <c r="AU516" s="100"/>
      <c r="AX516" s="78"/>
      <c r="AY516" s="100"/>
      <c r="BC516" s="100"/>
      <c r="BF516" s="78"/>
      <c r="BG516" s="100"/>
      <c r="BJ516" s="78"/>
      <c r="BK516" s="100"/>
      <c r="BN516" s="100"/>
      <c r="BP516" s="104"/>
      <c r="BQ516" s="104"/>
    </row>
    <row r="517" spans="1:69" ht="12.75">
      <c r="A517" s="101"/>
      <c r="B517" s="1"/>
      <c r="F517" s="102"/>
      <c r="G517" s="1"/>
      <c r="K517" s="100"/>
      <c r="L517" s="103"/>
      <c r="M517" s="103"/>
      <c r="N517" s="103"/>
      <c r="O517" s="103"/>
      <c r="P517" s="100"/>
      <c r="U517" s="100"/>
      <c r="Z517" s="100"/>
      <c r="AE517" s="100"/>
      <c r="AJ517" s="100"/>
      <c r="AL517" s="78"/>
      <c r="AM517" s="78"/>
      <c r="AN517" s="100"/>
      <c r="AQ517" s="78"/>
      <c r="AR517" s="100"/>
      <c r="AT517" s="78"/>
      <c r="AU517" s="100"/>
      <c r="AX517" s="78"/>
      <c r="AY517" s="100"/>
      <c r="BC517" s="100"/>
      <c r="BF517" s="78"/>
      <c r="BG517" s="100"/>
      <c r="BJ517" s="78"/>
      <c r="BK517" s="100"/>
      <c r="BN517" s="100"/>
      <c r="BP517" s="104"/>
      <c r="BQ517" s="104"/>
    </row>
    <row r="518" spans="1:69" ht="12.75">
      <c r="A518" s="101"/>
      <c r="B518" s="1"/>
      <c r="F518" s="102"/>
      <c r="G518" s="1"/>
      <c r="K518" s="100"/>
      <c r="L518" s="103"/>
      <c r="M518" s="103"/>
      <c r="N518" s="103"/>
      <c r="O518" s="103"/>
      <c r="P518" s="100"/>
      <c r="U518" s="100"/>
      <c r="Z518" s="100"/>
      <c r="AE518" s="100"/>
      <c r="AJ518" s="100"/>
      <c r="AL518" s="78"/>
      <c r="AM518" s="78"/>
      <c r="AN518" s="100"/>
      <c r="AQ518" s="78"/>
      <c r="AR518" s="100"/>
      <c r="AT518" s="78"/>
      <c r="AU518" s="100"/>
      <c r="AX518" s="78"/>
      <c r="AY518" s="100"/>
      <c r="BC518" s="100"/>
      <c r="BF518" s="78"/>
      <c r="BG518" s="100"/>
      <c r="BJ518" s="78"/>
      <c r="BK518" s="100"/>
      <c r="BN518" s="100"/>
      <c r="BP518" s="104"/>
      <c r="BQ518" s="104"/>
    </row>
    <row r="519" spans="1:69" ht="12.75">
      <c r="A519" s="101"/>
      <c r="B519" s="1"/>
      <c r="F519" s="102"/>
      <c r="G519" s="1"/>
      <c r="K519" s="100"/>
      <c r="L519" s="103"/>
      <c r="M519" s="103"/>
      <c r="N519" s="103"/>
      <c r="O519" s="103"/>
      <c r="P519" s="100"/>
      <c r="U519" s="100"/>
      <c r="Z519" s="100"/>
      <c r="AE519" s="100"/>
      <c r="AJ519" s="100"/>
      <c r="AL519" s="78"/>
      <c r="AM519" s="78"/>
      <c r="AN519" s="100"/>
      <c r="AQ519" s="78"/>
      <c r="AR519" s="100"/>
      <c r="AT519" s="78"/>
      <c r="AU519" s="100"/>
      <c r="AX519" s="78"/>
      <c r="AY519" s="100"/>
      <c r="BC519" s="100"/>
      <c r="BF519" s="78"/>
      <c r="BG519" s="100"/>
      <c r="BJ519" s="78"/>
      <c r="BK519" s="100"/>
      <c r="BN519" s="100"/>
      <c r="BP519" s="104"/>
      <c r="BQ519" s="104"/>
    </row>
    <row r="520" spans="1:69" ht="12.75">
      <c r="A520" s="101"/>
      <c r="B520" s="1"/>
      <c r="F520" s="102"/>
      <c r="G520" s="1"/>
      <c r="K520" s="100"/>
      <c r="L520" s="103"/>
      <c r="M520" s="103"/>
      <c r="N520" s="103"/>
      <c r="O520" s="103"/>
      <c r="P520" s="100"/>
      <c r="U520" s="100"/>
      <c r="Z520" s="100"/>
      <c r="AE520" s="100"/>
      <c r="AJ520" s="100"/>
      <c r="AL520" s="78"/>
      <c r="AM520" s="78"/>
      <c r="AN520" s="100"/>
      <c r="AQ520" s="78"/>
      <c r="AR520" s="100"/>
      <c r="AT520" s="78"/>
      <c r="AU520" s="100"/>
      <c r="AX520" s="78"/>
      <c r="AY520" s="100"/>
      <c r="BC520" s="100"/>
      <c r="BF520" s="78"/>
      <c r="BG520" s="100"/>
      <c r="BJ520" s="78"/>
      <c r="BK520" s="100"/>
      <c r="BN520" s="100"/>
      <c r="BP520" s="104"/>
      <c r="BQ520" s="104"/>
    </row>
    <row r="521" spans="1:69" ht="12.75">
      <c r="A521" s="101"/>
      <c r="B521" s="1"/>
      <c r="F521" s="102"/>
      <c r="G521" s="1"/>
      <c r="K521" s="100"/>
      <c r="L521" s="103"/>
      <c r="M521" s="103"/>
      <c r="N521" s="103"/>
      <c r="O521" s="103"/>
      <c r="P521" s="100"/>
      <c r="U521" s="100"/>
      <c r="Z521" s="100"/>
      <c r="AE521" s="100"/>
      <c r="AJ521" s="100"/>
      <c r="AL521" s="78"/>
      <c r="AM521" s="78"/>
      <c r="AN521" s="100"/>
      <c r="AQ521" s="78"/>
      <c r="AR521" s="100"/>
      <c r="AT521" s="78"/>
      <c r="AU521" s="100"/>
      <c r="AX521" s="78"/>
      <c r="AY521" s="100"/>
      <c r="BC521" s="100"/>
      <c r="BF521" s="78"/>
      <c r="BG521" s="100"/>
      <c r="BJ521" s="78"/>
      <c r="BK521" s="100"/>
      <c r="BN521" s="100"/>
      <c r="BP521" s="104"/>
      <c r="BQ521" s="104"/>
    </row>
    <row r="522" spans="1:69" ht="12.75">
      <c r="A522" s="101"/>
      <c r="B522" s="1"/>
      <c r="F522" s="102"/>
      <c r="G522" s="1"/>
      <c r="K522" s="100"/>
      <c r="L522" s="103"/>
      <c r="M522" s="103"/>
      <c r="N522" s="103"/>
      <c r="O522" s="103"/>
      <c r="P522" s="100"/>
      <c r="U522" s="100"/>
      <c r="Z522" s="100"/>
      <c r="AE522" s="100"/>
      <c r="AJ522" s="100"/>
      <c r="AL522" s="78"/>
      <c r="AM522" s="78"/>
      <c r="AN522" s="100"/>
      <c r="AQ522" s="78"/>
      <c r="AR522" s="100"/>
      <c r="AT522" s="78"/>
      <c r="AU522" s="100"/>
      <c r="AX522" s="78"/>
      <c r="AY522" s="100"/>
      <c r="BC522" s="100"/>
      <c r="BF522" s="78"/>
      <c r="BG522" s="100"/>
      <c r="BJ522" s="78"/>
      <c r="BK522" s="100"/>
      <c r="BN522" s="100"/>
      <c r="BP522" s="104"/>
      <c r="BQ522" s="104"/>
    </row>
    <row r="523" spans="1:69" ht="12.75">
      <c r="A523" s="101"/>
      <c r="B523" s="1"/>
      <c r="F523" s="102"/>
      <c r="G523" s="1"/>
      <c r="K523" s="100"/>
      <c r="L523" s="103"/>
      <c r="M523" s="103"/>
      <c r="N523" s="103"/>
      <c r="O523" s="103"/>
      <c r="P523" s="100"/>
      <c r="U523" s="100"/>
      <c r="Z523" s="100"/>
      <c r="AE523" s="100"/>
      <c r="AJ523" s="100"/>
      <c r="AL523" s="78"/>
      <c r="AM523" s="78"/>
      <c r="AN523" s="100"/>
      <c r="AQ523" s="78"/>
      <c r="AR523" s="100"/>
      <c r="AT523" s="78"/>
      <c r="AU523" s="100"/>
      <c r="AX523" s="78"/>
      <c r="AY523" s="100"/>
      <c r="BC523" s="100"/>
      <c r="BF523" s="78"/>
      <c r="BG523" s="100"/>
      <c r="BJ523" s="78"/>
      <c r="BK523" s="100"/>
      <c r="BN523" s="100"/>
      <c r="BP523" s="104"/>
      <c r="BQ523" s="104"/>
    </row>
    <row r="524" spans="1:69" ht="12.75">
      <c r="A524" s="101"/>
      <c r="B524" s="1"/>
      <c r="F524" s="102"/>
      <c r="G524" s="1"/>
      <c r="K524" s="100"/>
      <c r="L524" s="103"/>
      <c r="M524" s="103"/>
      <c r="N524" s="103"/>
      <c r="O524" s="103"/>
      <c r="P524" s="100"/>
      <c r="U524" s="100"/>
      <c r="Z524" s="100"/>
      <c r="AE524" s="100"/>
      <c r="AJ524" s="100"/>
      <c r="AL524" s="78"/>
      <c r="AM524" s="78"/>
      <c r="AN524" s="100"/>
      <c r="AQ524" s="78"/>
      <c r="AR524" s="100"/>
      <c r="AT524" s="78"/>
      <c r="AU524" s="100"/>
      <c r="AX524" s="78"/>
      <c r="AY524" s="100"/>
      <c r="BC524" s="100"/>
      <c r="BF524" s="78"/>
      <c r="BG524" s="100"/>
      <c r="BJ524" s="78"/>
      <c r="BK524" s="100"/>
      <c r="BN524" s="100"/>
      <c r="BP524" s="104"/>
      <c r="BQ524" s="104"/>
    </row>
    <row r="525" spans="1:69" ht="12.75">
      <c r="A525" s="101"/>
      <c r="B525" s="1"/>
      <c r="F525" s="102"/>
      <c r="G525" s="1"/>
      <c r="K525" s="100"/>
      <c r="L525" s="103"/>
      <c r="M525" s="103"/>
      <c r="N525" s="103"/>
      <c r="O525" s="103"/>
      <c r="P525" s="100"/>
      <c r="U525" s="100"/>
      <c r="Z525" s="100"/>
      <c r="AE525" s="100"/>
      <c r="AJ525" s="100"/>
      <c r="AL525" s="78"/>
      <c r="AM525" s="78"/>
      <c r="AN525" s="100"/>
      <c r="AQ525" s="78"/>
      <c r="AR525" s="100"/>
      <c r="AT525" s="78"/>
      <c r="AU525" s="100"/>
      <c r="AX525" s="78"/>
      <c r="AY525" s="100"/>
      <c r="BC525" s="100"/>
      <c r="BF525" s="78"/>
      <c r="BG525" s="100"/>
      <c r="BJ525" s="78"/>
      <c r="BK525" s="100"/>
      <c r="BN525" s="100"/>
      <c r="BP525" s="104"/>
      <c r="BQ525" s="104"/>
    </row>
    <row r="526" spans="1:69" ht="12.75">
      <c r="A526" s="101"/>
      <c r="B526" s="1"/>
      <c r="F526" s="102"/>
      <c r="G526" s="1"/>
      <c r="K526" s="100"/>
      <c r="L526" s="103"/>
      <c r="M526" s="103"/>
      <c r="N526" s="103"/>
      <c r="O526" s="103"/>
      <c r="P526" s="100"/>
      <c r="U526" s="100"/>
      <c r="Z526" s="100"/>
      <c r="AE526" s="100"/>
      <c r="AJ526" s="100"/>
      <c r="AL526" s="78"/>
      <c r="AM526" s="78"/>
      <c r="AN526" s="100"/>
      <c r="AQ526" s="78"/>
      <c r="AR526" s="100"/>
      <c r="AT526" s="78"/>
      <c r="AU526" s="100"/>
      <c r="AX526" s="78"/>
      <c r="AY526" s="100"/>
      <c r="BC526" s="100"/>
      <c r="BF526" s="78"/>
      <c r="BG526" s="100"/>
      <c r="BJ526" s="78"/>
      <c r="BK526" s="100"/>
      <c r="BN526" s="100"/>
      <c r="BP526" s="104"/>
      <c r="BQ526" s="104"/>
    </row>
    <row r="527" spans="1:69" ht="12.75">
      <c r="A527" s="101"/>
      <c r="B527" s="1"/>
      <c r="F527" s="102"/>
      <c r="G527" s="1"/>
      <c r="K527" s="100"/>
      <c r="L527" s="103"/>
      <c r="M527" s="103"/>
      <c r="N527" s="103"/>
      <c r="O527" s="103"/>
      <c r="P527" s="100"/>
      <c r="U527" s="100"/>
      <c r="Z527" s="100"/>
      <c r="AE527" s="100"/>
      <c r="AJ527" s="100"/>
      <c r="AL527" s="78"/>
      <c r="AM527" s="78"/>
      <c r="AN527" s="100"/>
      <c r="AQ527" s="78"/>
      <c r="AR527" s="100"/>
      <c r="AT527" s="78"/>
      <c r="AU527" s="100"/>
      <c r="AX527" s="78"/>
      <c r="AY527" s="100"/>
      <c r="BC527" s="100"/>
      <c r="BF527" s="78"/>
      <c r="BG527" s="100"/>
      <c r="BJ527" s="78"/>
      <c r="BK527" s="100"/>
      <c r="BN527" s="100"/>
      <c r="BP527" s="104"/>
      <c r="BQ527" s="104"/>
    </row>
    <row r="528" spans="1:69" ht="12.75">
      <c r="A528" s="101"/>
      <c r="B528" s="1"/>
      <c r="F528" s="102"/>
      <c r="G528" s="1"/>
      <c r="K528" s="100"/>
      <c r="L528" s="103"/>
      <c r="M528" s="103"/>
      <c r="N528" s="103"/>
      <c r="O528" s="103"/>
      <c r="P528" s="100"/>
      <c r="U528" s="100"/>
      <c r="Z528" s="100"/>
      <c r="AE528" s="100"/>
      <c r="AJ528" s="100"/>
      <c r="AL528" s="78"/>
      <c r="AM528" s="78"/>
      <c r="AN528" s="100"/>
      <c r="AQ528" s="78"/>
      <c r="AR528" s="100"/>
      <c r="AT528" s="78"/>
      <c r="AU528" s="100"/>
      <c r="AX528" s="78"/>
      <c r="AY528" s="100"/>
      <c r="BC528" s="100"/>
      <c r="BF528" s="78"/>
      <c r="BG528" s="100"/>
      <c r="BJ528" s="78"/>
      <c r="BK528" s="100"/>
      <c r="BN528" s="100"/>
      <c r="BP528" s="104"/>
      <c r="BQ528" s="104"/>
    </row>
    <row r="529" spans="1:69" ht="12.75">
      <c r="A529" s="101"/>
      <c r="B529" s="1"/>
      <c r="F529" s="102"/>
      <c r="G529" s="1"/>
      <c r="K529" s="100"/>
      <c r="L529" s="103"/>
      <c r="M529" s="103"/>
      <c r="N529" s="103"/>
      <c r="O529" s="103"/>
      <c r="P529" s="100"/>
      <c r="U529" s="100"/>
      <c r="Z529" s="100"/>
      <c r="AE529" s="100"/>
      <c r="AJ529" s="100"/>
      <c r="AL529" s="78"/>
      <c r="AM529" s="78"/>
      <c r="AN529" s="100"/>
      <c r="AQ529" s="78"/>
      <c r="AR529" s="100"/>
      <c r="AT529" s="78"/>
      <c r="AU529" s="100"/>
      <c r="AX529" s="78"/>
      <c r="AY529" s="100"/>
      <c r="BC529" s="100"/>
      <c r="BF529" s="78"/>
      <c r="BG529" s="100"/>
      <c r="BJ529" s="78"/>
      <c r="BK529" s="100"/>
      <c r="BN529" s="100"/>
      <c r="BP529" s="104"/>
      <c r="BQ529" s="104"/>
    </row>
    <row r="530" spans="1:69" ht="12.75">
      <c r="A530" s="101"/>
      <c r="B530" s="1"/>
      <c r="F530" s="102"/>
      <c r="G530" s="1"/>
      <c r="K530" s="100"/>
      <c r="L530" s="103"/>
      <c r="M530" s="103"/>
      <c r="N530" s="103"/>
      <c r="O530" s="103"/>
      <c r="P530" s="100"/>
      <c r="U530" s="100"/>
      <c r="Z530" s="100"/>
      <c r="AE530" s="100"/>
      <c r="AJ530" s="100"/>
      <c r="AL530" s="78"/>
      <c r="AM530" s="78"/>
      <c r="AN530" s="100"/>
      <c r="AQ530" s="78"/>
      <c r="AR530" s="100"/>
      <c r="AT530" s="78"/>
      <c r="AU530" s="100"/>
      <c r="AX530" s="78"/>
      <c r="AY530" s="100"/>
      <c r="BC530" s="100"/>
      <c r="BF530" s="78"/>
      <c r="BG530" s="100"/>
      <c r="BJ530" s="78"/>
      <c r="BK530" s="100"/>
      <c r="BN530" s="100"/>
      <c r="BP530" s="104"/>
      <c r="BQ530" s="104"/>
    </row>
    <row r="531" spans="1:69" ht="12.75">
      <c r="A531" s="101"/>
      <c r="B531" s="1"/>
      <c r="F531" s="102"/>
      <c r="G531" s="1"/>
      <c r="K531" s="100"/>
      <c r="L531" s="103"/>
      <c r="M531" s="103"/>
      <c r="N531" s="103"/>
      <c r="O531" s="103"/>
      <c r="P531" s="100"/>
      <c r="U531" s="100"/>
      <c r="Z531" s="100"/>
      <c r="AE531" s="100"/>
      <c r="AJ531" s="100"/>
      <c r="AL531" s="78"/>
      <c r="AM531" s="78"/>
      <c r="AN531" s="100"/>
      <c r="AQ531" s="78"/>
      <c r="AR531" s="100"/>
      <c r="AT531" s="78"/>
      <c r="AU531" s="100"/>
      <c r="AX531" s="78"/>
      <c r="AY531" s="100"/>
      <c r="BC531" s="100"/>
      <c r="BF531" s="78"/>
      <c r="BG531" s="100"/>
      <c r="BJ531" s="78"/>
      <c r="BK531" s="100"/>
      <c r="BN531" s="100"/>
      <c r="BP531" s="104"/>
      <c r="BQ531" s="104"/>
    </row>
    <row r="532" spans="1:69" ht="12.75">
      <c r="A532" s="101"/>
      <c r="B532" s="1"/>
      <c r="F532" s="102"/>
      <c r="G532" s="1"/>
      <c r="K532" s="100"/>
      <c r="L532" s="103"/>
      <c r="M532" s="103"/>
      <c r="N532" s="103"/>
      <c r="O532" s="103"/>
      <c r="P532" s="100"/>
      <c r="U532" s="100"/>
      <c r="Z532" s="100"/>
      <c r="AE532" s="100"/>
      <c r="AJ532" s="100"/>
      <c r="AL532" s="78"/>
      <c r="AM532" s="78"/>
      <c r="AN532" s="100"/>
      <c r="AQ532" s="78"/>
      <c r="AR532" s="100"/>
      <c r="AT532" s="78"/>
      <c r="AU532" s="100"/>
      <c r="AX532" s="78"/>
      <c r="AY532" s="100"/>
      <c r="BC532" s="100"/>
      <c r="BF532" s="78"/>
      <c r="BG532" s="100"/>
      <c r="BJ532" s="78"/>
      <c r="BK532" s="100"/>
      <c r="BN532" s="100"/>
      <c r="BP532" s="104"/>
      <c r="BQ532" s="104"/>
    </row>
    <row r="533" spans="1:69" ht="12.75">
      <c r="A533" s="101"/>
      <c r="B533" s="1"/>
      <c r="F533" s="102"/>
      <c r="G533" s="1"/>
      <c r="K533" s="100"/>
      <c r="L533" s="103"/>
      <c r="M533" s="103"/>
      <c r="N533" s="103"/>
      <c r="O533" s="103"/>
      <c r="P533" s="100"/>
      <c r="U533" s="100"/>
      <c r="Z533" s="100"/>
      <c r="AE533" s="100"/>
      <c r="AJ533" s="100"/>
      <c r="AL533" s="78"/>
      <c r="AM533" s="78"/>
      <c r="AN533" s="100"/>
      <c r="AQ533" s="78"/>
      <c r="AR533" s="100"/>
      <c r="AT533" s="78"/>
      <c r="AU533" s="100"/>
      <c r="AX533" s="78"/>
      <c r="AY533" s="100"/>
      <c r="BC533" s="100"/>
      <c r="BF533" s="78"/>
      <c r="BG533" s="100"/>
      <c r="BJ533" s="78"/>
      <c r="BK533" s="100"/>
      <c r="BN533" s="100"/>
      <c r="BP533" s="104"/>
      <c r="BQ533" s="104"/>
    </row>
    <row r="534" spans="1:69" ht="12.75">
      <c r="A534" s="101"/>
      <c r="B534" s="1"/>
      <c r="F534" s="102"/>
      <c r="G534" s="1"/>
      <c r="K534" s="100"/>
      <c r="L534" s="103"/>
      <c r="M534" s="103"/>
      <c r="N534" s="103"/>
      <c r="O534" s="103"/>
      <c r="P534" s="100"/>
      <c r="U534" s="100"/>
      <c r="Z534" s="100"/>
      <c r="AE534" s="100"/>
      <c r="AJ534" s="100"/>
      <c r="AL534" s="78"/>
      <c r="AM534" s="78"/>
      <c r="AN534" s="100"/>
      <c r="AQ534" s="78"/>
      <c r="AR534" s="100"/>
      <c r="AT534" s="78"/>
      <c r="AU534" s="100"/>
      <c r="AX534" s="78"/>
      <c r="AY534" s="100"/>
      <c r="BC534" s="100"/>
      <c r="BF534" s="78"/>
      <c r="BG534" s="100"/>
      <c r="BJ534" s="78"/>
      <c r="BK534" s="100"/>
      <c r="BN534" s="100"/>
      <c r="BP534" s="104"/>
      <c r="BQ534" s="104"/>
    </row>
    <row r="535" spans="1:69" ht="12.75">
      <c r="A535" s="101"/>
      <c r="B535" s="1"/>
      <c r="F535" s="102"/>
      <c r="G535" s="1"/>
      <c r="K535" s="100"/>
      <c r="L535" s="103"/>
      <c r="M535" s="103"/>
      <c r="N535" s="103"/>
      <c r="O535" s="103"/>
      <c r="P535" s="100"/>
      <c r="U535" s="100"/>
      <c r="Z535" s="100"/>
      <c r="AE535" s="100"/>
      <c r="AJ535" s="100"/>
      <c r="AL535" s="78"/>
      <c r="AM535" s="78"/>
      <c r="AN535" s="100"/>
      <c r="AQ535" s="78"/>
      <c r="AR535" s="100"/>
      <c r="AT535" s="78"/>
      <c r="AU535" s="100"/>
      <c r="AX535" s="78"/>
      <c r="AY535" s="100"/>
      <c r="BC535" s="100"/>
      <c r="BF535" s="78"/>
      <c r="BG535" s="100"/>
      <c r="BJ535" s="78"/>
      <c r="BK535" s="100"/>
      <c r="BN535" s="100"/>
      <c r="BP535" s="104"/>
      <c r="BQ535" s="104"/>
    </row>
    <row r="536" spans="1:69" ht="12.75">
      <c r="A536" s="101"/>
      <c r="B536" s="1"/>
      <c r="F536" s="102"/>
      <c r="G536" s="1"/>
      <c r="K536" s="100"/>
      <c r="L536" s="103"/>
      <c r="M536" s="103"/>
      <c r="N536" s="103"/>
      <c r="O536" s="103"/>
      <c r="P536" s="100"/>
      <c r="U536" s="100"/>
      <c r="Z536" s="100"/>
      <c r="AE536" s="100"/>
      <c r="AJ536" s="100"/>
      <c r="AL536" s="78"/>
      <c r="AM536" s="78"/>
      <c r="AN536" s="100"/>
      <c r="AQ536" s="78"/>
      <c r="AR536" s="100"/>
      <c r="AT536" s="78"/>
      <c r="AU536" s="100"/>
      <c r="AX536" s="78"/>
      <c r="AY536" s="100"/>
      <c r="BC536" s="100"/>
      <c r="BF536" s="78"/>
      <c r="BG536" s="100"/>
      <c r="BJ536" s="78"/>
      <c r="BK536" s="100"/>
      <c r="BN536" s="100"/>
      <c r="BP536" s="104"/>
      <c r="BQ536" s="104"/>
    </row>
    <row r="537" spans="1:69" ht="12.75">
      <c r="A537" s="101"/>
      <c r="B537" s="1"/>
      <c r="F537" s="102"/>
      <c r="G537" s="1"/>
      <c r="K537" s="100"/>
      <c r="L537" s="103"/>
      <c r="M537" s="103"/>
      <c r="N537" s="103"/>
      <c r="O537" s="103"/>
      <c r="P537" s="100"/>
      <c r="U537" s="100"/>
      <c r="Z537" s="100"/>
      <c r="AE537" s="100"/>
      <c r="AJ537" s="100"/>
      <c r="AL537" s="78"/>
      <c r="AM537" s="78"/>
      <c r="AN537" s="100"/>
      <c r="AQ537" s="78"/>
      <c r="AR537" s="100"/>
      <c r="AT537" s="78"/>
      <c r="AU537" s="100"/>
      <c r="AX537" s="78"/>
      <c r="AY537" s="100"/>
      <c r="BC537" s="100"/>
      <c r="BF537" s="78"/>
      <c r="BG537" s="100"/>
      <c r="BJ537" s="78"/>
      <c r="BK537" s="100"/>
      <c r="BN537" s="100"/>
      <c r="BP537" s="104"/>
      <c r="BQ537" s="104"/>
    </row>
    <row r="538" spans="1:69" ht="12.75">
      <c r="A538" s="101"/>
      <c r="B538" s="1"/>
      <c r="F538" s="102"/>
      <c r="G538" s="1"/>
      <c r="K538" s="100"/>
      <c r="L538" s="103"/>
      <c r="M538" s="103"/>
      <c r="N538" s="103"/>
      <c r="O538" s="103"/>
      <c r="P538" s="100"/>
      <c r="U538" s="100"/>
      <c r="Z538" s="100"/>
      <c r="AE538" s="100"/>
      <c r="AJ538" s="100"/>
      <c r="AL538" s="78"/>
      <c r="AM538" s="78"/>
      <c r="AN538" s="100"/>
      <c r="AQ538" s="78"/>
      <c r="AR538" s="100"/>
      <c r="AT538" s="78"/>
      <c r="AU538" s="100"/>
      <c r="AX538" s="78"/>
      <c r="AY538" s="100"/>
      <c r="BC538" s="100"/>
      <c r="BF538" s="78"/>
      <c r="BG538" s="100"/>
      <c r="BJ538" s="78"/>
      <c r="BK538" s="100"/>
      <c r="BN538" s="100"/>
      <c r="BP538" s="104"/>
      <c r="BQ538" s="104"/>
    </row>
    <row r="539" spans="1:69" ht="12.75">
      <c r="A539" s="101"/>
      <c r="B539" s="1"/>
      <c r="F539" s="102"/>
      <c r="G539" s="1"/>
      <c r="K539" s="100"/>
      <c r="L539" s="103"/>
      <c r="M539" s="103"/>
      <c r="N539" s="103"/>
      <c r="O539" s="103"/>
      <c r="P539" s="100"/>
      <c r="U539" s="100"/>
      <c r="Z539" s="100"/>
      <c r="AE539" s="100"/>
      <c r="AJ539" s="100"/>
      <c r="AL539" s="78"/>
      <c r="AM539" s="78"/>
      <c r="AN539" s="100"/>
      <c r="AQ539" s="78"/>
      <c r="AR539" s="100"/>
      <c r="AT539" s="78"/>
      <c r="AU539" s="100"/>
      <c r="AX539" s="78"/>
      <c r="AY539" s="100"/>
      <c r="BC539" s="100"/>
      <c r="BF539" s="78"/>
      <c r="BG539" s="100"/>
      <c r="BJ539" s="78"/>
      <c r="BK539" s="100"/>
      <c r="BN539" s="100"/>
      <c r="BP539" s="104"/>
      <c r="BQ539" s="104"/>
    </row>
    <row r="540" spans="1:69" ht="12.75">
      <c r="A540" s="101"/>
      <c r="B540" s="1"/>
      <c r="F540" s="102"/>
      <c r="G540" s="1"/>
      <c r="K540" s="100"/>
      <c r="L540" s="103"/>
      <c r="M540" s="103"/>
      <c r="N540" s="103"/>
      <c r="O540" s="103"/>
      <c r="P540" s="100"/>
      <c r="U540" s="100"/>
      <c r="Z540" s="100"/>
      <c r="AE540" s="100"/>
      <c r="AJ540" s="100"/>
      <c r="AL540" s="78"/>
      <c r="AM540" s="78"/>
      <c r="AN540" s="100"/>
      <c r="AQ540" s="78"/>
      <c r="AR540" s="100"/>
      <c r="AT540" s="78"/>
      <c r="AU540" s="100"/>
      <c r="AX540" s="78"/>
      <c r="AY540" s="100"/>
      <c r="BC540" s="100"/>
      <c r="BF540" s="78"/>
      <c r="BG540" s="100"/>
      <c r="BJ540" s="78"/>
      <c r="BK540" s="100"/>
      <c r="BN540" s="100"/>
      <c r="BP540" s="104"/>
      <c r="BQ540" s="104"/>
    </row>
    <row r="541" spans="1:69" ht="12.75">
      <c r="A541" s="101"/>
      <c r="B541" s="1"/>
      <c r="F541" s="102"/>
      <c r="G541" s="1"/>
      <c r="K541" s="100"/>
      <c r="L541" s="103"/>
      <c r="M541" s="103"/>
      <c r="N541" s="103"/>
      <c r="O541" s="103"/>
      <c r="P541" s="100"/>
      <c r="U541" s="100"/>
      <c r="Z541" s="100"/>
      <c r="AE541" s="100"/>
      <c r="AJ541" s="100"/>
      <c r="AL541" s="78"/>
      <c r="AM541" s="78"/>
      <c r="AN541" s="100"/>
      <c r="AQ541" s="78"/>
      <c r="AR541" s="100"/>
      <c r="AT541" s="78"/>
      <c r="AU541" s="100"/>
      <c r="AX541" s="78"/>
      <c r="AY541" s="100"/>
      <c r="BC541" s="100"/>
      <c r="BF541" s="78"/>
      <c r="BG541" s="100"/>
      <c r="BJ541" s="78"/>
      <c r="BK541" s="100"/>
      <c r="BN541" s="100"/>
      <c r="BP541" s="104"/>
      <c r="BQ541" s="104"/>
    </row>
    <row r="542" spans="1:69" ht="12.75">
      <c r="A542" s="101"/>
      <c r="B542" s="1"/>
      <c r="F542" s="102"/>
      <c r="G542" s="1"/>
      <c r="K542" s="100"/>
      <c r="L542" s="103"/>
      <c r="M542" s="103"/>
      <c r="N542" s="103"/>
      <c r="O542" s="103"/>
      <c r="P542" s="100"/>
      <c r="U542" s="100"/>
      <c r="Z542" s="100"/>
      <c r="AE542" s="100"/>
      <c r="AJ542" s="100"/>
      <c r="AL542" s="78"/>
      <c r="AM542" s="78"/>
      <c r="AN542" s="100"/>
      <c r="AQ542" s="78"/>
      <c r="AR542" s="100"/>
      <c r="AT542" s="78"/>
      <c r="AU542" s="100"/>
      <c r="AX542" s="78"/>
      <c r="AY542" s="100"/>
      <c r="BC542" s="100"/>
      <c r="BF542" s="78"/>
      <c r="BG542" s="100"/>
      <c r="BJ542" s="78"/>
      <c r="BK542" s="100"/>
      <c r="BN542" s="100"/>
      <c r="BP542" s="104"/>
      <c r="BQ542" s="104"/>
    </row>
    <row r="543" spans="1:69" ht="12.75">
      <c r="A543" s="101"/>
      <c r="B543" s="1"/>
      <c r="F543" s="102"/>
      <c r="G543" s="1"/>
      <c r="K543" s="100"/>
      <c r="L543" s="103"/>
      <c r="M543" s="103"/>
      <c r="N543" s="103"/>
      <c r="O543" s="103"/>
      <c r="P543" s="100"/>
      <c r="U543" s="100"/>
      <c r="Z543" s="100"/>
      <c r="AE543" s="100"/>
      <c r="AJ543" s="100"/>
      <c r="AL543" s="78"/>
      <c r="AM543" s="78"/>
      <c r="AN543" s="100"/>
      <c r="AQ543" s="78"/>
      <c r="AR543" s="100"/>
      <c r="AT543" s="78"/>
      <c r="AU543" s="100"/>
      <c r="AX543" s="78"/>
      <c r="AY543" s="100"/>
      <c r="BC543" s="100"/>
      <c r="BF543" s="78"/>
      <c r="BG543" s="100"/>
      <c r="BJ543" s="78"/>
      <c r="BK543" s="100"/>
      <c r="BN543" s="100"/>
      <c r="BP543" s="104"/>
      <c r="BQ543" s="104"/>
    </row>
    <row r="544" spans="1:69" ht="12.75">
      <c r="A544" s="101"/>
      <c r="B544" s="1"/>
      <c r="F544" s="102"/>
      <c r="G544" s="1"/>
      <c r="K544" s="100"/>
      <c r="L544" s="103"/>
      <c r="M544" s="103"/>
      <c r="N544" s="103"/>
      <c r="O544" s="103"/>
      <c r="P544" s="100"/>
      <c r="U544" s="100"/>
      <c r="Z544" s="100"/>
      <c r="AE544" s="100"/>
      <c r="AJ544" s="100"/>
      <c r="AL544" s="78"/>
      <c r="AM544" s="78"/>
      <c r="AN544" s="100"/>
      <c r="AQ544" s="78"/>
      <c r="AR544" s="100"/>
      <c r="AT544" s="78"/>
      <c r="AU544" s="100"/>
      <c r="AX544" s="78"/>
      <c r="AY544" s="100"/>
      <c r="BC544" s="100"/>
      <c r="BF544" s="78"/>
      <c r="BG544" s="100"/>
      <c r="BJ544" s="78"/>
      <c r="BK544" s="100"/>
      <c r="BN544" s="100"/>
      <c r="BP544" s="104"/>
      <c r="BQ544" s="104"/>
    </row>
    <row r="545" spans="1:69" ht="12.75">
      <c r="A545" s="101"/>
      <c r="B545" s="1"/>
      <c r="F545" s="102"/>
      <c r="G545" s="1"/>
      <c r="K545" s="100"/>
      <c r="L545" s="103"/>
      <c r="M545" s="103"/>
      <c r="N545" s="103"/>
      <c r="O545" s="103"/>
      <c r="P545" s="100"/>
      <c r="U545" s="100"/>
      <c r="Z545" s="100"/>
      <c r="AE545" s="100"/>
      <c r="AJ545" s="100"/>
      <c r="AL545" s="78"/>
      <c r="AM545" s="78"/>
      <c r="AN545" s="100"/>
      <c r="AQ545" s="78"/>
      <c r="AR545" s="100"/>
      <c r="AT545" s="78"/>
      <c r="AU545" s="100"/>
      <c r="AX545" s="78"/>
      <c r="AY545" s="100"/>
      <c r="BC545" s="100"/>
      <c r="BF545" s="78"/>
      <c r="BG545" s="100"/>
      <c r="BJ545" s="78"/>
      <c r="BK545" s="100"/>
      <c r="BN545" s="100"/>
      <c r="BP545" s="104"/>
      <c r="BQ545" s="104"/>
    </row>
    <row r="546" spans="1:69" ht="12.75">
      <c r="A546" s="101"/>
      <c r="B546" s="1"/>
      <c r="F546" s="102"/>
      <c r="G546" s="1"/>
      <c r="K546" s="100"/>
      <c r="L546" s="103"/>
      <c r="M546" s="103"/>
      <c r="N546" s="103"/>
      <c r="O546" s="103"/>
      <c r="P546" s="100"/>
      <c r="U546" s="100"/>
      <c r="Z546" s="100"/>
      <c r="AE546" s="100"/>
      <c r="AJ546" s="100"/>
      <c r="AL546" s="78"/>
      <c r="AM546" s="78"/>
      <c r="AN546" s="100"/>
      <c r="AQ546" s="78"/>
      <c r="AR546" s="100"/>
      <c r="AT546" s="78"/>
      <c r="AU546" s="100"/>
      <c r="AX546" s="78"/>
      <c r="AY546" s="100"/>
      <c r="BC546" s="100"/>
      <c r="BF546" s="78"/>
      <c r="BG546" s="100"/>
      <c r="BJ546" s="78"/>
      <c r="BK546" s="100"/>
      <c r="BN546" s="100"/>
      <c r="BP546" s="104"/>
      <c r="BQ546" s="104"/>
    </row>
    <row r="547" spans="1:69" ht="12.75">
      <c r="A547" s="101"/>
      <c r="B547" s="1"/>
      <c r="F547" s="102"/>
      <c r="G547" s="1"/>
      <c r="K547" s="100"/>
      <c r="L547" s="103"/>
      <c r="M547" s="103"/>
      <c r="N547" s="103"/>
      <c r="O547" s="103"/>
      <c r="P547" s="100"/>
      <c r="U547" s="100"/>
      <c r="Z547" s="100"/>
      <c r="AE547" s="100"/>
      <c r="AJ547" s="100"/>
      <c r="AL547" s="78"/>
      <c r="AM547" s="78"/>
      <c r="AN547" s="100"/>
      <c r="AQ547" s="78"/>
      <c r="AR547" s="100"/>
      <c r="AT547" s="78"/>
      <c r="AU547" s="100"/>
      <c r="AX547" s="78"/>
      <c r="AY547" s="100"/>
      <c r="BC547" s="100"/>
      <c r="BF547" s="78"/>
      <c r="BG547" s="100"/>
      <c r="BJ547" s="78"/>
      <c r="BK547" s="100"/>
      <c r="BN547" s="100"/>
      <c r="BP547" s="104"/>
      <c r="BQ547" s="104"/>
    </row>
    <row r="548" spans="1:69" ht="12.75">
      <c r="A548" s="101"/>
      <c r="B548" s="1"/>
      <c r="F548" s="102"/>
      <c r="G548" s="1"/>
      <c r="K548" s="100"/>
      <c r="L548" s="103"/>
      <c r="M548" s="103"/>
      <c r="N548" s="103"/>
      <c r="O548" s="103"/>
      <c r="P548" s="100"/>
      <c r="U548" s="100"/>
      <c r="Z548" s="100"/>
      <c r="AE548" s="100"/>
      <c r="AJ548" s="100"/>
      <c r="AL548" s="78"/>
      <c r="AM548" s="78"/>
      <c r="AN548" s="100"/>
      <c r="AQ548" s="78"/>
      <c r="AR548" s="100"/>
      <c r="AT548" s="78"/>
      <c r="AU548" s="100"/>
      <c r="AX548" s="78"/>
      <c r="AY548" s="100"/>
      <c r="BC548" s="100"/>
      <c r="BF548" s="78"/>
      <c r="BG548" s="100"/>
      <c r="BJ548" s="78"/>
      <c r="BK548" s="100"/>
      <c r="BN548" s="100"/>
      <c r="BP548" s="104"/>
      <c r="BQ548" s="104"/>
    </row>
    <row r="549" spans="1:69" ht="12.75">
      <c r="A549" s="101"/>
      <c r="B549" s="1"/>
      <c r="F549" s="102"/>
      <c r="G549" s="1"/>
      <c r="K549" s="100"/>
      <c r="L549" s="103"/>
      <c r="M549" s="103"/>
      <c r="N549" s="103"/>
      <c r="O549" s="103"/>
      <c r="P549" s="100"/>
      <c r="U549" s="100"/>
      <c r="Z549" s="100"/>
      <c r="AE549" s="100"/>
      <c r="AJ549" s="100"/>
      <c r="AL549" s="78"/>
      <c r="AM549" s="78"/>
      <c r="AN549" s="100"/>
      <c r="AQ549" s="78"/>
      <c r="AR549" s="100"/>
      <c r="AT549" s="78"/>
      <c r="AU549" s="100"/>
      <c r="AX549" s="78"/>
      <c r="AY549" s="100"/>
      <c r="BC549" s="100"/>
      <c r="BF549" s="78"/>
      <c r="BG549" s="100"/>
      <c r="BJ549" s="78"/>
      <c r="BK549" s="100"/>
      <c r="BN549" s="100"/>
      <c r="BP549" s="104"/>
      <c r="BQ549" s="104"/>
    </row>
    <row r="550" spans="1:69" ht="12.75">
      <c r="A550" s="101"/>
      <c r="B550" s="1"/>
      <c r="F550" s="102"/>
      <c r="G550" s="1"/>
      <c r="K550" s="100"/>
      <c r="L550" s="103"/>
      <c r="M550" s="103"/>
      <c r="N550" s="103"/>
      <c r="O550" s="103"/>
      <c r="P550" s="100"/>
      <c r="U550" s="100"/>
      <c r="Z550" s="100"/>
      <c r="AE550" s="100"/>
      <c r="AJ550" s="100"/>
      <c r="AL550" s="78"/>
      <c r="AM550" s="78"/>
      <c r="AN550" s="100"/>
      <c r="AQ550" s="78"/>
      <c r="AR550" s="100"/>
      <c r="AT550" s="78"/>
      <c r="AU550" s="100"/>
      <c r="AX550" s="78"/>
      <c r="AY550" s="100"/>
      <c r="BC550" s="100"/>
      <c r="BF550" s="78"/>
      <c r="BG550" s="100"/>
      <c r="BJ550" s="78"/>
      <c r="BK550" s="100"/>
      <c r="BN550" s="100"/>
      <c r="BP550" s="104"/>
      <c r="BQ550" s="104"/>
    </row>
    <row r="551" spans="1:69" ht="12.75">
      <c r="A551" s="101"/>
      <c r="B551" s="1"/>
      <c r="F551" s="102"/>
      <c r="G551" s="1"/>
      <c r="K551" s="100"/>
      <c r="L551" s="103"/>
      <c r="M551" s="103"/>
      <c r="N551" s="103"/>
      <c r="O551" s="103"/>
      <c r="P551" s="100"/>
      <c r="U551" s="100"/>
      <c r="Z551" s="100"/>
      <c r="AE551" s="100"/>
      <c r="AJ551" s="100"/>
      <c r="AL551" s="78"/>
      <c r="AM551" s="78"/>
      <c r="AN551" s="100"/>
      <c r="AQ551" s="78"/>
      <c r="AR551" s="100"/>
      <c r="AT551" s="78"/>
      <c r="AU551" s="100"/>
      <c r="AX551" s="78"/>
      <c r="AY551" s="100"/>
      <c r="BC551" s="100"/>
      <c r="BF551" s="78"/>
      <c r="BG551" s="100"/>
      <c r="BJ551" s="78"/>
      <c r="BK551" s="100"/>
      <c r="BN551" s="100"/>
      <c r="BP551" s="104"/>
      <c r="BQ551" s="104"/>
    </row>
    <row r="552" spans="1:69" ht="12.75">
      <c r="A552" s="101"/>
      <c r="B552" s="1"/>
      <c r="F552" s="102"/>
      <c r="G552" s="1"/>
      <c r="K552" s="100"/>
      <c r="L552" s="103"/>
      <c r="M552" s="103"/>
      <c r="N552" s="103"/>
      <c r="O552" s="103"/>
      <c r="P552" s="100"/>
      <c r="U552" s="100"/>
      <c r="Z552" s="100"/>
      <c r="AE552" s="100"/>
      <c r="AJ552" s="100"/>
      <c r="AL552" s="78"/>
      <c r="AM552" s="78"/>
      <c r="AN552" s="100"/>
      <c r="AQ552" s="78"/>
      <c r="AR552" s="100"/>
      <c r="AT552" s="78"/>
      <c r="AU552" s="100"/>
      <c r="AX552" s="78"/>
      <c r="AY552" s="100"/>
      <c r="BC552" s="100"/>
      <c r="BF552" s="78"/>
      <c r="BG552" s="100"/>
      <c r="BJ552" s="78"/>
      <c r="BK552" s="100"/>
      <c r="BN552" s="100"/>
      <c r="BP552" s="104"/>
      <c r="BQ552" s="104"/>
    </row>
    <row r="553" spans="1:69" ht="12.75">
      <c r="A553" s="101"/>
      <c r="B553" s="1"/>
      <c r="F553" s="102"/>
      <c r="G553" s="1"/>
      <c r="K553" s="100"/>
      <c r="L553" s="103"/>
      <c r="M553" s="103"/>
      <c r="N553" s="103"/>
      <c r="O553" s="103"/>
      <c r="P553" s="100"/>
      <c r="U553" s="100"/>
      <c r="Z553" s="100"/>
      <c r="AE553" s="100"/>
      <c r="AJ553" s="100"/>
      <c r="AL553" s="78"/>
      <c r="AM553" s="78"/>
      <c r="AN553" s="100"/>
      <c r="AQ553" s="78"/>
      <c r="AR553" s="100"/>
      <c r="AT553" s="78"/>
      <c r="AU553" s="100"/>
      <c r="AX553" s="78"/>
      <c r="AY553" s="100"/>
      <c r="BC553" s="100"/>
      <c r="BF553" s="78"/>
      <c r="BG553" s="100"/>
      <c r="BJ553" s="78"/>
      <c r="BK553" s="100"/>
      <c r="BN553" s="100"/>
      <c r="BP553" s="104"/>
      <c r="BQ553" s="104"/>
    </row>
    <row r="554" spans="1:69" ht="12.75">
      <c r="A554" s="101"/>
      <c r="B554" s="1"/>
      <c r="F554" s="102"/>
      <c r="G554" s="1"/>
      <c r="K554" s="100"/>
      <c r="L554" s="103"/>
      <c r="M554" s="103"/>
      <c r="N554" s="103"/>
      <c r="O554" s="103"/>
      <c r="P554" s="100"/>
      <c r="U554" s="100"/>
      <c r="Z554" s="100"/>
      <c r="AE554" s="100"/>
      <c r="AJ554" s="100"/>
      <c r="AL554" s="78"/>
      <c r="AM554" s="78"/>
      <c r="AN554" s="100"/>
      <c r="AQ554" s="78"/>
      <c r="AR554" s="100"/>
      <c r="AT554" s="78"/>
      <c r="AU554" s="100"/>
      <c r="AX554" s="78"/>
      <c r="AY554" s="100"/>
      <c r="BC554" s="100"/>
      <c r="BF554" s="78"/>
      <c r="BG554" s="100"/>
      <c r="BJ554" s="78"/>
      <c r="BK554" s="100"/>
      <c r="BN554" s="100"/>
      <c r="BP554" s="104"/>
      <c r="BQ554" s="104"/>
    </row>
    <row r="555" spans="1:69" ht="12.75">
      <c r="A555" s="101"/>
      <c r="B555" s="1"/>
      <c r="F555" s="102"/>
      <c r="G555" s="1"/>
      <c r="K555" s="100"/>
      <c r="L555" s="103"/>
      <c r="M555" s="103"/>
      <c r="N555" s="103"/>
      <c r="O555" s="103"/>
      <c r="P555" s="100"/>
      <c r="U555" s="100"/>
      <c r="Z555" s="100"/>
      <c r="AE555" s="100"/>
      <c r="AJ555" s="100"/>
      <c r="AL555" s="78"/>
      <c r="AM555" s="78"/>
      <c r="AN555" s="100"/>
      <c r="AQ555" s="78"/>
      <c r="AR555" s="100"/>
      <c r="AT555" s="78"/>
      <c r="AU555" s="100"/>
      <c r="AX555" s="78"/>
      <c r="AY555" s="100"/>
      <c r="BC555" s="100"/>
      <c r="BF555" s="78"/>
      <c r="BG555" s="100"/>
      <c r="BJ555" s="78"/>
      <c r="BK555" s="100"/>
      <c r="BN555" s="100"/>
      <c r="BP555" s="104"/>
      <c r="BQ555" s="104"/>
    </row>
    <row r="556" spans="1:69" ht="12.75">
      <c r="A556" s="101"/>
      <c r="B556" s="1"/>
      <c r="F556" s="102"/>
      <c r="G556" s="1"/>
      <c r="K556" s="100"/>
      <c r="L556" s="103"/>
      <c r="M556" s="103"/>
      <c r="N556" s="103"/>
      <c r="O556" s="103"/>
      <c r="P556" s="100"/>
      <c r="U556" s="100"/>
      <c r="Z556" s="100"/>
      <c r="AE556" s="100"/>
      <c r="AJ556" s="100"/>
      <c r="AL556" s="78"/>
      <c r="AM556" s="78"/>
      <c r="AN556" s="100"/>
      <c r="AQ556" s="78"/>
      <c r="AR556" s="100"/>
      <c r="AT556" s="78"/>
      <c r="AU556" s="100"/>
      <c r="AX556" s="78"/>
      <c r="AY556" s="100"/>
      <c r="BC556" s="100"/>
      <c r="BF556" s="78"/>
      <c r="BG556" s="100"/>
      <c r="BJ556" s="78"/>
      <c r="BK556" s="100"/>
      <c r="BN556" s="100"/>
      <c r="BP556" s="104"/>
      <c r="BQ556" s="104"/>
    </row>
    <row r="557" spans="1:69" ht="12.75">
      <c r="A557" s="101"/>
      <c r="B557" s="1"/>
      <c r="F557" s="102"/>
      <c r="G557" s="1"/>
      <c r="K557" s="100"/>
      <c r="L557" s="103"/>
      <c r="M557" s="103"/>
      <c r="N557" s="103"/>
      <c r="O557" s="103"/>
      <c r="P557" s="100"/>
      <c r="U557" s="100"/>
      <c r="Z557" s="100"/>
      <c r="AE557" s="100"/>
      <c r="AJ557" s="100"/>
      <c r="AL557" s="78"/>
      <c r="AM557" s="78"/>
      <c r="AN557" s="100"/>
      <c r="AQ557" s="78"/>
      <c r="AR557" s="100"/>
      <c r="AT557" s="78"/>
      <c r="AU557" s="100"/>
      <c r="AX557" s="78"/>
      <c r="AY557" s="100"/>
      <c r="BC557" s="100"/>
      <c r="BF557" s="78"/>
      <c r="BG557" s="100"/>
      <c r="BJ557" s="78"/>
      <c r="BK557" s="100"/>
      <c r="BN557" s="100"/>
      <c r="BP557" s="104"/>
      <c r="BQ557" s="104"/>
    </row>
    <row r="558" spans="1:69" ht="12.75">
      <c r="A558" s="101"/>
      <c r="B558" s="1"/>
      <c r="F558" s="102"/>
      <c r="G558" s="1"/>
      <c r="K558" s="100"/>
      <c r="L558" s="103"/>
      <c r="M558" s="103"/>
      <c r="N558" s="103"/>
      <c r="O558" s="103"/>
      <c r="P558" s="100"/>
      <c r="U558" s="100"/>
      <c r="Z558" s="100"/>
      <c r="AE558" s="100"/>
      <c r="AJ558" s="100"/>
      <c r="AL558" s="78"/>
      <c r="AM558" s="78"/>
      <c r="AN558" s="100"/>
      <c r="AQ558" s="78"/>
      <c r="AR558" s="100"/>
      <c r="AT558" s="78"/>
      <c r="AU558" s="100"/>
      <c r="AX558" s="78"/>
      <c r="AY558" s="100"/>
      <c r="BC558" s="100"/>
      <c r="BF558" s="78"/>
      <c r="BG558" s="100"/>
      <c r="BJ558" s="78"/>
      <c r="BK558" s="100"/>
      <c r="BN558" s="100"/>
      <c r="BP558" s="104"/>
      <c r="BQ558" s="104"/>
    </row>
    <row r="559" spans="1:69" ht="12.75">
      <c r="A559" s="101"/>
      <c r="B559" s="1"/>
      <c r="F559" s="102"/>
      <c r="G559" s="1"/>
      <c r="K559" s="100"/>
      <c r="L559" s="103"/>
      <c r="M559" s="103"/>
      <c r="N559" s="103"/>
      <c r="O559" s="103"/>
      <c r="P559" s="100"/>
      <c r="U559" s="100"/>
      <c r="Z559" s="100"/>
      <c r="AE559" s="100"/>
      <c r="AJ559" s="100"/>
      <c r="AL559" s="78"/>
      <c r="AM559" s="78"/>
      <c r="AN559" s="100"/>
      <c r="AQ559" s="78"/>
      <c r="AR559" s="100"/>
      <c r="AT559" s="78"/>
      <c r="AU559" s="100"/>
      <c r="AX559" s="78"/>
      <c r="AY559" s="100"/>
      <c r="BC559" s="100"/>
      <c r="BF559" s="78"/>
      <c r="BG559" s="100"/>
      <c r="BJ559" s="78"/>
      <c r="BK559" s="100"/>
      <c r="BN559" s="100"/>
      <c r="BP559" s="104"/>
      <c r="BQ559" s="104"/>
    </row>
    <row r="560" spans="1:69" ht="12.75">
      <c r="A560" s="101"/>
      <c r="B560" s="1"/>
      <c r="F560" s="102"/>
      <c r="G560" s="1"/>
      <c r="K560" s="100"/>
      <c r="L560" s="103"/>
      <c r="M560" s="103"/>
      <c r="N560" s="103"/>
      <c r="O560" s="103"/>
      <c r="P560" s="100"/>
      <c r="U560" s="100"/>
      <c r="Z560" s="100"/>
      <c r="AE560" s="100"/>
      <c r="AJ560" s="100"/>
      <c r="AL560" s="78"/>
      <c r="AM560" s="78"/>
      <c r="AN560" s="100"/>
      <c r="AQ560" s="78"/>
      <c r="AR560" s="100"/>
      <c r="AT560" s="78"/>
      <c r="AU560" s="100"/>
      <c r="AX560" s="78"/>
      <c r="AY560" s="100"/>
      <c r="BC560" s="100"/>
      <c r="BF560" s="78"/>
      <c r="BG560" s="100"/>
      <c r="BJ560" s="78"/>
      <c r="BK560" s="100"/>
      <c r="BN560" s="100"/>
      <c r="BP560" s="104"/>
      <c r="BQ560" s="104"/>
    </row>
    <row r="561" spans="1:69" ht="12.75">
      <c r="A561" s="101"/>
      <c r="B561" s="1"/>
      <c r="F561" s="102"/>
      <c r="G561" s="1"/>
      <c r="K561" s="100"/>
      <c r="L561" s="103"/>
      <c r="M561" s="103"/>
      <c r="N561" s="103"/>
      <c r="O561" s="103"/>
      <c r="P561" s="100"/>
      <c r="U561" s="100"/>
      <c r="Z561" s="100"/>
      <c r="AE561" s="100"/>
      <c r="AJ561" s="100"/>
      <c r="AL561" s="78"/>
      <c r="AM561" s="78"/>
      <c r="AN561" s="100"/>
      <c r="AQ561" s="78"/>
      <c r="AR561" s="100"/>
      <c r="AT561" s="78"/>
      <c r="AU561" s="100"/>
      <c r="AX561" s="78"/>
      <c r="AY561" s="100"/>
      <c r="BC561" s="100"/>
      <c r="BF561" s="78"/>
      <c r="BG561" s="100"/>
      <c r="BJ561" s="78"/>
      <c r="BK561" s="100"/>
      <c r="BN561" s="100"/>
      <c r="BP561" s="104"/>
      <c r="BQ561" s="104"/>
    </row>
    <row r="562" spans="1:69" ht="12.75">
      <c r="A562" s="101"/>
      <c r="B562" s="1"/>
      <c r="F562" s="102"/>
      <c r="G562" s="1"/>
      <c r="K562" s="100"/>
      <c r="L562" s="103"/>
      <c r="M562" s="103"/>
      <c r="N562" s="103"/>
      <c r="O562" s="103"/>
      <c r="P562" s="100"/>
      <c r="U562" s="100"/>
      <c r="Z562" s="100"/>
      <c r="AE562" s="100"/>
      <c r="AJ562" s="100"/>
      <c r="AL562" s="78"/>
      <c r="AM562" s="78"/>
      <c r="AN562" s="100"/>
      <c r="AQ562" s="78"/>
      <c r="AR562" s="100"/>
      <c r="AT562" s="78"/>
      <c r="AU562" s="100"/>
      <c r="AX562" s="78"/>
      <c r="AY562" s="100"/>
      <c r="BC562" s="100"/>
      <c r="BF562" s="78"/>
      <c r="BG562" s="100"/>
      <c r="BJ562" s="78"/>
      <c r="BK562" s="100"/>
      <c r="BN562" s="100"/>
      <c r="BP562" s="104"/>
      <c r="BQ562" s="104"/>
    </row>
    <row r="563" spans="1:69" ht="12.75">
      <c r="A563" s="101"/>
      <c r="B563" s="1"/>
      <c r="F563" s="102"/>
      <c r="G563" s="1"/>
      <c r="K563" s="100"/>
      <c r="L563" s="103"/>
      <c r="M563" s="103"/>
      <c r="N563" s="103"/>
      <c r="O563" s="103"/>
      <c r="P563" s="100"/>
      <c r="U563" s="100"/>
      <c r="Z563" s="100"/>
      <c r="AE563" s="100"/>
      <c r="AJ563" s="100"/>
      <c r="AL563" s="78"/>
      <c r="AM563" s="78"/>
      <c r="AN563" s="100"/>
      <c r="AQ563" s="78"/>
      <c r="AR563" s="100"/>
      <c r="AT563" s="78"/>
      <c r="AU563" s="100"/>
      <c r="AX563" s="78"/>
      <c r="AY563" s="100"/>
      <c r="BC563" s="100"/>
      <c r="BF563" s="78"/>
      <c r="BG563" s="100"/>
      <c r="BJ563" s="78"/>
      <c r="BK563" s="100"/>
      <c r="BN563" s="100"/>
      <c r="BP563" s="104"/>
      <c r="BQ563" s="104"/>
    </row>
    <row r="564" spans="1:69" ht="12.75">
      <c r="A564" s="101"/>
      <c r="B564" s="1"/>
      <c r="F564" s="102"/>
      <c r="G564" s="1"/>
      <c r="K564" s="100"/>
      <c r="L564" s="103"/>
      <c r="M564" s="103"/>
      <c r="N564" s="103"/>
      <c r="O564" s="103"/>
      <c r="P564" s="100"/>
      <c r="U564" s="100"/>
      <c r="Z564" s="100"/>
      <c r="AE564" s="100"/>
      <c r="AJ564" s="100"/>
      <c r="AL564" s="78"/>
      <c r="AM564" s="78"/>
      <c r="AN564" s="100"/>
      <c r="AQ564" s="78"/>
      <c r="AR564" s="100"/>
      <c r="AT564" s="78"/>
      <c r="AU564" s="100"/>
      <c r="AX564" s="78"/>
      <c r="AY564" s="100"/>
      <c r="BC564" s="100"/>
      <c r="BF564" s="78"/>
      <c r="BG564" s="100"/>
      <c r="BJ564" s="78"/>
      <c r="BK564" s="100"/>
      <c r="BN564" s="100"/>
      <c r="BP564" s="104"/>
      <c r="BQ564" s="104"/>
    </row>
    <row r="565" spans="1:69" ht="12.75">
      <c r="A565" s="101"/>
      <c r="B565" s="1"/>
      <c r="F565" s="102"/>
      <c r="G565" s="1"/>
      <c r="K565" s="100"/>
      <c r="L565" s="103"/>
      <c r="M565" s="103"/>
      <c r="N565" s="103"/>
      <c r="O565" s="103"/>
      <c r="P565" s="100"/>
      <c r="U565" s="100"/>
      <c r="Z565" s="100"/>
      <c r="AE565" s="100"/>
      <c r="AJ565" s="100"/>
      <c r="AL565" s="78"/>
      <c r="AM565" s="78"/>
      <c r="AN565" s="100"/>
      <c r="AQ565" s="78"/>
      <c r="AR565" s="100"/>
      <c r="AT565" s="78"/>
      <c r="AU565" s="100"/>
      <c r="AX565" s="78"/>
      <c r="AY565" s="100"/>
      <c r="BC565" s="100"/>
      <c r="BF565" s="78"/>
      <c r="BG565" s="100"/>
      <c r="BJ565" s="78"/>
      <c r="BK565" s="100"/>
      <c r="BN565" s="100"/>
      <c r="BP565" s="104"/>
      <c r="BQ565" s="104"/>
    </row>
    <row r="566" spans="1:69" ht="12.75">
      <c r="A566" s="101"/>
      <c r="B566" s="1"/>
      <c r="F566" s="102"/>
      <c r="G566" s="1"/>
      <c r="K566" s="100"/>
      <c r="L566" s="103"/>
      <c r="M566" s="103"/>
      <c r="N566" s="103"/>
      <c r="O566" s="103"/>
      <c r="P566" s="100"/>
      <c r="U566" s="100"/>
      <c r="Z566" s="100"/>
      <c r="AE566" s="100"/>
      <c r="AJ566" s="100"/>
      <c r="AL566" s="78"/>
      <c r="AM566" s="78"/>
      <c r="AN566" s="100"/>
      <c r="AQ566" s="78"/>
      <c r="AR566" s="100"/>
      <c r="AT566" s="78"/>
      <c r="AU566" s="100"/>
      <c r="AX566" s="78"/>
      <c r="AY566" s="100"/>
      <c r="BC566" s="100"/>
      <c r="BF566" s="78"/>
      <c r="BG566" s="100"/>
      <c r="BJ566" s="78"/>
      <c r="BK566" s="100"/>
      <c r="BN566" s="100"/>
      <c r="BP566" s="104"/>
      <c r="BQ566" s="104"/>
    </row>
    <row r="567" spans="1:69" ht="12.75">
      <c r="A567" s="101"/>
      <c r="B567" s="1"/>
      <c r="F567" s="102"/>
      <c r="G567" s="1"/>
      <c r="K567" s="100"/>
      <c r="L567" s="103"/>
      <c r="M567" s="103"/>
      <c r="N567" s="103"/>
      <c r="O567" s="103"/>
      <c r="P567" s="100"/>
      <c r="U567" s="100"/>
      <c r="Z567" s="100"/>
      <c r="AE567" s="100"/>
      <c r="AJ567" s="100"/>
      <c r="AL567" s="78"/>
      <c r="AM567" s="78"/>
      <c r="AN567" s="100"/>
      <c r="AQ567" s="78"/>
      <c r="AR567" s="100"/>
      <c r="AT567" s="78"/>
      <c r="AU567" s="100"/>
      <c r="AX567" s="78"/>
      <c r="AY567" s="100"/>
      <c r="BC567" s="100"/>
      <c r="BF567" s="78"/>
      <c r="BG567" s="100"/>
      <c r="BJ567" s="78"/>
      <c r="BK567" s="100"/>
      <c r="BN567" s="100"/>
      <c r="BP567" s="104"/>
      <c r="BQ567" s="104"/>
    </row>
    <row r="568" spans="1:69" ht="12.75">
      <c r="A568" s="101"/>
      <c r="B568" s="1"/>
      <c r="F568" s="102"/>
      <c r="G568" s="1"/>
      <c r="K568" s="100"/>
      <c r="L568" s="103"/>
      <c r="M568" s="103"/>
      <c r="N568" s="103"/>
      <c r="O568" s="103"/>
      <c r="P568" s="100"/>
      <c r="U568" s="100"/>
      <c r="Z568" s="100"/>
      <c r="AE568" s="100"/>
      <c r="AJ568" s="100"/>
      <c r="AL568" s="78"/>
      <c r="AM568" s="78"/>
      <c r="AN568" s="100"/>
      <c r="AQ568" s="78"/>
      <c r="AR568" s="100"/>
      <c r="AT568" s="78"/>
      <c r="AU568" s="100"/>
      <c r="AX568" s="78"/>
      <c r="AY568" s="100"/>
      <c r="BC568" s="100"/>
      <c r="BF568" s="78"/>
      <c r="BG568" s="100"/>
      <c r="BJ568" s="78"/>
      <c r="BK568" s="100"/>
      <c r="BN568" s="100"/>
      <c r="BP568" s="104"/>
      <c r="BQ568" s="104"/>
    </row>
    <row r="569" spans="1:69" ht="12.75">
      <c r="A569" s="101"/>
      <c r="B569" s="1"/>
      <c r="F569" s="102"/>
      <c r="G569" s="1"/>
      <c r="K569" s="100"/>
      <c r="L569" s="103"/>
      <c r="M569" s="103"/>
      <c r="N569" s="103"/>
      <c r="O569" s="103"/>
      <c r="P569" s="100"/>
      <c r="U569" s="100"/>
      <c r="Z569" s="100"/>
      <c r="AE569" s="100"/>
      <c r="AJ569" s="100"/>
      <c r="AL569" s="78"/>
      <c r="AM569" s="78"/>
      <c r="AN569" s="100"/>
      <c r="AQ569" s="78"/>
      <c r="AR569" s="100"/>
      <c r="AT569" s="78"/>
      <c r="AU569" s="100"/>
      <c r="AX569" s="78"/>
      <c r="AY569" s="100"/>
      <c r="BC569" s="100"/>
      <c r="BF569" s="78"/>
      <c r="BG569" s="100"/>
      <c r="BJ569" s="78"/>
      <c r="BK569" s="100"/>
      <c r="BN569" s="100"/>
      <c r="BP569" s="104"/>
      <c r="BQ569" s="104"/>
    </row>
    <row r="570" spans="1:69" ht="12.75">
      <c r="A570" s="101"/>
      <c r="B570" s="1"/>
      <c r="F570" s="102"/>
      <c r="G570" s="1"/>
      <c r="K570" s="100"/>
      <c r="L570" s="103"/>
      <c r="M570" s="103"/>
      <c r="N570" s="103"/>
      <c r="O570" s="103"/>
      <c r="P570" s="100"/>
      <c r="U570" s="100"/>
      <c r="Z570" s="100"/>
      <c r="AE570" s="100"/>
      <c r="AJ570" s="100"/>
      <c r="AL570" s="78"/>
      <c r="AM570" s="78"/>
      <c r="AN570" s="100"/>
      <c r="AQ570" s="78"/>
      <c r="AR570" s="100"/>
      <c r="AT570" s="78"/>
      <c r="AU570" s="100"/>
      <c r="AX570" s="78"/>
      <c r="AY570" s="100"/>
      <c r="BC570" s="100"/>
      <c r="BF570" s="78"/>
      <c r="BG570" s="100"/>
      <c r="BJ570" s="78"/>
      <c r="BK570" s="100"/>
      <c r="BN570" s="100"/>
      <c r="BP570" s="104"/>
      <c r="BQ570" s="104"/>
    </row>
    <row r="571" spans="1:69" ht="12.75">
      <c r="A571" s="101"/>
      <c r="B571" s="1"/>
      <c r="F571" s="102"/>
      <c r="G571" s="1"/>
      <c r="K571" s="100"/>
      <c r="L571" s="103"/>
      <c r="M571" s="103"/>
      <c r="N571" s="103"/>
      <c r="O571" s="103"/>
      <c r="P571" s="100"/>
      <c r="U571" s="100"/>
      <c r="Z571" s="100"/>
      <c r="AE571" s="100"/>
      <c r="AJ571" s="100"/>
      <c r="AL571" s="78"/>
      <c r="AM571" s="78"/>
      <c r="AN571" s="100"/>
      <c r="AQ571" s="78"/>
      <c r="AR571" s="100"/>
      <c r="AT571" s="78"/>
      <c r="AU571" s="100"/>
      <c r="AX571" s="78"/>
      <c r="AY571" s="100"/>
      <c r="BC571" s="100"/>
      <c r="BF571" s="78"/>
      <c r="BG571" s="100"/>
      <c r="BJ571" s="78"/>
      <c r="BK571" s="100"/>
      <c r="BN571" s="100"/>
      <c r="BP571" s="104"/>
      <c r="BQ571" s="104"/>
    </row>
    <row r="572" spans="1:69" ht="12.75">
      <c r="A572" s="101"/>
      <c r="B572" s="1"/>
      <c r="F572" s="102"/>
      <c r="G572" s="1"/>
      <c r="K572" s="100"/>
      <c r="L572" s="103"/>
      <c r="M572" s="103"/>
      <c r="N572" s="103"/>
      <c r="O572" s="103"/>
      <c r="P572" s="100"/>
      <c r="U572" s="100"/>
      <c r="Z572" s="100"/>
      <c r="AE572" s="100"/>
      <c r="AJ572" s="100"/>
      <c r="AL572" s="78"/>
      <c r="AM572" s="78"/>
      <c r="AN572" s="100"/>
      <c r="AQ572" s="78"/>
      <c r="AR572" s="100"/>
      <c r="AT572" s="78"/>
      <c r="AU572" s="100"/>
      <c r="AX572" s="78"/>
      <c r="AY572" s="100"/>
      <c r="BC572" s="100"/>
      <c r="BF572" s="78"/>
      <c r="BG572" s="100"/>
      <c r="BJ572" s="78"/>
      <c r="BK572" s="100"/>
      <c r="BN572" s="100"/>
      <c r="BP572" s="104"/>
      <c r="BQ572" s="104"/>
    </row>
    <row r="573" spans="1:69" ht="12.75">
      <c r="A573" s="101"/>
      <c r="B573" s="1"/>
      <c r="F573" s="102"/>
      <c r="G573" s="1"/>
      <c r="K573" s="100"/>
      <c r="L573" s="103"/>
      <c r="M573" s="103"/>
      <c r="N573" s="103"/>
      <c r="O573" s="103"/>
      <c r="P573" s="100"/>
      <c r="U573" s="100"/>
      <c r="Z573" s="100"/>
      <c r="AE573" s="100"/>
      <c r="AJ573" s="100"/>
      <c r="AL573" s="78"/>
      <c r="AM573" s="78"/>
      <c r="AN573" s="100"/>
      <c r="AQ573" s="78"/>
      <c r="AR573" s="100"/>
      <c r="AT573" s="78"/>
      <c r="AU573" s="100"/>
      <c r="AX573" s="78"/>
      <c r="AY573" s="100"/>
      <c r="BC573" s="100"/>
      <c r="BF573" s="78"/>
      <c r="BG573" s="100"/>
      <c r="BJ573" s="78"/>
      <c r="BK573" s="100"/>
      <c r="BN573" s="100"/>
      <c r="BP573" s="104"/>
      <c r="BQ573" s="104"/>
    </row>
    <row r="574" spans="1:69" ht="12.75">
      <c r="A574" s="101"/>
      <c r="B574" s="1"/>
      <c r="F574" s="102"/>
      <c r="G574" s="1"/>
      <c r="K574" s="100"/>
      <c r="L574" s="103"/>
      <c r="M574" s="103"/>
      <c r="N574" s="103"/>
      <c r="O574" s="103"/>
      <c r="P574" s="100"/>
      <c r="U574" s="100"/>
      <c r="Z574" s="100"/>
      <c r="AE574" s="100"/>
      <c r="AJ574" s="100"/>
      <c r="AL574" s="78"/>
      <c r="AM574" s="78"/>
      <c r="AN574" s="100"/>
      <c r="AQ574" s="78"/>
      <c r="AR574" s="100"/>
      <c r="AT574" s="78"/>
      <c r="AU574" s="100"/>
      <c r="AX574" s="78"/>
      <c r="AY574" s="100"/>
      <c r="BC574" s="100"/>
      <c r="BF574" s="78"/>
      <c r="BG574" s="100"/>
      <c r="BJ574" s="78"/>
      <c r="BK574" s="100"/>
      <c r="BN574" s="100"/>
      <c r="BP574" s="104"/>
      <c r="BQ574" s="104"/>
    </row>
    <row r="575" spans="1:69" ht="12.75">
      <c r="A575" s="101"/>
      <c r="B575" s="1"/>
      <c r="F575" s="102"/>
      <c r="G575" s="1"/>
      <c r="K575" s="100"/>
      <c r="L575" s="103"/>
      <c r="M575" s="103"/>
      <c r="N575" s="103"/>
      <c r="O575" s="103"/>
      <c r="P575" s="100"/>
      <c r="U575" s="100"/>
      <c r="Z575" s="100"/>
      <c r="AE575" s="100"/>
      <c r="AJ575" s="100"/>
      <c r="AL575" s="78"/>
      <c r="AM575" s="78"/>
      <c r="AN575" s="100"/>
      <c r="AQ575" s="78"/>
      <c r="AR575" s="100"/>
      <c r="AT575" s="78"/>
      <c r="AU575" s="100"/>
      <c r="AX575" s="78"/>
      <c r="AY575" s="100"/>
      <c r="BC575" s="100"/>
      <c r="BF575" s="78"/>
      <c r="BG575" s="100"/>
      <c r="BJ575" s="78"/>
      <c r="BK575" s="100"/>
      <c r="BN575" s="100"/>
      <c r="BP575" s="104"/>
      <c r="BQ575" s="104"/>
    </row>
    <row r="576" spans="1:69" ht="12.75">
      <c r="A576" s="101"/>
      <c r="B576" s="1"/>
      <c r="F576" s="102"/>
      <c r="G576" s="1"/>
      <c r="K576" s="100"/>
      <c r="L576" s="103"/>
      <c r="M576" s="103"/>
      <c r="N576" s="103"/>
      <c r="O576" s="103"/>
      <c r="P576" s="100"/>
      <c r="U576" s="100"/>
      <c r="Z576" s="100"/>
      <c r="AE576" s="100"/>
      <c r="AJ576" s="100"/>
      <c r="AL576" s="78"/>
      <c r="AM576" s="78"/>
      <c r="AN576" s="100"/>
      <c r="AQ576" s="78"/>
      <c r="AR576" s="100"/>
      <c r="AT576" s="78"/>
      <c r="AU576" s="100"/>
      <c r="AX576" s="78"/>
      <c r="AY576" s="100"/>
      <c r="BC576" s="100"/>
      <c r="BF576" s="78"/>
      <c r="BG576" s="100"/>
      <c r="BJ576" s="78"/>
      <c r="BK576" s="100"/>
      <c r="BN576" s="100"/>
      <c r="BP576" s="104"/>
      <c r="BQ576" s="104"/>
    </row>
    <row r="577" spans="1:69" ht="12.75">
      <c r="A577" s="101"/>
      <c r="B577" s="1"/>
      <c r="F577" s="102"/>
      <c r="G577" s="1"/>
      <c r="K577" s="100"/>
      <c r="L577" s="103"/>
      <c r="M577" s="103"/>
      <c r="N577" s="103"/>
      <c r="O577" s="103"/>
      <c r="P577" s="100"/>
      <c r="U577" s="100"/>
      <c r="Z577" s="100"/>
      <c r="AE577" s="100"/>
      <c r="AJ577" s="100"/>
      <c r="AL577" s="78"/>
      <c r="AM577" s="78"/>
      <c r="AN577" s="100"/>
      <c r="AQ577" s="78"/>
      <c r="AR577" s="100"/>
      <c r="AT577" s="78"/>
      <c r="AU577" s="100"/>
      <c r="AX577" s="78"/>
      <c r="AY577" s="100"/>
      <c r="BC577" s="100"/>
      <c r="BF577" s="78"/>
      <c r="BG577" s="100"/>
      <c r="BJ577" s="78"/>
      <c r="BK577" s="100"/>
      <c r="BN577" s="100"/>
      <c r="BP577" s="104"/>
      <c r="BQ577" s="104"/>
    </row>
    <row r="578" spans="1:69" ht="12.75">
      <c r="A578" s="101"/>
      <c r="B578" s="1"/>
      <c r="F578" s="102"/>
      <c r="G578" s="1"/>
      <c r="K578" s="100"/>
      <c r="L578" s="103"/>
      <c r="M578" s="103"/>
      <c r="N578" s="103"/>
      <c r="O578" s="103"/>
      <c r="P578" s="100"/>
      <c r="U578" s="100"/>
      <c r="Z578" s="100"/>
      <c r="AE578" s="100"/>
      <c r="AJ578" s="100"/>
      <c r="AL578" s="78"/>
      <c r="AM578" s="78"/>
      <c r="AN578" s="100"/>
      <c r="AQ578" s="78"/>
      <c r="AR578" s="100"/>
      <c r="AT578" s="78"/>
      <c r="AU578" s="100"/>
      <c r="AX578" s="78"/>
      <c r="AY578" s="100"/>
      <c r="BC578" s="100"/>
      <c r="BF578" s="78"/>
      <c r="BG578" s="100"/>
      <c r="BJ578" s="78"/>
      <c r="BK578" s="100"/>
      <c r="BN578" s="100"/>
      <c r="BP578" s="104"/>
      <c r="BQ578" s="104"/>
    </row>
    <row r="579" spans="1:69" ht="12.75">
      <c r="A579" s="101"/>
      <c r="B579" s="1"/>
      <c r="F579" s="102"/>
      <c r="G579" s="1"/>
      <c r="K579" s="100"/>
      <c r="L579" s="103"/>
      <c r="M579" s="103"/>
      <c r="N579" s="103"/>
      <c r="O579" s="103"/>
      <c r="P579" s="100"/>
      <c r="U579" s="100"/>
      <c r="Z579" s="100"/>
      <c r="AE579" s="100"/>
      <c r="AJ579" s="100"/>
      <c r="AL579" s="78"/>
      <c r="AM579" s="78"/>
      <c r="AN579" s="100"/>
      <c r="AQ579" s="78"/>
      <c r="AR579" s="100"/>
      <c r="AT579" s="78"/>
      <c r="AU579" s="100"/>
      <c r="AX579" s="78"/>
      <c r="AY579" s="100"/>
      <c r="BC579" s="100"/>
      <c r="BF579" s="78"/>
      <c r="BG579" s="100"/>
      <c r="BJ579" s="78"/>
      <c r="BK579" s="100"/>
      <c r="BN579" s="100"/>
      <c r="BP579" s="104"/>
      <c r="BQ579" s="104"/>
    </row>
    <row r="580" spans="1:69" ht="12.75">
      <c r="A580" s="101"/>
      <c r="B580" s="1"/>
      <c r="F580" s="102"/>
      <c r="G580" s="1"/>
      <c r="K580" s="100"/>
      <c r="L580" s="103"/>
      <c r="M580" s="103"/>
      <c r="N580" s="103"/>
      <c r="O580" s="103"/>
      <c r="P580" s="100"/>
      <c r="U580" s="100"/>
      <c r="Z580" s="100"/>
      <c r="AE580" s="100"/>
      <c r="AJ580" s="100"/>
      <c r="AL580" s="78"/>
      <c r="AM580" s="78"/>
      <c r="AN580" s="100"/>
      <c r="AQ580" s="78"/>
      <c r="AR580" s="100"/>
      <c r="AT580" s="78"/>
      <c r="AU580" s="100"/>
      <c r="AX580" s="78"/>
      <c r="AY580" s="100"/>
      <c r="BC580" s="100"/>
      <c r="BF580" s="78"/>
      <c r="BG580" s="100"/>
      <c r="BJ580" s="78"/>
      <c r="BK580" s="100"/>
      <c r="BN580" s="100"/>
      <c r="BP580" s="104"/>
      <c r="BQ580" s="104"/>
    </row>
    <row r="581" spans="1:69" ht="12.75">
      <c r="A581" s="101"/>
      <c r="B581" s="1"/>
      <c r="F581" s="102"/>
      <c r="G581" s="1"/>
      <c r="K581" s="100"/>
      <c r="L581" s="103"/>
      <c r="M581" s="103"/>
      <c r="N581" s="103"/>
      <c r="O581" s="103"/>
      <c r="P581" s="100"/>
      <c r="U581" s="100"/>
      <c r="Z581" s="100"/>
      <c r="AE581" s="100"/>
      <c r="AJ581" s="100"/>
      <c r="AL581" s="78"/>
      <c r="AM581" s="78"/>
      <c r="AN581" s="100"/>
      <c r="AQ581" s="78"/>
      <c r="AR581" s="100"/>
      <c r="AT581" s="78"/>
      <c r="AU581" s="100"/>
      <c r="AX581" s="78"/>
      <c r="AY581" s="100"/>
      <c r="BC581" s="100"/>
      <c r="BF581" s="78"/>
      <c r="BG581" s="100"/>
      <c r="BJ581" s="78"/>
      <c r="BK581" s="100"/>
      <c r="BN581" s="100"/>
      <c r="BP581" s="104"/>
      <c r="BQ581" s="104"/>
    </row>
    <row r="582" spans="1:69" ht="12.75">
      <c r="A582" s="101"/>
      <c r="B582" s="1"/>
      <c r="F582" s="102"/>
      <c r="G582" s="1"/>
      <c r="K582" s="100"/>
      <c r="L582" s="103"/>
      <c r="M582" s="103"/>
      <c r="N582" s="103"/>
      <c r="O582" s="103"/>
      <c r="P582" s="100"/>
      <c r="U582" s="100"/>
      <c r="Z582" s="100"/>
      <c r="AE582" s="100"/>
      <c r="AJ582" s="100"/>
      <c r="AL582" s="78"/>
      <c r="AM582" s="78"/>
      <c r="AN582" s="100"/>
      <c r="AQ582" s="78"/>
      <c r="AR582" s="100"/>
      <c r="AT582" s="78"/>
      <c r="AU582" s="100"/>
      <c r="AX582" s="78"/>
      <c r="AY582" s="100"/>
      <c r="BC582" s="100"/>
      <c r="BF582" s="78"/>
      <c r="BG582" s="100"/>
      <c r="BJ582" s="78"/>
      <c r="BK582" s="100"/>
      <c r="BN582" s="100"/>
      <c r="BP582" s="104"/>
      <c r="BQ582" s="104"/>
    </row>
    <row r="583" spans="1:69" ht="12.75">
      <c r="A583" s="101"/>
      <c r="B583" s="1"/>
      <c r="F583" s="102"/>
      <c r="G583" s="1"/>
      <c r="K583" s="100"/>
      <c r="L583" s="103"/>
      <c r="M583" s="103"/>
      <c r="N583" s="103"/>
      <c r="O583" s="103"/>
      <c r="P583" s="100"/>
      <c r="U583" s="100"/>
      <c r="Z583" s="100"/>
      <c r="AE583" s="100"/>
      <c r="AJ583" s="100"/>
      <c r="AL583" s="78"/>
      <c r="AM583" s="78"/>
      <c r="AN583" s="100"/>
      <c r="AQ583" s="78"/>
      <c r="AR583" s="100"/>
      <c r="AT583" s="78"/>
      <c r="AU583" s="100"/>
      <c r="AX583" s="78"/>
      <c r="AY583" s="100"/>
      <c r="BC583" s="100"/>
      <c r="BF583" s="78"/>
      <c r="BG583" s="100"/>
      <c r="BJ583" s="78"/>
      <c r="BK583" s="100"/>
      <c r="BN583" s="100"/>
      <c r="BP583" s="104"/>
      <c r="BQ583" s="104"/>
    </row>
    <row r="584" spans="1:69" ht="12.75">
      <c r="A584" s="101"/>
      <c r="B584" s="1"/>
      <c r="F584" s="102"/>
      <c r="G584" s="1"/>
      <c r="K584" s="100"/>
      <c r="L584" s="103"/>
      <c r="M584" s="103"/>
      <c r="N584" s="103"/>
      <c r="O584" s="103"/>
      <c r="P584" s="100"/>
      <c r="U584" s="100"/>
      <c r="Z584" s="100"/>
      <c r="AE584" s="100"/>
      <c r="AJ584" s="100"/>
      <c r="AL584" s="78"/>
      <c r="AM584" s="78"/>
      <c r="AN584" s="100"/>
      <c r="AQ584" s="78"/>
      <c r="AR584" s="100"/>
      <c r="AT584" s="78"/>
      <c r="AU584" s="100"/>
      <c r="AX584" s="78"/>
      <c r="AY584" s="100"/>
      <c r="BC584" s="100"/>
      <c r="BF584" s="78"/>
      <c r="BG584" s="100"/>
      <c r="BJ584" s="78"/>
      <c r="BK584" s="100"/>
      <c r="BN584" s="100"/>
      <c r="BP584" s="104"/>
      <c r="BQ584" s="104"/>
    </row>
    <row r="585" spans="1:69" ht="12.75">
      <c r="A585" s="101"/>
      <c r="B585" s="1"/>
      <c r="F585" s="102"/>
      <c r="G585" s="1"/>
      <c r="K585" s="100"/>
      <c r="L585" s="103"/>
      <c r="M585" s="103"/>
      <c r="N585" s="103"/>
      <c r="O585" s="103"/>
      <c r="P585" s="100"/>
      <c r="U585" s="100"/>
      <c r="Z585" s="100"/>
      <c r="AE585" s="100"/>
      <c r="AJ585" s="100"/>
      <c r="AL585" s="78"/>
      <c r="AM585" s="78"/>
      <c r="AN585" s="100"/>
      <c r="AQ585" s="78"/>
      <c r="AR585" s="100"/>
      <c r="AT585" s="78"/>
      <c r="AU585" s="100"/>
      <c r="AX585" s="78"/>
      <c r="AY585" s="100"/>
      <c r="BC585" s="100"/>
      <c r="BF585" s="78"/>
      <c r="BG585" s="100"/>
      <c r="BJ585" s="78"/>
      <c r="BK585" s="100"/>
      <c r="BN585" s="100"/>
      <c r="BP585" s="104"/>
      <c r="BQ585" s="104"/>
    </row>
    <row r="586" spans="1:69" ht="12.75">
      <c r="A586" s="101"/>
      <c r="B586" s="1"/>
      <c r="F586" s="102"/>
      <c r="G586" s="1"/>
      <c r="K586" s="100"/>
      <c r="L586" s="103"/>
      <c r="M586" s="103"/>
      <c r="N586" s="103"/>
      <c r="O586" s="103"/>
      <c r="P586" s="100"/>
      <c r="U586" s="100"/>
      <c r="Z586" s="100"/>
      <c r="AE586" s="100"/>
      <c r="AJ586" s="100"/>
      <c r="AL586" s="78"/>
      <c r="AM586" s="78"/>
      <c r="AN586" s="100"/>
      <c r="AQ586" s="78"/>
      <c r="AR586" s="100"/>
      <c r="AT586" s="78"/>
      <c r="AU586" s="100"/>
      <c r="AX586" s="78"/>
      <c r="AY586" s="100"/>
      <c r="BC586" s="100"/>
      <c r="BF586" s="78"/>
      <c r="BG586" s="100"/>
      <c r="BJ586" s="78"/>
      <c r="BK586" s="100"/>
      <c r="BN586" s="100"/>
      <c r="BP586" s="104"/>
      <c r="BQ586" s="104"/>
    </row>
    <row r="587" spans="1:69" ht="12.75">
      <c r="A587" s="101"/>
      <c r="B587" s="1"/>
      <c r="F587" s="102"/>
      <c r="G587" s="1"/>
      <c r="K587" s="100"/>
      <c r="L587" s="103"/>
      <c r="M587" s="103"/>
      <c r="N587" s="103"/>
      <c r="O587" s="103"/>
      <c r="P587" s="100"/>
      <c r="U587" s="100"/>
      <c r="Z587" s="100"/>
      <c r="AE587" s="100"/>
      <c r="AJ587" s="100"/>
      <c r="AL587" s="78"/>
      <c r="AM587" s="78"/>
      <c r="AN587" s="100"/>
      <c r="AQ587" s="78"/>
      <c r="AR587" s="100"/>
      <c r="AT587" s="78"/>
      <c r="AU587" s="100"/>
      <c r="AX587" s="78"/>
      <c r="AY587" s="100"/>
      <c r="BC587" s="100"/>
      <c r="BF587" s="78"/>
      <c r="BG587" s="100"/>
      <c r="BJ587" s="78"/>
      <c r="BK587" s="100"/>
      <c r="BN587" s="100"/>
      <c r="BP587" s="104"/>
      <c r="BQ587" s="104"/>
    </row>
    <row r="588" spans="1:69" ht="12.75">
      <c r="A588" s="101"/>
      <c r="B588" s="1"/>
      <c r="F588" s="102"/>
      <c r="G588" s="1"/>
      <c r="K588" s="100"/>
      <c r="L588" s="103"/>
      <c r="M588" s="103"/>
      <c r="N588" s="103"/>
      <c r="O588" s="103"/>
      <c r="P588" s="100"/>
      <c r="U588" s="100"/>
      <c r="Z588" s="100"/>
      <c r="AE588" s="100"/>
      <c r="AJ588" s="100"/>
      <c r="AL588" s="78"/>
      <c r="AM588" s="78"/>
      <c r="AN588" s="100"/>
      <c r="AQ588" s="78"/>
      <c r="AR588" s="100"/>
      <c r="AT588" s="78"/>
      <c r="AU588" s="100"/>
      <c r="AX588" s="78"/>
      <c r="AY588" s="100"/>
      <c r="BC588" s="100"/>
      <c r="BF588" s="78"/>
      <c r="BG588" s="100"/>
      <c r="BJ588" s="78"/>
      <c r="BK588" s="100"/>
      <c r="BN588" s="100"/>
      <c r="BP588" s="104"/>
      <c r="BQ588" s="104"/>
    </row>
    <row r="589" spans="1:69" ht="12.75">
      <c r="A589" s="101"/>
      <c r="B589" s="1"/>
      <c r="F589" s="102"/>
      <c r="G589" s="1"/>
      <c r="K589" s="100"/>
      <c r="L589" s="103"/>
      <c r="M589" s="103"/>
      <c r="N589" s="103"/>
      <c r="O589" s="103"/>
      <c r="P589" s="100"/>
      <c r="U589" s="100"/>
      <c r="Z589" s="100"/>
      <c r="AE589" s="100"/>
      <c r="AJ589" s="100"/>
      <c r="AL589" s="78"/>
      <c r="AM589" s="78"/>
      <c r="AN589" s="100"/>
      <c r="AQ589" s="78"/>
      <c r="AR589" s="100"/>
      <c r="AT589" s="78"/>
      <c r="AU589" s="100"/>
      <c r="AX589" s="78"/>
      <c r="AY589" s="100"/>
      <c r="BC589" s="100"/>
      <c r="BF589" s="78"/>
      <c r="BG589" s="100"/>
      <c r="BJ589" s="78"/>
      <c r="BK589" s="100"/>
      <c r="BN589" s="100"/>
      <c r="BP589" s="104"/>
      <c r="BQ589" s="104"/>
    </row>
    <row r="590" spans="1:69" ht="12.75">
      <c r="A590" s="101"/>
      <c r="B590" s="1"/>
      <c r="F590" s="102"/>
      <c r="G590" s="1"/>
      <c r="K590" s="100"/>
      <c r="L590" s="103"/>
      <c r="M590" s="103"/>
      <c r="N590" s="103"/>
      <c r="O590" s="103"/>
      <c r="P590" s="100"/>
      <c r="U590" s="100"/>
      <c r="Z590" s="100"/>
      <c r="AE590" s="100"/>
      <c r="AJ590" s="100"/>
      <c r="AL590" s="78"/>
      <c r="AM590" s="78"/>
      <c r="AN590" s="100"/>
      <c r="AQ590" s="78"/>
      <c r="AR590" s="100"/>
      <c r="AT590" s="78"/>
      <c r="AU590" s="100"/>
      <c r="AX590" s="78"/>
      <c r="AY590" s="100"/>
      <c r="BC590" s="100"/>
      <c r="BF590" s="78"/>
      <c r="BG590" s="100"/>
      <c r="BJ590" s="78"/>
      <c r="BK590" s="100"/>
      <c r="BN590" s="100"/>
      <c r="BP590" s="104"/>
      <c r="BQ590" s="104"/>
    </row>
    <row r="591" spans="1:69" ht="12.75">
      <c r="A591" s="101"/>
      <c r="B591" s="1"/>
      <c r="F591" s="102"/>
      <c r="G591" s="1"/>
      <c r="K591" s="100"/>
      <c r="L591" s="103"/>
      <c r="M591" s="103"/>
      <c r="N591" s="103"/>
      <c r="O591" s="103"/>
      <c r="P591" s="100"/>
      <c r="U591" s="100"/>
      <c r="Z591" s="100"/>
      <c r="AE591" s="100"/>
      <c r="AJ591" s="100"/>
      <c r="AL591" s="78"/>
      <c r="AM591" s="78"/>
      <c r="AN591" s="100"/>
      <c r="AQ591" s="78"/>
      <c r="AR591" s="100"/>
      <c r="AT591" s="78"/>
      <c r="AU591" s="100"/>
      <c r="AX591" s="78"/>
      <c r="AY591" s="100"/>
      <c r="BC591" s="100"/>
      <c r="BF591" s="78"/>
      <c r="BG591" s="100"/>
      <c r="BJ591" s="78"/>
      <c r="BK591" s="100"/>
      <c r="BN591" s="100"/>
      <c r="BP591" s="104"/>
      <c r="BQ591" s="104"/>
    </row>
    <row r="592" spans="1:69" ht="12.75">
      <c r="A592" s="101"/>
      <c r="B592" s="1"/>
      <c r="F592" s="102"/>
      <c r="G592" s="1"/>
      <c r="K592" s="100"/>
      <c r="L592" s="103"/>
      <c r="M592" s="103"/>
      <c r="N592" s="103"/>
      <c r="O592" s="103"/>
      <c r="P592" s="100"/>
      <c r="U592" s="100"/>
      <c r="Z592" s="100"/>
      <c r="AE592" s="100"/>
      <c r="AJ592" s="100"/>
      <c r="AL592" s="78"/>
      <c r="AM592" s="78"/>
      <c r="AN592" s="100"/>
      <c r="AQ592" s="78"/>
      <c r="AR592" s="100"/>
      <c r="AT592" s="78"/>
      <c r="AU592" s="100"/>
      <c r="AX592" s="78"/>
      <c r="AY592" s="100"/>
      <c r="BC592" s="100"/>
      <c r="BF592" s="78"/>
      <c r="BG592" s="100"/>
      <c r="BJ592" s="78"/>
      <c r="BK592" s="100"/>
      <c r="BN592" s="100"/>
      <c r="BP592" s="104"/>
      <c r="BQ592" s="104"/>
    </row>
    <row r="593" spans="1:69" ht="12.75">
      <c r="A593" s="101"/>
      <c r="B593" s="1"/>
      <c r="F593" s="102"/>
      <c r="G593" s="1"/>
      <c r="K593" s="100"/>
      <c r="L593" s="103"/>
      <c r="M593" s="103"/>
      <c r="N593" s="103"/>
      <c r="O593" s="103"/>
      <c r="P593" s="100"/>
      <c r="U593" s="100"/>
      <c r="Z593" s="100"/>
      <c r="AE593" s="100"/>
      <c r="AJ593" s="100"/>
      <c r="AL593" s="78"/>
      <c r="AM593" s="78"/>
      <c r="AN593" s="100"/>
      <c r="AQ593" s="78"/>
      <c r="AR593" s="100"/>
      <c r="AT593" s="78"/>
      <c r="AU593" s="100"/>
      <c r="AX593" s="78"/>
      <c r="AY593" s="100"/>
      <c r="BC593" s="100"/>
      <c r="BF593" s="78"/>
      <c r="BG593" s="100"/>
      <c r="BJ593" s="78"/>
      <c r="BK593" s="100"/>
      <c r="BN593" s="100"/>
      <c r="BP593" s="104"/>
      <c r="BQ593" s="104"/>
    </row>
    <row r="594" spans="1:69" ht="12.75">
      <c r="A594" s="101"/>
      <c r="B594" s="1"/>
      <c r="F594" s="102"/>
      <c r="G594" s="1"/>
      <c r="K594" s="100"/>
      <c r="L594" s="103"/>
      <c r="M594" s="103"/>
      <c r="N594" s="103"/>
      <c r="O594" s="103"/>
      <c r="P594" s="100"/>
      <c r="U594" s="100"/>
      <c r="Z594" s="100"/>
      <c r="AE594" s="100"/>
      <c r="AJ594" s="100"/>
      <c r="AL594" s="78"/>
      <c r="AM594" s="78"/>
      <c r="AN594" s="100"/>
      <c r="AQ594" s="78"/>
      <c r="AR594" s="100"/>
      <c r="AT594" s="78"/>
      <c r="AU594" s="100"/>
      <c r="AX594" s="78"/>
      <c r="AY594" s="100"/>
      <c r="BC594" s="100"/>
      <c r="BF594" s="78"/>
      <c r="BG594" s="100"/>
      <c r="BJ594" s="78"/>
      <c r="BK594" s="100"/>
      <c r="BN594" s="100"/>
      <c r="BP594" s="104"/>
      <c r="BQ594" s="104"/>
    </row>
    <row r="595" spans="1:69" ht="12.75">
      <c r="A595" s="101"/>
      <c r="B595" s="1"/>
      <c r="F595" s="102"/>
      <c r="G595" s="1"/>
      <c r="K595" s="100"/>
      <c r="L595" s="103"/>
      <c r="M595" s="103"/>
      <c r="N595" s="103"/>
      <c r="O595" s="103"/>
      <c r="P595" s="100"/>
      <c r="U595" s="100"/>
      <c r="Z595" s="100"/>
      <c r="AE595" s="100"/>
      <c r="AJ595" s="100"/>
      <c r="AL595" s="78"/>
      <c r="AM595" s="78"/>
      <c r="AN595" s="100"/>
      <c r="AQ595" s="78"/>
      <c r="AR595" s="100"/>
      <c r="AT595" s="78"/>
      <c r="AU595" s="100"/>
      <c r="AX595" s="78"/>
      <c r="AY595" s="100"/>
      <c r="BC595" s="100"/>
      <c r="BF595" s="78"/>
      <c r="BG595" s="100"/>
      <c r="BJ595" s="78"/>
      <c r="BK595" s="100"/>
      <c r="BN595" s="100"/>
      <c r="BP595" s="104"/>
      <c r="BQ595" s="104"/>
    </row>
    <row r="596" spans="1:69" ht="12.75">
      <c r="A596" s="101"/>
      <c r="B596" s="1"/>
      <c r="F596" s="102"/>
      <c r="G596" s="1"/>
      <c r="K596" s="100"/>
      <c r="L596" s="103"/>
      <c r="M596" s="103"/>
      <c r="N596" s="103"/>
      <c r="O596" s="103"/>
      <c r="P596" s="100"/>
      <c r="U596" s="100"/>
      <c r="Z596" s="100"/>
      <c r="AE596" s="100"/>
      <c r="AJ596" s="100"/>
      <c r="AL596" s="78"/>
      <c r="AM596" s="78"/>
      <c r="AN596" s="100"/>
      <c r="AQ596" s="78"/>
      <c r="AR596" s="100"/>
      <c r="AT596" s="78"/>
      <c r="AU596" s="100"/>
      <c r="AX596" s="78"/>
      <c r="AY596" s="100"/>
      <c r="BC596" s="100"/>
      <c r="BF596" s="78"/>
      <c r="BG596" s="100"/>
      <c r="BJ596" s="78"/>
      <c r="BK596" s="100"/>
      <c r="BN596" s="100"/>
      <c r="BP596" s="104"/>
      <c r="BQ596" s="104"/>
    </row>
    <row r="597" spans="1:69" ht="12.75">
      <c r="A597" s="101"/>
      <c r="B597" s="1"/>
      <c r="F597" s="102"/>
      <c r="G597" s="1"/>
      <c r="K597" s="100"/>
      <c r="L597" s="103"/>
      <c r="M597" s="103"/>
      <c r="N597" s="103"/>
      <c r="O597" s="103"/>
      <c r="P597" s="100"/>
      <c r="U597" s="100"/>
      <c r="Z597" s="100"/>
      <c r="AE597" s="100"/>
      <c r="AJ597" s="100"/>
      <c r="AL597" s="78"/>
      <c r="AM597" s="78"/>
      <c r="AN597" s="100"/>
      <c r="AQ597" s="78"/>
      <c r="AR597" s="100"/>
      <c r="AT597" s="78"/>
      <c r="AU597" s="100"/>
      <c r="AX597" s="78"/>
      <c r="AY597" s="100"/>
      <c r="BC597" s="100"/>
      <c r="BF597" s="78"/>
      <c r="BG597" s="100"/>
      <c r="BJ597" s="78"/>
      <c r="BK597" s="100"/>
      <c r="BN597" s="100"/>
      <c r="BP597" s="104"/>
      <c r="BQ597" s="104"/>
    </row>
    <row r="598" spans="1:69" ht="12.75">
      <c r="A598" s="101"/>
      <c r="B598" s="1"/>
      <c r="F598" s="102"/>
      <c r="G598" s="1"/>
      <c r="K598" s="100"/>
      <c r="L598" s="103"/>
      <c r="M598" s="103"/>
      <c r="N598" s="103"/>
      <c r="O598" s="103"/>
      <c r="P598" s="100"/>
      <c r="U598" s="100"/>
      <c r="Z598" s="100"/>
      <c r="AE598" s="100"/>
      <c r="AJ598" s="100"/>
      <c r="AL598" s="78"/>
      <c r="AM598" s="78"/>
      <c r="AN598" s="100"/>
      <c r="AQ598" s="78"/>
      <c r="AR598" s="100"/>
      <c r="AT598" s="78"/>
      <c r="AU598" s="100"/>
      <c r="AX598" s="78"/>
      <c r="AY598" s="100"/>
      <c r="BC598" s="100"/>
      <c r="BF598" s="78"/>
      <c r="BG598" s="100"/>
      <c r="BJ598" s="78"/>
      <c r="BK598" s="100"/>
      <c r="BN598" s="100"/>
      <c r="BP598" s="104"/>
      <c r="BQ598" s="104"/>
    </row>
    <row r="599" spans="1:69" ht="12.75">
      <c r="A599" s="101"/>
      <c r="B599" s="1"/>
      <c r="F599" s="102"/>
      <c r="G599" s="1"/>
      <c r="K599" s="100"/>
      <c r="L599" s="103"/>
      <c r="M599" s="103"/>
      <c r="N599" s="103"/>
      <c r="O599" s="103"/>
      <c r="P599" s="100"/>
      <c r="U599" s="100"/>
      <c r="Z599" s="100"/>
      <c r="AE599" s="100"/>
      <c r="AJ599" s="100"/>
      <c r="AL599" s="78"/>
      <c r="AM599" s="78"/>
      <c r="AN599" s="100"/>
      <c r="AQ599" s="78"/>
      <c r="AR599" s="100"/>
      <c r="AT599" s="78"/>
      <c r="AU599" s="100"/>
      <c r="AX599" s="78"/>
      <c r="AY599" s="100"/>
      <c r="BC599" s="100"/>
      <c r="BF599" s="78"/>
      <c r="BG599" s="100"/>
      <c r="BJ599" s="78"/>
      <c r="BK599" s="100"/>
      <c r="BN599" s="100"/>
      <c r="BP599" s="104"/>
      <c r="BQ599" s="104"/>
    </row>
    <row r="600" spans="1:69" ht="12.75">
      <c r="A600" s="101"/>
      <c r="B600" s="1"/>
      <c r="F600" s="102"/>
      <c r="G600" s="1"/>
      <c r="K600" s="100"/>
      <c r="L600" s="103"/>
      <c r="M600" s="103"/>
      <c r="N600" s="103"/>
      <c r="O600" s="103"/>
      <c r="P600" s="100"/>
      <c r="U600" s="100"/>
      <c r="Z600" s="100"/>
      <c r="AE600" s="100"/>
      <c r="AJ600" s="100"/>
      <c r="AL600" s="78"/>
      <c r="AM600" s="78"/>
      <c r="AN600" s="100"/>
      <c r="AQ600" s="78"/>
      <c r="AR600" s="100"/>
      <c r="AT600" s="78"/>
      <c r="AU600" s="100"/>
      <c r="AX600" s="78"/>
      <c r="AY600" s="100"/>
      <c r="BC600" s="100"/>
      <c r="BF600" s="78"/>
      <c r="BG600" s="100"/>
      <c r="BJ600" s="78"/>
      <c r="BK600" s="100"/>
      <c r="BN600" s="100"/>
      <c r="BP600" s="104"/>
      <c r="BQ600" s="104"/>
    </row>
    <row r="601" spans="1:69" ht="12.75">
      <c r="A601" s="101"/>
      <c r="B601" s="1"/>
      <c r="F601" s="102"/>
      <c r="G601" s="1"/>
      <c r="K601" s="100"/>
      <c r="L601" s="103"/>
      <c r="M601" s="103"/>
      <c r="N601" s="103"/>
      <c r="O601" s="103"/>
      <c r="P601" s="100"/>
      <c r="U601" s="100"/>
      <c r="Z601" s="100"/>
      <c r="AE601" s="100"/>
      <c r="AJ601" s="100"/>
      <c r="AL601" s="78"/>
      <c r="AM601" s="78"/>
      <c r="AN601" s="100"/>
      <c r="AQ601" s="78"/>
      <c r="AR601" s="100"/>
      <c r="AT601" s="78"/>
      <c r="AU601" s="100"/>
      <c r="AX601" s="78"/>
      <c r="AY601" s="100"/>
      <c r="BC601" s="100"/>
      <c r="BF601" s="78"/>
      <c r="BG601" s="100"/>
      <c r="BJ601" s="78"/>
      <c r="BK601" s="100"/>
      <c r="BN601" s="100"/>
      <c r="BP601" s="104"/>
      <c r="BQ601" s="104"/>
    </row>
    <row r="602" spans="1:69" ht="12.75">
      <c r="A602" s="101"/>
      <c r="B602" s="1"/>
      <c r="F602" s="102"/>
      <c r="G602" s="1"/>
      <c r="K602" s="100"/>
      <c r="L602" s="103"/>
      <c r="M602" s="103"/>
      <c r="N602" s="103"/>
      <c r="O602" s="103"/>
      <c r="P602" s="100"/>
      <c r="U602" s="100"/>
      <c r="Z602" s="100"/>
      <c r="AE602" s="100"/>
      <c r="AJ602" s="100"/>
      <c r="AL602" s="78"/>
      <c r="AM602" s="78"/>
      <c r="AN602" s="100"/>
      <c r="AQ602" s="78"/>
      <c r="AR602" s="100"/>
      <c r="AT602" s="78"/>
      <c r="AU602" s="100"/>
      <c r="AX602" s="78"/>
      <c r="AY602" s="100"/>
      <c r="BC602" s="100"/>
      <c r="BF602" s="78"/>
      <c r="BG602" s="100"/>
      <c r="BJ602" s="78"/>
      <c r="BK602" s="100"/>
      <c r="BN602" s="100"/>
      <c r="BP602" s="104"/>
      <c r="BQ602" s="104"/>
    </row>
    <row r="603" spans="1:69" ht="12.75">
      <c r="A603" s="101"/>
      <c r="B603" s="1"/>
      <c r="F603" s="102"/>
      <c r="G603" s="1"/>
      <c r="K603" s="100"/>
      <c r="L603" s="103"/>
      <c r="M603" s="103"/>
      <c r="N603" s="103"/>
      <c r="O603" s="103"/>
      <c r="P603" s="100"/>
      <c r="U603" s="100"/>
      <c r="Z603" s="100"/>
      <c r="AE603" s="100"/>
      <c r="AJ603" s="100"/>
      <c r="AL603" s="78"/>
      <c r="AM603" s="78"/>
      <c r="AN603" s="100"/>
      <c r="AQ603" s="78"/>
      <c r="AR603" s="100"/>
      <c r="AT603" s="78"/>
      <c r="AU603" s="100"/>
      <c r="AX603" s="78"/>
      <c r="AY603" s="100"/>
      <c r="BC603" s="100"/>
      <c r="BF603" s="78"/>
      <c r="BG603" s="100"/>
      <c r="BJ603" s="78"/>
      <c r="BK603" s="100"/>
      <c r="BN603" s="100"/>
      <c r="BP603" s="104"/>
      <c r="BQ603" s="104"/>
    </row>
    <row r="604" spans="1:69" ht="12.75">
      <c r="A604" s="101"/>
      <c r="B604" s="1"/>
      <c r="F604" s="102"/>
      <c r="G604" s="1"/>
      <c r="K604" s="100"/>
      <c r="L604" s="103"/>
      <c r="M604" s="103"/>
      <c r="N604" s="103"/>
      <c r="O604" s="103"/>
      <c r="P604" s="100"/>
      <c r="U604" s="100"/>
      <c r="Z604" s="100"/>
      <c r="AE604" s="100"/>
      <c r="AJ604" s="100"/>
      <c r="AL604" s="78"/>
      <c r="AM604" s="78"/>
      <c r="AN604" s="100"/>
      <c r="AQ604" s="78"/>
      <c r="AR604" s="100"/>
      <c r="AT604" s="78"/>
      <c r="AU604" s="100"/>
      <c r="AX604" s="78"/>
      <c r="AY604" s="100"/>
      <c r="BC604" s="100"/>
      <c r="BF604" s="78"/>
      <c r="BG604" s="100"/>
      <c r="BJ604" s="78"/>
      <c r="BK604" s="100"/>
      <c r="BN604" s="100"/>
      <c r="BP604" s="104"/>
      <c r="BQ604" s="104"/>
    </row>
    <row r="605" spans="1:69" ht="12.75">
      <c r="A605" s="101"/>
      <c r="B605" s="1"/>
      <c r="F605" s="102"/>
      <c r="G605" s="1"/>
      <c r="K605" s="100"/>
      <c r="L605" s="103"/>
      <c r="M605" s="103"/>
      <c r="N605" s="103"/>
      <c r="O605" s="103"/>
      <c r="P605" s="100"/>
      <c r="U605" s="100"/>
      <c r="Z605" s="100"/>
      <c r="AE605" s="100"/>
      <c r="AJ605" s="100"/>
      <c r="AL605" s="78"/>
      <c r="AM605" s="78"/>
      <c r="AN605" s="100"/>
      <c r="AQ605" s="78"/>
      <c r="AR605" s="100"/>
      <c r="AT605" s="78"/>
      <c r="AU605" s="100"/>
      <c r="AX605" s="78"/>
      <c r="AY605" s="100"/>
      <c r="BC605" s="100"/>
      <c r="BF605" s="78"/>
      <c r="BG605" s="100"/>
      <c r="BJ605" s="78"/>
      <c r="BK605" s="100"/>
      <c r="BN605" s="100"/>
      <c r="BP605" s="104"/>
      <c r="BQ605" s="104"/>
    </row>
    <row r="606" spans="1:69" ht="12.75">
      <c r="A606" s="101"/>
      <c r="B606" s="1"/>
      <c r="F606" s="102"/>
      <c r="G606" s="1"/>
      <c r="K606" s="100"/>
      <c r="L606" s="103"/>
      <c r="M606" s="103"/>
      <c r="N606" s="103"/>
      <c r="O606" s="103"/>
      <c r="P606" s="100"/>
      <c r="U606" s="100"/>
      <c r="Z606" s="100"/>
      <c r="AE606" s="100"/>
      <c r="AJ606" s="100"/>
      <c r="AL606" s="78"/>
      <c r="AM606" s="78"/>
      <c r="AN606" s="100"/>
      <c r="AQ606" s="78"/>
      <c r="AR606" s="100"/>
      <c r="AT606" s="78"/>
      <c r="AU606" s="100"/>
      <c r="AX606" s="78"/>
      <c r="AY606" s="100"/>
      <c r="BC606" s="100"/>
      <c r="BF606" s="78"/>
      <c r="BG606" s="100"/>
      <c r="BJ606" s="78"/>
      <c r="BK606" s="100"/>
      <c r="BN606" s="100"/>
      <c r="BP606" s="104"/>
      <c r="BQ606" s="104"/>
    </row>
    <row r="607" spans="1:69" ht="12.75">
      <c r="A607" s="101"/>
      <c r="B607" s="1"/>
      <c r="F607" s="102"/>
      <c r="G607" s="1"/>
      <c r="K607" s="100"/>
      <c r="L607" s="103"/>
      <c r="M607" s="103"/>
      <c r="N607" s="103"/>
      <c r="O607" s="103"/>
      <c r="P607" s="100"/>
      <c r="U607" s="100"/>
      <c r="Z607" s="100"/>
      <c r="AE607" s="100"/>
      <c r="AJ607" s="100"/>
      <c r="AL607" s="78"/>
      <c r="AM607" s="78"/>
      <c r="AN607" s="100"/>
      <c r="AQ607" s="78"/>
      <c r="AR607" s="100"/>
      <c r="AT607" s="78"/>
      <c r="AU607" s="100"/>
      <c r="AX607" s="78"/>
      <c r="AY607" s="100"/>
      <c r="BC607" s="100"/>
      <c r="BF607" s="78"/>
      <c r="BG607" s="100"/>
      <c r="BJ607" s="78"/>
      <c r="BK607" s="100"/>
      <c r="BN607" s="100"/>
      <c r="BP607" s="104"/>
      <c r="BQ607" s="104"/>
    </row>
    <row r="608" spans="1:69" ht="12.75">
      <c r="A608" s="101"/>
      <c r="B608" s="1"/>
      <c r="F608" s="102"/>
      <c r="G608" s="1"/>
      <c r="K608" s="100"/>
      <c r="L608" s="103"/>
      <c r="M608" s="103"/>
      <c r="N608" s="103"/>
      <c r="O608" s="103"/>
      <c r="P608" s="100"/>
      <c r="U608" s="100"/>
      <c r="Z608" s="100"/>
      <c r="AE608" s="100"/>
      <c r="AJ608" s="100"/>
      <c r="AL608" s="78"/>
      <c r="AM608" s="78"/>
      <c r="AN608" s="100"/>
      <c r="AQ608" s="78"/>
      <c r="AR608" s="100"/>
      <c r="AT608" s="78"/>
      <c r="AU608" s="100"/>
      <c r="AX608" s="78"/>
      <c r="AY608" s="100"/>
      <c r="BC608" s="100"/>
      <c r="BF608" s="78"/>
      <c r="BG608" s="100"/>
      <c r="BJ608" s="78"/>
      <c r="BK608" s="100"/>
      <c r="BN608" s="100"/>
      <c r="BP608" s="104"/>
      <c r="BQ608" s="104"/>
    </row>
    <row r="609" spans="1:69" ht="12.75">
      <c r="A609" s="101"/>
      <c r="B609" s="1"/>
      <c r="F609" s="102"/>
      <c r="G609" s="1"/>
      <c r="K609" s="100"/>
      <c r="L609" s="103"/>
      <c r="M609" s="103"/>
      <c r="N609" s="103"/>
      <c r="O609" s="103"/>
      <c r="P609" s="100"/>
      <c r="U609" s="100"/>
      <c r="Z609" s="100"/>
      <c r="AE609" s="100"/>
      <c r="AJ609" s="100"/>
      <c r="AL609" s="78"/>
      <c r="AM609" s="78"/>
      <c r="AN609" s="100"/>
      <c r="AQ609" s="78"/>
      <c r="AR609" s="100"/>
      <c r="AT609" s="78"/>
      <c r="AU609" s="100"/>
      <c r="AX609" s="78"/>
      <c r="AY609" s="100"/>
      <c r="BC609" s="100"/>
      <c r="BF609" s="78"/>
      <c r="BG609" s="100"/>
      <c r="BJ609" s="78"/>
      <c r="BK609" s="100"/>
      <c r="BN609" s="100"/>
      <c r="BP609" s="104"/>
      <c r="BQ609" s="104"/>
    </row>
    <row r="610" spans="1:69" ht="12.75">
      <c r="A610" s="101"/>
      <c r="B610" s="1"/>
      <c r="F610" s="102"/>
      <c r="G610" s="1"/>
      <c r="K610" s="100"/>
      <c r="L610" s="103"/>
      <c r="M610" s="103"/>
      <c r="N610" s="103"/>
      <c r="O610" s="103"/>
      <c r="P610" s="100"/>
      <c r="U610" s="100"/>
      <c r="Z610" s="100"/>
      <c r="AE610" s="100"/>
      <c r="AJ610" s="100"/>
      <c r="AL610" s="78"/>
      <c r="AM610" s="78"/>
      <c r="AN610" s="100"/>
      <c r="AQ610" s="78"/>
      <c r="AR610" s="100"/>
      <c r="AT610" s="78"/>
      <c r="AU610" s="100"/>
      <c r="AX610" s="78"/>
      <c r="AY610" s="100"/>
      <c r="BC610" s="100"/>
      <c r="BF610" s="78"/>
      <c r="BG610" s="100"/>
      <c r="BJ610" s="78"/>
      <c r="BK610" s="100"/>
      <c r="BN610" s="100"/>
      <c r="BP610" s="104"/>
      <c r="BQ610" s="104"/>
    </row>
    <row r="611" spans="1:69" ht="12.75">
      <c r="A611" s="101"/>
      <c r="B611" s="1"/>
      <c r="F611" s="102"/>
      <c r="G611" s="1"/>
      <c r="K611" s="100"/>
      <c r="L611" s="103"/>
      <c r="M611" s="103"/>
      <c r="N611" s="103"/>
      <c r="O611" s="103"/>
      <c r="P611" s="100"/>
      <c r="U611" s="100"/>
      <c r="Z611" s="100"/>
      <c r="AE611" s="100"/>
      <c r="AJ611" s="100"/>
      <c r="AL611" s="78"/>
      <c r="AM611" s="78"/>
      <c r="AN611" s="100"/>
      <c r="AQ611" s="78"/>
      <c r="AR611" s="100"/>
      <c r="AT611" s="78"/>
      <c r="AU611" s="100"/>
      <c r="AX611" s="78"/>
      <c r="AY611" s="100"/>
      <c r="BC611" s="100"/>
      <c r="BF611" s="78"/>
      <c r="BG611" s="100"/>
      <c r="BJ611" s="78"/>
      <c r="BK611" s="100"/>
      <c r="BN611" s="100"/>
      <c r="BP611" s="104"/>
      <c r="BQ611" s="104"/>
    </row>
    <row r="612" spans="1:69" ht="12.75">
      <c r="A612" s="101"/>
      <c r="B612" s="1"/>
      <c r="F612" s="102"/>
      <c r="G612" s="1"/>
      <c r="K612" s="100"/>
      <c r="L612" s="103"/>
      <c r="M612" s="103"/>
      <c r="N612" s="103"/>
      <c r="O612" s="103"/>
      <c r="P612" s="100"/>
      <c r="U612" s="100"/>
      <c r="Z612" s="100"/>
      <c r="AE612" s="100"/>
      <c r="AJ612" s="100"/>
      <c r="AL612" s="78"/>
      <c r="AM612" s="78"/>
      <c r="AN612" s="100"/>
      <c r="AQ612" s="78"/>
      <c r="AR612" s="100"/>
      <c r="AT612" s="78"/>
      <c r="AU612" s="100"/>
      <c r="AX612" s="78"/>
      <c r="AY612" s="100"/>
      <c r="BC612" s="100"/>
      <c r="BF612" s="78"/>
      <c r="BG612" s="100"/>
      <c r="BJ612" s="78"/>
      <c r="BK612" s="100"/>
      <c r="BN612" s="100"/>
      <c r="BP612" s="104"/>
      <c r="BQ612" s="104"/>
    </row>
    <row r="613" spans="1:69" ht="12.75">
      <c r="A613" s="101"/>
      <c r="B613" s="1"/>
      <c r="F613" s="102"/>
      <c r="G613" s="1"/>
      <c r="K613" s="100"/>
      <c r="L613" s="103"/>
      <c r="M613" s="103"/>
      <c r="N613" s="103"/>
      <c r="O613" s="103"/>
      <c r="P613" s="100"/>
      <c r="U613" s="100"/>
      <c r="Z613" s="100"/>
      <c r="AE613" s="100"/>
      <c r="AJ613" s="100"/>
      <c r="AL613" s="78"/>
      <c r="AM613" s="78"/>
      <c r="AN613" s="100"/>
      <c r="AQ613" s="78"/>
      <c r="AR613" s="100"/>
      <c r="AT613" s="78"/>
      <c r="AU613" s="100"/>
      <c r="AX613" s="78"/>
      <c r="AY613" s="100"/>
      <c r="BC613" s="100"/>
      <c r="BF613" s="78"/>
      <c r="BG613" s="100"/>
      <c r="BJ613" s="78"/>
      <c r="BK613" s="100"/>
      <c r="BN613" s="100"/>
      <c r="BP613" s="104"/>
      <c r="BQ613" s="104"/>
    </row>
    <row r="614" spans="1:69" ht="12.75">
      <c r="A614" s="101"/>
      <c r="B614" s="1"/>
      <c r="F614" s="102"/>
      <c r="G614" s="1"/>
      <c r="K614" s="100"/>
      <c r="L614" s="103"/>
      <c r="M614" s="103"/>
      <c r="N614" s="103"/>
      <c r="O614" s="103"/>
      <c r="P614" s="100"/>
      <c r="U614" s="100"/>
      <c r="Z614" s="100"/>
      <c r="AE614" s="100"/>
      <c r="AJ614" s="100"/>
      <c r="AL614" s="78"/>
      <c r="AM614" s="78"/>
      <c r="AN614" s="100"/>
      <c r="AQ614" s="78"/>
      <c r="AR614" s="100"/>
      <c r="AT614" s="78"/>
      <c r="AU614" s="100"/>
      <c r="AX614" s="78"/>
      <c r="AY614" s="100"/>
      <c r="BC614" s="100"/>
      <c r="BF614" s="78"/>
      <c r="BG614" s="100"/>
      <c r="BJ614" s="78"/>
      <c r="BK614" s="100"/>
      <c r="BN614" s="100"/>
      <c r="BP614" s="104"/>
      <c r="BQ614" s="104"/>
    </row>
    <row r="615" spans="1:69" ht="12.75">
      <c r="A615" s="101"/>
      <c r="B615" s="1"/>
      <c r="F615" s="102"/>
      <c r="G615" s="1"/>
      <c r="K615" s="100"/>
      <c r="L615" s="103"/>
      <c r="M615" s="103"/>
      <c r="N615" s="103"/>
      <c r="O615" s="103"/>
      <c r="P615" s="100"/>
      <c r="U615" s="100"/>
      <c r="Z615" s="100"/>
      <c r="AE615" s="100"/>
      <c r="AJ615" s="100"/>
      <c r="AL615" s="78"/>
      <c r="AM615" s="78"/>
      <c r="AN615" s="100"/>
      <c r="AQ615" s="78"/>
      <c r="AR615" s="100"/>
      <c r="AT615" s="78"/>
      <c r="AU615" s="100"/>
      <c r="AX615" s="78"/>
      <c r="AY615" s="100"/>
      <c r="BC615" s="100"/>
      <c r="BF615" s="78"/>
      <c r="BG615" s="100"/>
      <c r="BJ615" s="78"/>
      <c r="BK615" s="100"/>
      <c r="BN615" s="100"/>
      <c r="BP615" s="104"/>
      <c r="BQ615" s="104"/>
    </row>
    <row r="616" spans="1:69" ht="12.75">
      <c r="A616" s="101"/>
      <c r="B616" s="1"/>
      <c r="F616" s="102"/>
      <c r="G616" s="1"/>
      <c r="K616" s="100"/>
      <c r="L616" s="103"/>
      <c r="M616" s="103"/>
      <c r="N616" s="103"/>
      <c r="O616" s="103"/>
      <c r="P616" s="100"/>
      <c r="U616" s="100"/>
      <c r="Z616" s="100"/>
      <c r="AE616" s="100"/>
      <c r="AJ616" s="100"/>
      <c r="AL616" s="78"/>
      <c r="AM616" s="78"/>
      <c r="AN616" s="100"/>
      <c r="AQ616" s="78"/>
      <c r="AR616" s="100"/>
      <c r="AT616" s="78"/>
      <c r="AU616" s="100"/>
      <c r="AX616" s="78"/>
      <c r="AY616" s="100"/>
      <c r="BC616" s="100"/>
      <c r="BF616" s="78"/>
      <c r="BG616" s="100"/>
      <c r="BJ616" s="78"/>
      <c r="BK616" s="100"/>
      <c r="BN616" s="100"/>
      <c r="BP616" s="104"/>
      <c r="BQ616" s="104"/>
    </row>
    <row r="617" spans="1:69" ht="12.75">
      <c r="A617" s="101"/>
      <c r="B617" s="1"/>
      <c r="F617" s="102"/>
      <c r="G617" s="1"/>
      <c r="K617" s="100"/>
      <c r="L617" s="103"/>
      <c r="M617" s="103"/>
      <c r="N617" s="103"/>
      <c r="O617" s="103"/>
      <c r="P617" s="100"/>
      <c r="U617" s="100"/>
      <c r="Z617" s="100"/>
      <c r="AE617" s="100"/>
      <c r="AJ617" s="100"/>
      <c r="AL617" s="78"/>
      <c r="AM617" s="78"/>
      <c r="AN617" s="100"/>
      <c r="AQ617" s="78"/>
      <c r="AR617" s="100"/>
      <c r="AT617" s="78"/>
      <c r="AU617" s="100"/>
      <c r="AX617" s="78"/>
      <c r="AY617" s="100"/>
      <c r="BC617" s="100"/>
      <c r="BF617" s="78"/>
      <c r="BG617" s="100"/>
      <c r="BJ617" s="78"/>
      <c r="BK617" s="100"/>
      <c r="BN617" s="100"/>
      <c r="BP617" s="104"/>
      <c r="BQ617" s="104"/>
    </row>
    <row r="618" spans="1:69" ht="12.75">
      <c r="A618" s="101"/>
      <c r="B618" s="1"/>
      <c r="F618" s="102"/>
      <c r="G618" s="1"/>
      <c r="K618" s="100"/>
      <c r="L618" s="103"/>
      <c r="M618" s="103"/>
      <c r="N618" s="103"/>
      <c r="O618" s="103"/>
      <c r="P618" s="100"/>
      <c r="U618" s="100"/>
      <c r="Z618" s="100"/>
      <c r="AE618" s="100"/>
      <c r="AJ618" s="100"/>
      <c r="AL618" s="78"/>
      <c r="AM618" s="78"/>
      <c r="AN618" s="100"/>
      <c r="AQ618" s="78"/>
      <c r="AR618" s="100"/>
      <c r="AT618" s="78"/>
      <c r="AU618" s="100"/>
      <c r="AX618" s="78"/>
      <c r="AY618" s="100"/>
      <c r="BC618" s="100"/>
      <c r="BF618" s="78"/>
      <c r="BG618" s="100"/>
      <c r="BJ618" s="78"/>
      <c r="BK618" s="100"/>
      <c r="BN618" s="100"/>
      <c r="BP618" s="104"/>
      <c r="BQ618" s="104"/>
    </row>
    <row r="619" spans="1:69" ht="12.75">
      <c r="A619" s="101"/>
      <c r="B619" s="1"/>
      <c r="F619" s="102"/>
      <c r="G619" s="1"/>
      <c r="K619" s="100"/>
      <c r="L619" s="103"/>
      <c r="M619" s="103"/>
      <c r="N619" s="103"/>
      <c r="O619" s="103"/>
      <c r="P619" s="100"/>
      <c r="U619" s="100"/>
      <c r="Z619" s="100"/>
      <c r="AE619" s="100"/>
      <c r="AJ619" s="100"/>
      <c r="AL619" s="78"/>
      <c r="AM619" s="78"/>
      <c r="AN619" s="100"/>
      <c r="AQ619" s="78"/>
      <c r="AR619" s="100"/>
      <c r="AT619" s="78"/>
      <c r="AU619" s="100"/>
      <c r="AX619" s="78"/>
      <c r="AY619" s="100"/>
      <c r="BC619" s="100"/>
      <c r="BF619" s="78"/>
      <c r="BG619" s="100"/>
      <c r="BJ619" s="78"/>
      <c r="BK619" s="100"/>
      <c r="BN619" s="100"/>
      <c r="BP619" s="104"/>
      <c r="BQ619" s="104"/>
    </row>
    <row r="620" spans="1:69" ht="12.75">
      <c r="A620" s="101"/>
      <c r="B620" s="1"/>
      <c r="F620" s="102"/>
      <c r="G620" s="1"/>
      <c r="K620" s="100"/>
      <c r="L620" s="103"/>
      <c r="M620" s="103"/>
      <c r="N620" s="103"/>
      <c r="O620" s="103"/>
      <c r="P620" s="100"/>
      <c r="U620" s="100"/>
      <c r="Z620" s="100"/>
      <c r="AE620" s="100"/>
      <c r="AJ620" s="100"/>
      <c r="AL620" s="78"/>
      <c r="AM620" s="78"/>
      <c r="AN620" s="100"/>
      <c r="AQ620" s="78"/>
      <c r="AR620" s="100"/>
      <c r="AT620" s="78"/>
      <c r="AU620" s="100"/>
      <c r="AX620" s="78"/>
      <c r="AY620" s="100"/>
      <c r="BC620" s="100"/>
      <c r="BF620" s="78"/>
      <c r="BG620" s="100"/>
      <c r="BJ620" s="78"/>
      <c r="BK620" s="100"/>
      <c r="BN620" s="100"/>
      <c r="BP620" s="104"/>
      <c r="BQ620" s="104"/>
    </row>
    <row r="621" spans="1:69" ht="12.75">
      <c r="A621" s="101"/>
      <c r="B621" s="1"/>
      <c r="F621" s="102"/>
      <c r="G621" s="1"/>
      <c r="K621" s="100"/>
      <c r="L621" s="103"/>
      <c r="M621" s="103"/>
      <c r="N621" s="103"/>
      <c r="O621" s="103"/>
      <c r="P621" s="100"/>
      <c r="U621" s="100"/>
      <c r="Z621" s="100"/>
      <c r="AE621" s="100"/>
      <c r="AJ621" s="100"/>
      <c r="AL621" s="78"/>
      <c r="AM621" s="78"/>
      <c r="AN621" s="100"/>
      <c r="AQ621" s="78"/>
      <c r="AR621" s="100"/>
      <c r="AT621" s="78"/>
      <c r="AU621" s="100"/>
      <c r="AX621" s="78"/>
      <c r="AY621" s="100"/>
      <c r="BC621" s="100"/>
      <c r="BF621" s="78"/>
      <c r="BG621" s="100"/>
      <c r="BJ621" s="78"/>
      <c r="BK621" s="100"/>
      <c r="BN621" s="100"/>
      <c r="BP621" s="104"/>
      <c r="BQ621" s="104"/>
    </row>
    <row r="622" spans="1:69" ht="12.75">
      <c r="A622" s="101"/>
      <c r="B622" s="1"/>
      <c r="F622" s="102"/>
      <c r="G622" s="1"/>
      <c r="K622" s="100"/>
      <c r="L622" s="103"/>
      <c r="M622" s="103"/>
      <c r="N622" s="103"/>
      <c r="O622" s="103"/>
      <c r="P622" s="100"/>
      <c r="U622" s="100"/>
      <c r="Z622" s="100"/>
      <c r="AE622" s="100"/>
      <c r="AJ622" s="100"/>
      <c r="AL622" s="78"/>
      <c r="AM622" s="78"/>
      <c r="AN622" s="100"/>
      <c r="AQ622" s="78"/>
      <c r="AR622" s="100"/>
      <c r="AT622" s="78"/>
      <c r="AU622" s="100"/>
      <c r="AX622" s="78"/>
      <c r="AY622" s="100"/>
      <c r="BC622" s="100"/>
      <c r="BF622" s="78"/>
      <c r="BG622" s="100"/>
      <c r="BJ622" s="78"/>
      <c r="BK622" s="100"/>
      <c r="BN622" s="100"/>
      <c r="BP622" s="104"/>
      <c r="BQ622" s="104"/>
    </row>
    <row r="623" spans="1:69" ht="12.75">
      <c r="A623" s="101"/>
      <c r="B623" s="1"/>
      <c r="F623" s="102"/>
      <c r="G623" s="1"/>
      <c r="K623" s="100"/>
      <c r="L623" s="103"/>
      <c r="M623" s="103"/>
      <c r="N623" s="103"/>
      <c r="O623" s="103"/>
      <c r="P623" s="100"/>
      <c r="U623" s="100"/>
      <c r="Z623" s="100"/>
      <c r="AE623" s="100"/>
      <c r="AJ623" s="100"/>
      <c r="AL623" s="78"/>
      <c r="AM623" s="78"/>
      <c r="AN623" s="100"/>
      <c r="AQ623" s="78"/>
      <c r="AR623" s="100"/>
      <c r="AT623" s="78"/>
      <c r="AU623" s="100"/>
      <c r="AX623" s="78"/>
      <c r="AY623" s="100"/>
      <c r="BC623" s="100"/>
      <c r="BF623" s="78"/>
      <c r="BG623" s="100"/>
      <c r="BJ623" s="78"/>
      <c r="BK623" s="100"/>
      <c r="BN623" s="100"/>
      <c r="BP623" s="104"/>
      <c r="BQ623" s="104"/>
    </row>
    <row r="624" spans="1:69" ht="12.75">
      <c r="A624" s="101"/>
      <c r="B624" s="1"/>
      <c r="F624" s="102"/>
      <c r="G624" s="1"/>
      <c r="K624" s="100"/>
      <c r="L624" s="103"/>
      <c r="M624" s="103"/>
      <c r="N624" s="103"/>
      <c r="O624" s="103"/>
      <c r="P624" s="100"/>
      <c r="U624" s="100"/>
      <c r="Z624" s="100"/>
      <c r="AE624" s="100"/>
      <c r="AJ624" s="100"/>
      <c r="AL624" s="78"/>
      <c r="AM624" s="78"/>
      <c r="AN624" s="100"/>
      <c r="AQ624" s="78"/>
      <c r="AR624" s="100"/>
      <c r="AT624" s="78"/>
      <c r="AU624" s="100"/>
      <c r="AX624" s="78"/>
      <c r="AY624" s="100"/>
      <c r="BC624" s="100"/>
      <c r="BF624" s="78"/>
      <c r="BG624" s="100"/>
      <c r="BJ624" s="78"/>
      <c r="BK624" s="100"/>
      <c r="BN624" s="100"/>
      <c r="BP624" s="104"/>
      <c r="BQ624" s="104"/>
    </row>
    <row r="625" spans="1:69" ht="12.75">
      <c r="A625" s="101"/>
      <c r="B625" s="1"/>
      <c r="F625" s="102"/>
      <c r="G625" s="1"/>
      <c r="K625" s="100"/>
      <c r="L625" s="103"/>
      <c r="M625" s="103"/>
      <c r="N625" s="103"/>
      <c r="O625" s="103"/>
      <c r="P625" s="100"/>
      <c r="U625" s="100"/>
      <c r="Z625" s="100"/>
      <c r="AE625" s="100"/>
      <c r="AJ625" s="100"/>
      <c r="AL625" s="78"/>
      <c r="AM625" s="78"/>
      <c r="AN625" s="100"/>
      <c r="AQ625" s="78"/>
      <c r="AR625" s="100"/>
      <c r="AT625" s="78"/>
      <c r="AU625" s="100"/>
      <c r="AX625" s="78"/>
      <c r="AY625" s="100"/>
      <c r="BC625" s="100"/>
      <c r="BF625" s="78"/>
      <c r="BG625" s="100"/>
      <c r="BJ625" s="78"/>
      <c r="BK625" s="100"/>
      <c r="BN625" s="100"/>
      <c r="BP625" s="104"/>
      <c r="BQ625" s="104"/>
    </row>
    <row r="626" spans="1:69" ht="12.75">
      <c r="A626" s="101"/>
      <c r="B626" s="1"/>
      <c r="F626" s="102"/>
      <c r="G626" s="1"/>
      <c r="K626" s="100"/>
      <c r="L626" s="103"/>
      <c r="M626" s="103"/>
      <c r="N626" s="103"/>
      <c r="O626" s="103"/>
      <c r="P626" s="100"/>
      <c r="U626" s="100"/>
      <c r="Z626" s="100"/>
      <c r="AE626" s="100"/>
      <c r="AJ626" s="100"/>
      <c r="AL626" s="78"/>
      <c r="AM626" s="78"/>
      <c r="AN626" s="100"/>
      <c r="AQ626" s="78"/>
      <c r="AR626" s="100"/>
      <c r="AT626" s="78"/>
      <c r="AU626" s="100"/>
      <c r="AX626" s="78"/>
      <c r="AY626" s="100"/>
      <c r="BC626" s="100"/>
      <c r="BF626" s="78"/>
      <c r="BG626" s="100"/>
      <c r="BJ626" s="78"/>
      <c r="BK626" s="100"/>
      <c r="BN626" s="100"/>
      <c r="BP626" s="104"/>
      <c r="BQ626" s="104"/>
    </row>
    <row r="627" spans="1:69" ht="12.75">
      <c r="A627" s="101"/>
      <c r="B627" s="1"/>
      <c r="F627" s="102"/>
      <c r="G627" s="1"/>
      <c r="K627" s="100"/>
      <c r="L627" s="103"/>
      <c r="M627" s="103"/>
      <c r="N627" s="103"/>
      <c r="O627" s="103"/>
      <c r="P627" s="100"/>
      <c r="U627" s="100"/>
      <c r="Z627" s="100"/>
      <c r="AE627" s="100"/>
      <c r="AJ627" s="100"/>
      <c r="AL627" s="78"/>
      <c r="AM627" s="78"/>
      <c r="AN627" s="100"/>
      <c r="AQ627" s="78"/>
      <c r="AR627" s="100"/>
      <c r="AT627" s="78"/>
      <c r="AU627" s="100"/>
      <c r="AX627" s="78"/>
      <c r="AY627" s="100"/>
      <c r="BC627" s="100"/>
      <c r="BF627" s="78"/>
      <c r="BG627" s="100"/>
      <c r="BJ627" s="78"/>
      <c r="BK627" s="100"/>
      <c r="BN627" s="100"/>
      <c r="BP627" s="104"/>
      <c r="BQ627" s="104"/>
    </row>
    <row r="628" spans="1:69" ht="12.75">
      <c r="A628" s="101"/>
      <c r="B628" s="1"/>
      <c r="F628" s="102"/>
      <c r="G628" s="1"/>
      <c r="K628" s="100"/>
      <c r="L628" s="103"/>
      <c r="M628" s="103"/>
      <c r="N628" s="103"/>
      <c r="O628" s="103"/>
      <c r="P628" s="100"/>
      <c r="U628" s="100"/>
      <c r="Z628" s="100"/>
      <c r="AE628" s="100"/>
      <c r="AJ628" s="100"/>
      <c r="AL628" s="78"/>
      <c r="AM628" s="78"/>
      <c r="AN628" s="100"/>
      <c r="AQ628" s="78"/>
      <c r="AR628" s="100"/>
      <c r="AT628" s="78"/>
      <c r="AU628" s="100"/>
      <c r="AX628" s="78"/>
      <c r="AY628" s="100"/>
      <c r="BC628" s="100"/>
      <c r="BF628" s="78"/>
      <c r="BG628" s="100"/>
      <c r="BJ628" s="78"/>
      <c r="BK628" s="100"/>
      <c r="BN628" s="100"/>
      <c r="BP628" s="104"/>
      <c r="BQ628" s="104"/>
    </row>
    <row r="629" spans="1:69" ht="12.75">
      <c r="A629" s="101"/>
      <c r="B629" s="1"/>
      <c r="F629" s="102"/>
      <c r="G629" s="1"/>
      <c r="K629" s="100"/>
      <c r="L629" s="103"/>
      <c r="M629" s="103"/>
      <c r="N629" s="103"/>
      <c r="O629" s="103"/>
      <c r="P629" s="100"/>
      <c r="U629" s="100"/>
      <c r="Z629" s="100"/>
      <c r="AE629" s="100"/>
      <c r="AJ629" s="100"/>
      <c r="AL629" s="78"/>
      <c r="AM629" s="78"/>
      <c r="AN629" s="100"/>
      <c r="AQ629" s="78"/>
      <c r="AR629" s="100"/>
      <c r="AT629" s="78"/>
      <c r="AU629" s="100"/>
      <c r="AX629" s="78"/>
      <c r="AY629" s="100"/>
      <c r="BC629" s="100"/>
      <c r="BF629" s="78"/>
      <c r="BG629" s="100"/>
      <c r="BJ629" s="78"/>
      <c r="BK629" s="100"/>
      <c r="BN629" s="100"/>
      <c r="BP629" s="104"/>
      <c r="BQ629" s="104"/>
    </row>
    <row r="630" spans="1:69" ht="12.75">
      <c r="A630" s="101"/>
      <c r="B630" s="1"/>
      <c r="F630" s="102"/>
      <c r="G630" s="1"/>
      <c r="K630" s="100"/>
      <c r="L630" s="103"/>
      <c r="M630" s="103"/>
      <c r="N630" s="103"/>
      <c r="O630" s="103"/>
      <c r="P630" s="100"/>
      <c r="U630" s="100"/>
      <c r="Z630" s="100"/>
      <c r="AE630" s="100"/>
      <c r="AJ630" s="100"/>
      <c r="AL630" s="78"/>
      <c r="AM630" s="78"/>
      <c r="AN630" s="100"/>
      <c r="AQ630" s="78"/>
      <c r="AR630" s="100"/>
      <c r="AT630" s="78"/>
      <c r="AU630" s="100"/>
      <c r="AX630" s="78"/>
      <c r="AY630" s="100"/>
      <c r="BC630" s="100"/>
      <c r="BF630" s="78"/>
      <c r="BG630" s="100"/>
      <c r="BJ630" s="78"/>
      <c r="BK630" s="100"/>
      <c r="BN630" s="100"/>
      <c r="BP630" s="104"/>
      <c r="BQ630" s="104"/>
    </row>
    <row r="631" spans="1:69" ht="12.75">
      <c r="A631" s="101"/>
      <c r="B631" s="1"/>
      <c r="F631" s="102"/>
      <c r="G631" s="1"/>
      <c r="K631" s="100"/>
      <c r="L631" s="103"/>
      <c r="M631" s="103"/>
      <c r="N631" s="103"/>
      <c r="O631" s="103"/>
      <c r="P631" s="100"/>
      <c r="U631" s="100"/>
      <c r="Z631" s="100"/>
      <c r="AE631" s="100"/>
      <c r="AJ631" s="100"/>
      <c r="AL631" s="78"/>
      <c r="AM631" s="78"/>
      <c r="AN631" s="100"/>
      <c r="AQ631" s="78"/>
      <c r="AR631" s="100"/>
      <c r="AT631" s="78"/>
      <c r="AU631" s="100"/>
      <c r="AX631" s="78"/>
      <c r="AY631" s="100"/>
      <c r="BC631" s="100"/>
      <c r="BF631" s="78"/>
      <c r="BG631" s="100"/>
      <c r="BJ631" s="78"/>
      <c r="BK631" s="100"/>
      <c r="BN631" s="100"/>
      <c r="BP631" s="104"/>
      <c r="BQ631" s="104"/>
    </row>
    <row r="632" spans="1:69" ht="12.75">
      <c r="A632" s="101"/>
      <c r="B632" s="1"/>
      <c r="F632" s="102"/>
      <c r="G632" s="1"/>
      <c r="K632" s="100"/>
      <c r="L632" s="103"/>
      <c r="M632" s="103"/>
      <c r="N632" s="103"/>
      <c r="O632" s="103"/>
      <c r="P632" s="100"/>
      <c r="U632" s="100"/>
      <c r="Z632" s="100"/>
      <c r="AE632" s="100"/>
      <c r="AJ632" s="100"/>
      <c r="AL632" s="78"/>
      <c r="AM632" s="78"/>
      <c r="AN632" s="100"/>
      <c r="AQ632" s="78"/>
      <c r="AR632" s="100"/>
      <c r="AT632" s="78"/>
      <c r="AU632" s="100"/>
      <c r="AX632" s="78"/>
      <c r="AY632" s="100"/>
      <c r="BC632" s="100"/>
      <c r="BF632" s="78"/>
      <c r="BG632" s="100"/>
      <c r="BJ632" s="78"/>
      <c r="BK632" s="100"/>
      <c r="BN632" s="100"/>
      <c r="BP632" s="104"/>
      <c r="BQ632" s="104"/>
    </row>
    <row r="633" spans="1:69" ht="12.75">
      <c r="A633" s="101"/>
      <c r="B633" s="1"/>
      <c r="F633" s="102"/>
      <c r="G633" s="1"/>
      <c r="K633" s="100"/>
      <c r="L633" s="103"/>
      <c r="M633" s="103"/>
      <c r="N633" s="103"/>
      <c r="O633" s="103"/>
      <c r="P633" s="100"/>
      <c r="U633" s="100"/>
      <c r="Z633" s="100"/>
      <c r="AE633" s="100"/>
      <c r="AJ633" s="100"/>
      <c r="AL633" s="78"/>
      <c r="AM633" s="78"/>
      <c r="AN633" s="100"/>
      <c r="AQ633" s="78"/>
      <c r="AR633" s="100"/>
      <c r="AT633" s="78"/>
      <c r="AU633" s="100"/>
      <c r="AX633" s="78"/>
      <c r="AY633" s="100"/>
      <c r="BC633" s="100"/>
      <c r="BF633" s="78"/>
      <c r="BG633" s="100"/>
      <c r="BJ633" s="78"/>
      <c r="BK633" s="100"/>
      <c r="BN633" s="100"/>
      <c r="BP633" s="104"/>
      <c r="BQ633" s="104"/>
    </row>
    <row r="634" spans="1:69" ht="12.75">
      <c r="A634" s="101"/>
      <c r="B634" s="1"/>
      <c r="F634" s="102"/>
      <c r="G634" s="1"/>
      <c r="K634" s="100"/>
      <c r="L634" s="103"/>
      <c r="M634" s="103"/>
      <c r="N634" s="103"/>
      <c r="O634" s="103"/>
      <c r="P634" s="100"/>
      <c r="U634" s="100"/>
      <c r="Z634" s="100"/>
      <c r="AE634" s="100"/>
      <c r="AJ634" s="100"/>
      <c r="AL634" s="78"/>
      <c r="AM634" s="78"/>
      <c r="AN634" s="100"/>
      <c r="AQ634" s="78"/>
      <c r="AR634" s="100"/>
      <c r="AT634" s="78"/>
      <c r="AU634" s="100"/>
      <c r="AX634" s="78"/>
      <c r="AY634" s="100"/>
      <c r="BC634" s="100"/>
      <c r="BF634" s="78"/>
      <c r="BG634" s="100"/>
      <c r="BJ634" s="78"/>
      <c r="BK634" s="100"/>
      <c r="BN634" s="100"/>
      <c r="BP634" s="104"/>
      <c r="BQ634" s="104"/>
    </row>
    <row r="635" spans="1:69" ht="12.75">
      <c r="A635" s="101"/>
      <c r="B635" s="1"/>
      <c r="F635" s="102"/>
      <c r="G635" s="1"/>
      <c r="K635" s="100"/>
      <c r="L635" s="103"/>
      <c r="M635" s="103"/>
      <c r="N635" s="103"/>
      <c r="O635" s="103"/>
      <c r="P635" s="100"/>
      <c r="U635" s="100"/>
      <c r="Z635" s="100"/>
      <c r="AE635" s="100"/>
      <c r="AJ635" s="100"/>
      <c r="AL635" s="78"/>
      <c r="AM635" s="78"/>
      <c r="AN635" s="100"/>
      <c r="AQ635" s="78"/>
      <c r="AR635" s="100"/>
      <c r="AT635" s="78"/>
      <c r="AU635" s="100"/>
      <c r="AX635" s="78"/>
      <c r="AY635" s="100"/>
      <c r="BC635" s="100"/>
      <c r="BF635" s="78"/>
      <c r="BG635" s="100"/>
      <c r="BJ635" s="78"/>
      <c r="BK635" s="100"/>
      <c r="BN635" s="100"/>
      <c r="BP635" s="104"/>
      <c r="BQ635" s="104"/>
    </row>
    <row r="636" spans="1:69" ht="12.75">
      <c r="A636" s="101"/>
      <c r="B636" s="1"/>
      <c r="F636" s="102"/>
      <c r="G636" s="1"/>
      <c r="K636" s="100"/>
      <c r="L636" s="103"/>
      <c r="M636" s="103"/>
      <c r="N636" s="103"/>
      <c r="O636" s="103"/>
      <c r="P636" s="100"/>
      <c r="U636" s="100"/>
      <c r="Z636" s="100"/>
      <c r="AE636" s="100"/>
      <c r="AJ636" s="100"/>
      <c r="AL636" s="78"/>
      <c r="AM636" s="78"/>
      <c r="AN636" s="100"/>
      <c r="AQ636" s="78"/>
      <c r="AR636" s="100"/>
      <c r="AT636" s="78"/>
      <c r="AU636" s="100"/>
      <c r="AX636" s="78"/>
      <c r="AY636" s="100"/>
      <c r="BC636" s="100"/>
      <c r="BF636" s="78"/>
      <c r="BG636" s="100"/>
      <c r="BJ636" s="78"/>
      <c r="BK636" s="100"/>
      <c r="BN636" s="100"/>
      <c r="BP636" s="104"/>
      <c r="BQ636" s="104"/>
    </row>
    <row r="637" spans="1:69" ht="12.75">
      <c r="A637" s="101"/>
      <c r="B637" s="1"/>
      <c r="F637" s="102"/>
      <c r="G637" s="1"/>
      <c r="K637" s="100"/>
      <c r="L637" s="103"/>
      <c r="M637" s="103"/>
      <c r="N637" s="103"/>
      <c r="O637" s="103"/>
      <c r="P637" s="100"/>
      <c r="U637" s="100"/>
      <c r="Z637" s="100"/>
      <c r="AE637" s="100"/>
      <c r="AJ637" s="100"/>
      <c r="AL637" s="78"/>
      <c r="AM637" s="78"/>
      <c r="AN637" s="100"/>
      <c r="AQ637" s="78"/>
      <c r="AR637" s="100"/>
      <c r="AT637" s="78"/>
      <c r="AU637" s="100"/>
      <c r="AX637" s="78"/>
      <c r="AY637" s="100"/>
      <c r="BC637" s="100"/>
      <c r="BF637" s="78"/>
      <c r="BG637" s="100"/>
      <c r="BJ637" s="78"/>
      <c r="BK637" s="100"/>
      <c r="BN637" s="100"/>
      <c r="BP637" s="104"/>
      <c r="BQ637" s="104"/>
    </row>
    <row r="638" spans="1:69" ht="12.75">
      <c r="A638" s="101"/>
      <c r="B638" s="1"/>
      <c r="F638" s="102"/>
      <c r="G638" s="1"/>
      <c r="K638" s="100"/>
      <c r="L638" s="103"/>
      <c r="M638" s="103"/>
      <c r="N638" s="103"/>
      <c r="O638" s="103"/>
      <c r="P638" s="100"/>
      <c r="U638" s="100"/>
      <c r="Z638" s="100"/>
      <c r="AE638" s="100"/>
      <c r="AJ638" s="100"/>
      <c r="AL638" s="78"/>
      <c r="AM638" s="78"/>
      <c r="AN638" s="100"/>
      <c r="AQ638" s="78"/>
      <c r="AR638" s="100"/>
      <c r="AT638" s="78"/>
      <c r="AU638" s="100"/>
      <c r="AX638" s="78"/>
      <c r="AY638" s="100"/>
      <c r="BC638" s="100"/>
      <c r="BF638" s="78"/>
      <c r="BG638" s="100"/>
      <c r="BJ638" s="78"/>
      <c r="BK638" s="100"/>
      <c r="BN638" s="100"/>
      <c r="BP638" s="104"/>
      <c r="BQ638" s="104"/>
    </row>
    <row r="639" spans="1:69" ht="12.75">
      <c r="A639" s="101"/>
      <c r="B639" s="1"/>
      <c r="F639" s="102"/>
      <c r="G639" s="1"/>
      <c r="K639" s="100"/>
      <c r="L639" s="103"/>
      <c r="M639" s="103"/>
      <c r="N639" s="103"/>
      <c r="O639" s="103"/>
      <c r="P639" s="100"/>
      <c r="U639" s="100"/>
      <c r="Z639" s="100"/>
      <c r="AE639" s="100"/>
      <c r="AJ639" s="100"/>
      <c r="AL639" s="78"/>
      <c r="AM639" s="78"/>
      <c r="AN639" s="100"/>
      <c r="AQ639" s="78"/>
      <c r="AR639" s="100"/>
      <c r="AT639" s="78"/>
      <c r="AU639" s="100"/>
      <c r="AX639" s="78"/>
      <c r="AY639" s="100"/>
      <c r="BC639" s="100"/>
      <c r="BF639" s="78"/>
      <c r="BG639" s="100"/>
      <c r="BJ639" s="78"/>
      <c r="BK639" s="100"/>
      <c r="BN639" s="100"/>
      <c r="BP639" s="104"/>
      <c r="BQ639" s="104"/>
    </row>
    <row r="640" spans="1:69" ht="12.75">
      <c r="A640" s="101"/>
      <c r="B640" s="1"/>
      <c r="F640" s="102"/>
      <c r="G640" s="1"/>
      <c r="K640" s="100"/>
      <c r="L640" s="103"/>
      <c r="M640" s="103"/>
      <c r="N640" s="103"/>
      <c r="O640" s="103"/>
      <c r="P640" s="100"/>
      <c r="U640" s="100"/>
      <c r="Z640" s="100"/>
      <c r="AE640" s="100"/>
      <c r="AJ640" s="100"/>
      <c r="AL640" s="78"/>
      <c r="AM640" s="78"/>
      <c r="AN640" s="100"/>
      <c r="AQ640" s="78"/>
      <c r="AR640" s="100"/>
      <c r="AT640" s="78"/>
      <c r="AU640" s="100"/>
      <c r="AX640" s="78"/>
      <c r="AY640" s="100"/>
      <c r="BC640" s="100"/>
      <c r="BF640" s="78"/>
      <c r="BG640" s="100"/>
      <c r="BJ640" s="78"/>
      <c r="BK640" s="100"/>
      <c r="BN640" s="100"/>
      <c r="BP640" s="104"/>
      <c r="BQ640" s="104"/>
    </row>
    <row r="641" spans="1:69" ht="12.75">
      <c r="A641" s="101"/>
      <c r="B641" s="1"/>
      <c r="F641" s="102"/>
      <c r="G641" s="1"/>
      <c r="K641" s="100"/>
      <c r="L641" s="103"/>
      <c r="M641" s="103"/>
      <c r="N641" s="103"/>
      <c r="O641" s="103"/>
      <c r="P641" s="100"/>
      <c r="U641" s="100"/>
      <c r="Z641" s="100"/>
      <c r="AE641" s="100"/>
      <c r="AJ641" s="100"/>
      <c r="AL641" s="78"/>
      <c r="AM641" s="78"/>
      <c r="AN641" s="100"/>
      <c r="AQ641" s="78"/>
      <c r="AR641" s="100"/>
      <c r="AT641" s="78"/>
      <c r="AU641" s="100"/>
      <c r="AX641" s="78"/>
      <c r="AY641" s="100"/>
      <c r="BC641" s="100"/>
      <c r="BF641" s="78"/>
      <c r="BG641" s="100"/>
      <c r="BJ641" s="78"/>
      <c r="BK641" s="100"/>
      <c r="BN641" s="100"/>
      <c r="BP641" s="104"/>
      <c r="BQ641" s="104"/>
    </row>
    <row r="642" spans="1:69" ht="12.75">
      <c r="A642" s="101"/>
      <c r="B642" s="1"/>
      <c r="F642" s="102"/>
      <c r="G642" s="1"/>
      <c r="K642" s="100"/>
      <c r="L642" s="103"/>
      <c r="M642" s="103"/>
      <c r="N642" s="103"/>
      <c r="O642" s="103"/>
      <c r="P642" s="100"/>
      <c r="U642" s="100"/>
      <c r="Z642" s="100"/>
      <c r="AE642" s="100"/>
      <c r="AJ642" s="100"/>
      <c r="AL642" s="78"/>
      <c r="AM642" s="78"/>
      <c r="AN642" s="100"/>
      <c r="AQ642" s="78"/>
      <c r="AR642" s="100"/>
      <c r="AT642" s="78"/>
      <c r="AU642" s="100"/>
      <c r="AX642" s="78"/>
      <c r="AY642" s="100"/>
      <c r="BC642" s="100"/>
      <c r="BF642" s="78"/>
      <c r="BG642" s="100"/>
      <c r="BJ642" s="78"/>
      <c r="BK642" s="100"/>
      <c r="BN642" s="100"/>
      <c r="BP642" s="104"/>
      <c r="BQ642" s="104"/>
    </row>
    <row r="643" spans="1:69" ht="12.75">
      <c r="A643" s="101"/>
      <c r="B643" s="1"/>
      <c r="F643" s="102"/>
      <c r="G643" s="1"/>
      <c r="K643" s="100"/>
      <c r="L643" s="103"/>
      <c r="M643" s="103"/>
      <c r="N643" s="103"/>
      <c r="O643" s="103"/>
      <c r="P643" s="100"/>
      <c r="U643" s="100"/>
      <c r="Z643" s="100"/>
      <c r="AE643" s="100"/>
      <c r="AJ643" s="100"/>
      <c r="AL643" s="78"/>
      <c r="AM643" s="78"/>
      <c r="AN643" s="100"/>
      <c r="AQ643" s="78"/>
      <c r="AR643" s="100"/>
      <c r="AT643" s="78"/>
      <c r="AU643" s="100"/>
      <c r="AX643" s="78"/>
      <c r="AY643" s="100"/>
      <c r="BC643" s="100"/>
      <c r="BF643" s="78"/>
      <c r="BG643" s="100"/>
      <c r="BJ643" s="78"/>
      <c r="BK643" s="100"/>
      <c r="BN643" s="100"/>
      <c r="BP643" s="104"/>
      <c r="BQ643" s="104"/>
    </row>
    <row r="644" spans="1:69" ht="12.75">
      <c r="A644" s="101"/>
      <c r="B644" s="1"/>
      <c r="F644" s="102"/>
      <c r="G644" s="1"/>
      <c r="K644" s="100"/>
      <c r="L644" s="103"/>
      <c r="M644" s="103"/>
      <c r="N644" s="103"/>
      <c r="O644" s="103"/>
      <c r="P644" s="100"/>
      <c r="U644" s="100"/>
      <c r="Z644" s="100"/>
      <c r="AE644" s="100"/>
      <c r="AJ644" s="100"/>
      <c r="AL644" s="78"/>
      <c r="AM644" s="78"/>
      <c r="AN644" s="100"/>
      <c r="AQ644" s="78"/>
      <c r="AR644" s="100"/>
      <c r="AT644" s="78"/>
      <c r="AU644" s="100"/>
      <c r="AX644" s="78"/>
      <c r="AY644" s="100"/>
      <c r="BC644" s="100"/>
      <c r="BF644" s="78"/>
      <c r="BG644" s="100"/>
      <c r="BJ644" s="78"/>
      <c r="BK644" s="100"/>
      <c r="BN644" s="100"/>
      <c r="BP644" s="104"/>
      <c r="BQ644" s="104"/>
    </row>
    <row r="645" spans="1:69" ht="12.75">
      <c r="A645" s="101"/>
      <c r="B645" s="1"/>
      <c r="F645" s="102"/>
      <c r="G645" s="1"/>
      <c r="K645" s="100"/>
      <c r="L645" s="103"/>
      <c r="M645" s="103"/>
      <c r="N645" s="103"/>
      <c r="O645" s="103"/>
      <c r="P645" s="100"/>
      <c r="U645" s="100"/>
      <c r="Z645" s="100"/>
      <c r="AE645" s="100"/>
      <c r="AJ645" s="100"/>
      <c r="AL645" s="78"/>
      <c r="AM645" s="78"/>
      <c r="AN645" s="100"/>
      <c r="AQ645" s="78"/>
      <c r="AR645" s="100"/>
      <c r="AT645" s="78"/>
      <c r="AU645" s="100"/>
      <c r="AX645" s="78"/>
      <c r="AY645" s="100"/>
      <c r="BC645" s="100"/>
      <c r="BF645" s="78"/>
      <c r="BG645" s="100"/>
      <c r="BJ645" s="78"/>
      <c r="BK645" s="100"/>
      <c r="BN645" s="100"/>
      <c r="BP645" s="104"/>
      <c r="BQ645" s="104"/>
    </row>
    <row r="646" spans="1:69" ht="12.75">
      <c r="A646" s="101"/>
      <c r="B646" s="1"/>
      <c r="F646" s="102"/>
      <c r="G646" s="1"/>
      <c r="K646" s="100"/>
      <c r="L646" s="103"/>
      <c r="M646" s="103"/>
      <c r="N646" s="103"/>
      <c r="O646" s="103"/>
      <c r="P646" s="100"/>
      <c r="U646" s="100"/>
      <c r="Z646" s="100"/>
      <c r="AE646" s="100"/>
      <c r="AJ646" s="100"/>
      <c r="AL646" s="78"/>
      <c r="AM646" s="78"/>
      <c r="AN646" s="100"/>
      <c r="AQ646" s="78"/>
      <c r="AR646" s="100"/>
      <c r="AT646" s="78"/>
      <c r="AU646" s="100"/>
      <c r="AX646" s="78"/>
      <c r="AY646" s="100"/>
      <c r="BC646" s="100"/>
      <c r="BF646" s="78"/>
      <c r="BG646" s="100"/>
      <c r="BJ646" s="78"/>
      <c r="BK646" s="100"/>
      <c r="BN646" s="100"/>
      <c r="BP646" s="104"/>
      <c r="BQ646" s="104"/>
    </row>
    <row r="647" spans="1:69" ht="12.75">
      <c r="A647" s="101"/>
      <c r="B647" s="1"/>
      <c r="F647" s="102"/>
      <c r="G647" s="1"/>
      <c r="K647" s="100"/>
      <c r="L647" s="103"/>
      <c r="M647" s="103"/>
      <c r="N647" s="103"/>
      <c r="O647" s="103"/>
      <c r="P647" s="100"/>
      <c r="U647" s="100"/>
      <c r="Z647" s="100"/>
      <c r="AE647" s="100"/>
      <c r="AJ647" s="100"/>
      <c r="AL647" s="78"/>
      <c r="AM647" s="78"/>
      <c r="AN647" s="100"/>
      <c r="AQ647" s="78"/>
      <c r="AR647" s="100"/>
      <c r="AT647" s="78"/>
      <c r="AU647" s="100"/>
      <c r="AX647" s="78"/>
      <c r="AY647" s="100"/>
      <c r="BC647" s="100"/>
      <c r="BF647" s="78"/>
      <c r="BG647" s="100"/>
      <c r="BJ647" s="78"/>
      <c r="BK647" s="100"/>
      <c r="BN647" s="100"/>
      <c r="BP647" s="104"/>
      <c r="BQ647" s="104"/>
    </row>
    <row r="648" spans="1:69" ht="12.75">
      <c r="A648" s="101"/>
      <c r="B648" s="1"/>
      <c r="F648" s="102"/>
      <c r="G648" s="1"/>
      <c r="K648" s="100"/>
      <c r="L648" s="103"/>
      <c r="M648" s="103"/>
      <c r="N648" s="103"/>
      <c r="O648" s="103"/>
      <c r="P648" s="100"/>
      <c r="U648" s="100"/>
      <c r="Z648" s="100"/>
      <c r="AE648" s="100"/>
      <c r="AJ648" s="100"/>
      <c r="AL648" s="78"/>
      <c r="AM648" s="78"/>
      <c r="AN648" s="100"/>
      <c r="AQ648" s="78"/>
      <c r="AR648" s="100"/>
      <c r="AT648" s="78"/>
      <c r="AU648" s="100"/>
      <c r="AX648" s="78"/>
      <c r="AY648" s="100"/>
      <c r="BC648" s="100"/>
      <c r="BF648" s="78"/>
      <c r="BG648" s="100"/>
      <c r="BJ648" s="78"/>
      <c r="BK648" s="100"/>
      <c r="BN648" s="100"/>
      <c r="BP648" s="104"/>
      <c r="BQ648" s="104"/>
    </row>
    <row r="649" spans="1:69" ht="12.75">
      <c r="A649" s="101"/>
      <c r="B649" s="1"/>
      <c r="F649" s="102"/>
      <c r="G649" s="1"/>
      <c r="K649" s="100"/>
      <c r="L649" s="103"/>
      <c r="M649" s="103"/>
      <c r="N649" s="103"/>
      <c r="O649" s="103"/>
      <c r="P649" s="100"/>
      <c r="U649" s="100"/>
      <c r="Z649" s="100"/>
      <c r="AE649" s="100"/>
      <c r="AJ649" s="100"/>
      <c r="AL649" s="78"/>
      <c r="AM649" s="78"/>
      <c r="AN649" s="100"/>
      <c r="AQ649" s="78"/>
      <c r="AR649" s="100"/>
      <c r="AT649" s="78"/>
      <c r="AU649" s="100"/>
      <c r="AX649" s="78"/>
      <c r="AY649" s="100"/>
      <c r="BC649" s="100"/>
      <c r="BF649" s="78"/>
      <c r="BG649" s="100"/>
      <c r="BJ649" s="78"/>
      <c r="BK649" s="100"/>
      <c r="BN649" s="100"/>
      <c r="BP649" s="104"/>
      <c r="BQ649" s="104"/>
    </row>
    <row r="650" spans="1:69" ht="12.75">
      <c r="A650" s="101"/>
      <c r="B650" s="1"/>
      <c r="F650" s="102"/>
      <c r="G650" s="1"/>
      <c r="K650" s="100"/>
      <c r="L650" s="103"/>
      <c r="M650" s="103"/>
      <c r="N650" s="103"/>
      <c r="O650" s="103"/>
      <c r="P650" s="100"/>
      <c r="U650" s="100"/>
      <c r="Z650" s="100"/>
      <c r="AE650" s="100"/>
      <c r="AJ650" s="100"/>
      <c r="AL650" s="78"/>
      <c r="AM650" s="78"/>
      <c r="AN650" s="100"/>
      <c r="AQ650" s="78"/>
      <c r="AR650" s="100"/>
      <c r="AT650" s="78"/>
      <c r="AU650" s="100"/>
      <c r="AX650" s="78"/>
      <c r="AY650" s="100"/>
      <c r="BC650" s="100"/>
      <c r="BF650" s="78"/>
      <c r="BG650" s="100"/>
      <c r="BJ650" s="78"/>
      <c r="BK650" s="100"/>
      <c r="BN650" s="100"/>
      <c r="BP650" s="104"/>
      <c r="BQ650" s="104"/>
    </row>
    <row r="651" spans="1:69" ht="12.75">
      <c r="A651" s="101"/>
      <c r="B651" s="1"/>
      <c r="F651" s="102"/>
      <c r="G651" s="1"/>
      <c r="K651" s="100"/>
      <c r="L651" s="103"/>
      <c r="M651" s="103"/>
      <c r="N651" s="103"/>
      <c r="O651" s="103"/>
      <c r="P651" s="100"/>
      <c r="U651" s="100"/>
      <c r="Z651" s="100"/>
      <c r="AE651" s="100"/>
      <c r="AJ651" s="100"/>
      <c r="AL651" s="78"/>
      <c r="AM651" s="78"/>
      <c r="AN651" s="100"/>
      <c r="AQ651" s="78"/>
      <c r="AR651" s="100"/>
      <c r="AT651" s="78"/>
      <c r="AU651" s="100"/>
      <c r="AX651" s="78"/>
      <c r="AY651" s="100"/>
      <c r="BC651" s="100"/>
      <c r="BF651" s="78"/>
      <c r="BG651" s="100"/>
      <c r="BJ651" s="78"/>
      <c r="BK651" s="100"/>
      <c r="BN651" s="100"/>
      <c r="BP651" s="104"/>
      <c r="BQ651" s="104"/>
    </row>
    <row r="652" spans="1:69" ht="12.75">
      <c r="A652" s="101"/>
      <c r="B652" s="1"/>
      <c r="F652" s="102"/>
      <c r="G652" s="1"/>
      <c r="K652" s="100"/>
      <c r="L652" s="103"/>
      <c r="M652" s="103"/>
      <c r="N652" s="103"/>
      <c r="O652" s="103"/>
      <c r="P652" s="100"/>
      <c r="U652" s="100"/>
      <c r="Z652" s="100"/>
      <c r="AE652" s="100"/>
      <c r="AJ652" s="100"/>
      <c r="AL652" s="78"/>
      <c r="AM652" s="78"/>
      <c r="AN652" s="100"/>
      <c r="AQ652" s="78"/>
      <c r="AR652" s="100"/>
      <c r="AT652" s="78"/>
      <c r="AU652" s="100"/>
      <c r="AX652" s="78"/>
      <c r="AY652" s="100"/>
      <c r="BC652" s="100"/>
      <c r="BF652" s="78"/>
      <c r="BG652" s="100"/>
      <c r="BJ652" s="78"/>
      <c r="BK652" s="100"/>
      <c r="BN652" s="100"/>
      <c r="BP652" s="104"/>
      <c r="BQ652" s="104"/>
    </row>
    <row r="653" spans="1:69" ht="12.75">
      <c r="A653" s="101"/>
      <c r="B653" s="1"/>
      <c r="F653" s="102"/>
      <c r="G653" s="1"/>
      <c r="K653" s="100"/>
      <c r="L653" s="103"/>
      <c r="M653" s="103"/>
      <c r="N653" s="103"/>
      <c r="O653" s="103"/>
      <c r="P653" s="100"/>
      <c r="U653" s="100"/>
      <c r="Z653" s="100"/>
      <c r="AE653" s="100"/>
      <c r="AJ653" s="100"/>
      <c r="AL653" s="78"/>
      <c r="AM653" s="78"/>
      <c r="AN653" s="100"/>
      <c r="AQ653" s="78"/>
      <c r="AR653" s="100"/>
      <c r="AT653" s="78"/>
      <c r="AU653" s="100"/>
      <c r="AX653" s="78"/>
      <c r="AY653" s="100"/>
      <c r="BC653" s="100"/>
      <c r="BF653" s="78"/>
      <c r="BG653" s="100"/>
      <c r="BJ653" s="78"/>
      <c r="BK653" s="100"/>
      <c r="BN653" s="100"/>
      <c r="BP653" s="104"/>
      <c r="BQ653" s="104"/>
    </row>
    <row r="654" spans="1:69" ht="12.75">
      <c r="A654" s="101"/>
      <c r="B654" s="1"/>
      <c r="F654" s="102"/>
      <c r="G654" s="1"/>
      <c r="K654" s="100"/>
      <c r="L654" s="103"/>
      <c r="M654" s="103"/>
      <c r="N654" s="103"/>
      <c r="O654" s="103"/>
      <c r="P654" s="100"/>
      <c r="U654" s="100"/>
      <c r="Z654" s="100"/>
      <c r="AE654" s="100"/>
      <c r="AJ654" s="100"/>
      <c r="AL654" s="78"/>
      <c r="AM654" s="78"/>
      <c r="AN654" s="100"/>
      <c r="AQ654" s="78"/>
      <c r="AR654" s="100"/>
      <c r="AT654" s="78"/>
      <c r="AU654" s="100"/>
      <c r="AX654" s="78"/>
      <c r="AY654" s="100"/>
      <c r="BC654" s="100"/>
      <c r="BF654" s="78"/>
      <c r="BG654" s="100"/>
      <c r="BJ654" s="78"/>
      <c r="BK654" s="100"/>
      <c r="BN654" s="100"/>
      <c r="BP654" s="104"/>
      <c r="BQ654" s="104"/>
    </row>
    <row r="655" spans="1:69" ht="12.75">
      <c r="A655" s="101"/>
      <c r="B655" s="1"/>
      <c r="F655" s="102"/>
      <c r="G655" s="1"/>
      <c r="K655" s="100"/>
      <c r="L655" s="103"/>
      <c r="M655" s="103"/>
      <c r="N655" s="103"/>
      <c r="O655" s="103"/>
      <c r="P655" s="100"/>
      <c r="U655" s="100"/>
      <c r="Z655" s="100"/>
      <c r="AE655" s="100"/>
      <c r="AJ655" s="100"/>
      <c r="AL655" s="78"/>
      <c r="AM655" s="78"/>
      <c r="AN655" s="100"/>
      <c r="AQ655" s="78"/>
      <c r="AR655" s="100"/>
      <c r="AT655" s="78"/>
      <c r="AU655" s="100"/>
      <c r="AX655" s="78"/>
      <c r="AY655" s="100"/>
      <c r="BC655" s="100"/>
      <c r="BF655" s="78"/>
      <c r="BG655" s="100"/>
      <c r="BJ655" s="78"/>
      <c r="BK655" s="100"/>
      <c r="BN655" s="100"/>
      <c r="BP655" s="104"/>
      <c r="BQ655" s="104"/>
    </row>
    <row r="656" spans="1:69" ht="12.75">
      <c r="A656" s="101"/>
      <c r="B656" s="1"/>
      <c r="F656" s="102"/>
      <c r="G656" s="1"/>
      <c r="K656" s="100"/>
      <c r="L656" s="103"/>
      <c r="M656" s="103"/>
      <c r="N656" s="103"/>
      <c r="O656" s="103"/>
      <c r="P656" s="100"/>
      <c r="U656" s="100"/>
      <c r="Z656" s="100"/>
      <c r="AE656" s="100"/>
      <c r="AJ656" s="100"/>
      <c r="AL656" s="78"/>
      <c r="AM656" s="78"/>
      <c r="AN656" s="100"/>
      <c r="AQ656" s="78"/>
      <c r="AR656" s="100"/>
      <c r="AT656" s="78"/>
      <c r="AU656" s="100"/>
      <c r="AX656" s="78"/>
      <c r="AY656" s="100"/>
      <c r="BC656" s="100"/>
      <c r="BF656" s="78"/>
      <c r="BG656" s="100"/>
      <c r="BJ656" s="78"/>
      <c r="BK656" s="100"/>
      <c r="BN656" s="100"/>
      <c r="BP656" s="104"/>
      <c r="BQ656" s="104"/>
    </row>
    <row r="657" spans="1:69" ht="12.75">
      <c r="A657" s="101"/>
      <c r="B657" s="1"/>
      <c r="F657" s="102"/>
      <c r="G657" s="1"/>
      <c r="K657" s="100"/>
      <c r="L657" s="103"/>
      <c r="M657" s="103"/>
      <c r="N657" s="103"/>
      <c r="O657" s="103"/>
      <c r="P657" s="100"/>
      <c r="U657" s="100"/>
      <c r="Z657" s="100"/>
      <c r="AE657" s="100"/>
      <c r="AJ657" s="100"/>
      <c r="AL657" s="78"/>
      <c r="AM657" s="78"/>
      <c r="AN657" s="100"/>
      <c r="AQ657" s="78"/>
      <c r="AR657" s="100"/>
      <c r="AT657" s="78"/>
      <c r="AU657" s="100"/>
      <c r="AX657" s="78"/>
      <c r="AY657" s="100"/>
      <c r="BC657" s="100"/>
      <c r="BF657" s="78"/>
      <c r="BG657" s="100"/>
      <c r="BJ657" s="78"/>
      <c r="BK657" s="100"/>
      <c r="BN657" s="100"/>
      <c r="BP657" s="104"/>
      <c r="BQ657" s="104"/>
    </row>
    <row r="658" spans="1:69" ht="12.75">
      <c r="A658" s="101"/>
      <c r="B658" s="1"/>
      <c r="F658" s="102"/>
      <c r="G658" s="1"/>
      <c r="K658" s="100"/>
      <c r="L658" s="103"/>
      <c r="M658" s="103"/>
      <c r="N658" s="103"/>
      <c r="O658" s="103"/>
      <c r="P658" s="100"/>
      <c r="U658" s="100"/>
      <c r="Z658" s="100"/>
      <c r="AE658" s="100"/>
      <c r="AJ658" s="100"/>
      <c r="AL658" s="78"/>
      <c r="AM658" s="78"/>
      <c r="AN658" s="100"/>
      <c r="AQ658" s="78"/>
      <c r="AR658" s="100"/>
      <c r="AT658" s="78"/>
      <c r="AU658" s="100"/>
      <c r="AX658" s="78"/>
      <c r="AY658" s="100"/>
      <c r="BC658" s="100"/>
      <c r="BF658" s="78"/>
      <c r="BG658" s="100"/>
      <c r="BJ658" s="78"/>
      <c r="BK658" s="100"/>
      <c r="BN658" s="100"/>
      <c r="BP658" s="104"/>
      <c r="BQ658" s="104"/>
    </row>
    <row r="659" spans="1:69" ht="12.75">
      <c r="A659" s="101"/>
      <c r="B659" s="1"/>
      <c r="F659" s="102"/>
      <c r="G659" s="1"/>
      <c r="K659" s="100"/>
      <c r="L659" s="103"/>
      <c r="M659" s="103"/>
      <c r="N659" s="103"/>
      <c r="O659" s="103"/>
      <c r="P659" s="100"/>
      <c r="U659" s="100"/>
      <c r="Z659" s="100"/>
      <c r="AE659" s="100"/>
      <c r="AJ659" s="100"/>
      <c r="AL659" s="78"/>
      <c r="AM659" s="78"/>
      <c r="AN659" s="100"/>
      <c r="AQ659" s="78"/>
      <c r="AR659" s="100"/>
      <c r="AT659" s="78"/>
      <c r="AU659" s="100"/>
      <c r="AX659" s="78"/>
      <c r="AY659" s="100"/>
      <c r="BC659" s="100"/>
      <c r="BF659" s="78"/>
      <c r="BG659" s="100"/>
      <c r="BJ659" s="78"/>
      <c r="BK659" s="100"/>
      <c r="BN659" s="100"/>
      <c r="BP659" s="104"/>
      <c r="BQ659" s="104"/>
    </row>
    <row r="660" spans="1:69" ht="12.75">
      <c r="A660" s="101"/>
      <c r="B660" s="1"/>
      <c r="F660" s="102"/>
      <c r="G660" s="1"/>
      <c r="K660" s="100"/>
      <c r="L660" s="103"/>
      <c r="M660" s="103"/>
      <c r="N660" s="103"/>
      <c r="O660" s="103"/>
      <c r="P660" s="100"/>
      <c r="U660" s="100"/>
      <c r="Z660" s="100"/>
      <c r="AE660" s="100"/>
      <c r="AJ660" s="100"/>
      <c r="AL660" s="78"/>
      <c r="AM660" s="78"/>
      <c r="AN660" s="100"/>
      <c r="AQ660" s="78"/>
      <c r="AR660" s="100"/>
      <c r="AT660" s="78"/>
      <c r="AU660" s="100"/>
      <c r="AX660" s="78"/>
      <c r="AY660" s="100"/>
      <c r="BC660" s="100"/>
      <c r="BF660" s="78"/>
      <c r="BG660" s="100"/>
      <c r="BJ660" s="78"/>
      <c r="BK660" s="100"/>
      <c r="BN660" s="100"/>
      <c r="BP660" s="104"/>
      <c r="BQ660" s="104"/>
    </row>
    <row r="661" spans="1:69" ht="12.75">
      <c r="A661" s="101"/>
      <c r="B661" s="1"/>
      <c r="F661" s="102"/>
      <c r="G661" s="1"/>
      <c r="K661" s="100"/>
      <c r="L661" s="103"/>
      <c r="M661" s="103"/>
      <c r="N661" s="103"/>
      <c r="O661" s="103"/>
      <c r="P661" s="100"/>
      <c r="U661" s="100"/>
      <c r="Z661" s="100"/>
      <c r="AE661" s="100"/>
      <c r="AJ661" s="100"/>
      <c r="AL661" s="78"/>
      <c r="AM661" s="78"/>
      <c r="AN661" s="100"/>
      <c r="AQ661" s="78"/>
      <c r="AR661" s="100"/>
      <c r="AT661" s="78"/>
      <c r="AU661" s="100"/>
      <c r="AX661" s="78"/>
      <c r="AY661" s="100"/>
      <c r="BC661" s="100"/>
      <c r="BF661" s="78"/>
      <c r="BG661" s="100"/>
      <c r="BJ661" s="78"/>
      <c r="BK661" s="100"/>
      <c r="BN661" s="100"/>
      <c r="BP661" s="104"/>
      <c r="BQ661" s="104"/>
    </row>
    <row r="662" spans="1:69" ht="12.75">
      <c r="A662" s="101"/>
      <c r="B662" s="1"/>
      <c r="F662" s="102"/>
      <c r="G662" s="1"/>
      <c r="K662" s="100"/>
      <c r="L662" s="103"/>
      <c r="M662" s="103"/>
      <c r="N662" s="103"/>
      <c r="O662" s="103"/>
      <c r="P662" s="100"/>
      <c r="U662" s="100"/>
      <c r="Z662" s="100"/>
      <c r="AE662" s="100"/>
      <c r="AJ662" s="100"/>
      <c r="AL662" s="78"/>
      <c r="AM662" s="78"/>
      <c r="AN662" s="100"/>
      <c r="AQ662" s="78"/>
      <c r="AR662" s="100"/>
      <c r="AT662" s="78"/>
      <c r="AU662" s="100"/>
      <c r="AX662" s="78"/>
      <c r="AY662" s="100"/>
      <c r="BC662" s="100"/>
      <c r="BF662" s="78"/>
      <c r="BG662" s="100"/>
      <c r="BJ662" s="78"/>
      <c r="BK662" s="100"/>
      <c r="BN662" s="100"/>
      <c r="BP662" s="104"/>
      <c r="BQ662" s="104"/>
    </row>
    <row r="663" spans="1:69" ht="12.75">
      <c r="A663" s="101"/>
      <c r="B663" s="1"/>
      <c r="F663" s="102"/>
      <c r="G663" s="1"/>
      <c r="K663" s="100"/>
      <c r="L663" s="103"/>
      <c r="M663" s="103"/>
      <c r="N663" s="103"/>
      <c r="O663" s="103"/>
      <c r="P663" s="100"/>
      <c r="U663" s="100"/>
      <c r="Z663" s="100"/>
      <c r="AE663" s="100"/>
      <c r="AJ663" s="100"/>
      <c r="AL663" s="78"/>
      <c r="AM663" s="78"/>
      <c r="AN663" s="100"/>
      <c r="AQ663" s="78"/>
      <c r="AR663" s="100"/>
      <c r="AT663" s="78"/>
      <c r="AU663" s="100"/>
      <c r="AX663" s="78"/>
      <c r="AY663" s="100"/>
      <c r="BC663" s="100"/>
      <c r="BF663" s="78"/>
      <c r="BG663" s="100"/>
      <c r="BJ663" s="78"/>
      <c r="BK663" s="100"/>
      <c r="BN663" s="100"/>
      <c r="BP663" s="104"/>
      <c r="BQ663" s="104"/>
    </row>
    <row r="664" spans="1:69" ht="12.75">
      <c r="A664" s="101"/>
      <c r="B664" s="1"/>
      <c r="F664" s="102"/>
      <c r="G664" s="1"/>
      <c r="K664" s="100"/>
      <c r="L664" s="103"/>
      <c r="M664" s="103"/>
      <c r="N664" s="103"/>
      <c r="O664" s="103"/>
      <c r="P664" s="100"/>
      <c r="U664" s="100"/>
      <c r="Z664" s="100"/>
      <c r="AE664" s="100"/>
      <c r="AJ664" s="100"/>
      <c r="AL664" s="78"/>
      <c r="AM664" s="78"/>
      <c r="AN664" s="100"/>
      <c r="AQ664" s="78"/>
      <c r="AR664" s="100"/>
      <c r="AT664" s="78"/>
      <c r="AU664" s="100"/>
      <c r="AX664" s="78"/>
      <c r="AY664" s="100"/>
      <c r="BC664" s="100"/>
      <c r="BF664" s="78"/>
      <c r="BG664" s="100"/>
      <c r="BJ664" s="78"/>
      <c r="BK664" s="100"/>
      <c r="BN664" s="100"/>
      <c r="BP664" s="104"/>
      <c r="BQ664" s="104"/>
    </row>
    <row r="665" spans="1:69" ht="12.75">
      <c r="A665" s="101"/>
      <c r="B665" s="1"/>
      <c r="F665" s="102"/>
      <c r="G665" s="1"/>
      <c r="K665" s="100"/>
      <c r="L665" s="103"/>
      <c r="M665" s="103"/>
      <c r="N665" s="103"/>
      <c r="O665" s="103"/>
      <c r="P665" s="100"/>
      <c r="U665" s="100"/>
      <c r="Z665" s="100"/>
      <c r="AE665" s="100"/>
      <c r="AJ665" s="100"/>
      <c r="AL665" s="78"/>
      <c r="AM665" s="78"/>
      <c r="AN665" s="100"/>
      <c r="AQ665" s="78"/>
      <c r="AR665" s="100"/>
      <c r="AT665" s="78"/>
      <c r="AU665" s="100"/>
      <c r="AX665" s="78"/>
      <c r="AY665" s="100"/>
      <c r="BC665" s="100"/>
      <c r="BF665" s="78"/>
      <c r="BG665" s="100"/>
      <c r="BJ665" s="78"/>
      <c r="BK665" s="100"/>
      <c r="BN665" s="100"/>
      <c r="BP665" s="104"/>
      <c r="BQ665" s="104"/>
    </row>
    <row r="666" spans="1:69" ht="12.75">
      <c r="A666" s="101"/>
      <c r="B666" s="1"/>
      <c r="F666" s="102"/>
      <c r="G666" s="1"/>
      <c r="K666" s="100"/>
      <c r="L666" s="103"/>
      <c r="M666" s="103"/>
      <c r="N666" s="103"/>
      <c r="O666" s="103"/>
      <c r="P666" s="100"/>
      <c r="U666" s="100"/>
      <c r="Z666" s="100"/>
      <c r="AE666" s="100"/>
      <c r="AJ666" s="100"/>
      <c r="AL666" s="78"/>
      <c r="AM666" s="78"/>
      <c r="AN666" s="100"/>
      <c r="AQ666" s="78"/>
      <c r="AR666" s="100"/>
      <c r="AT666" s="78"/>
      <c r="AU666" s="100"/>
      <c r="AX666" s="78"/>
      <c r="AY666" s="100"/>
      <c r="BC666" s="100"/>
      <c r="BF666" s="78"/>
      <c r="BG666" s="100"/>
      <c r="BJ666" s="78"/>
      <c r="BK666" s="100"/>
      <c r="BN666" s="100"/>
      <c r="BP666" s="104"/>
      <c r="BQ666" s="104"/>
    </row>
    <row r="667" spans="1:69" ht="12.75">
      <c r="A667" s="101"/>
      <c r="B667" s="1"/>
      <c r="F667" s="102"/>
      <c r="G667" s="1"/>
      <c r="K667" s="100"/>
      <c r="L667" s="103"/>
      <c r="M667" s="103"/>
      <c r="N667" s="103"/>
      <c r="O667" s="103"/>
      <c r="P667" s="100"/>
      <c r="U667" s="100"/>
      <c r="Z667" s="100"/>
      <c r="AE667" s="100"/>
      <c r="AJ667" s="100"/>
      <c r="AL667" s="78"/>
      <c r="AM667" s="78"/>
      <c r="AN667" s="100"/>
      <c r="AQ667" s="78"/>
      <c r="AR667" s="100"/>
      <c r="AT667" s="78"/>
      <c r="AU667" s="100"/>
      <c r="AX667" s="78"/>
      <c r="AY667" s="100"/>
      <c r="BC667" s="100"/>
      <c r="BF667" s="78"/>
      <c r="BG667" s="100"/>
      <c r="BJ667" s="78"/>
      <c r="BK667" s="100"/>
      <c r="BN667" s="100"/>
      <c r="BP667" s="104"/>
      <c r="BQ667" s="104"/>
    </row>
    <row r="668" spans="1:69" ht="12.75">
      <c r="A668" s="101"/>
      <c r="B668" s="1"/>
      <c r="F668" s="102"/>
      <c r="G668" s="1"/>
      <c r="K668" s="100"/>
      <c r="L668" s="103"/>
      <c r="M668" s="103"/>
      <c r="N668" s="103"/>
      <c r="O668" s="103"/>
      <c r="P668" s="100"/>
      <c r="U668" s="100"/>
      <c r="Z668" s="100"/>
      <c r="AE668" s="100"/>
      <c r="AJ668" s="100"/>
      <c r="AL668" s="78"/>
      <c r="AM668" s="78"/>
      <c r="AN668" s="100"/>
      <c r="AQ668" s="78"/>
      <c r="AR668" s="100"/>
      <c r="AT668" s="78"/>
      <c r="AU668" s="100"/>
      <c r="AX668" s="78"/>
      <c r="AY668" s="100"/>
      <c r="BC668" s="100"/>
      <c r="BF668" s="78"/>
      <c r="BG668" s="100"/>
      <c r="BJ668" s="78"/>
      <c r="BK668" s="100"/>
      <c r="BN668" s="100"/>
      <c r="BP668" s="104"/>
      <c r="BQ668" s="104"/>
    </row>
    <row r="669" spans="1:69" ht="12.75">
      <c r="A669" s="101"/>
      <c r="B669" s="1"/>
      <c r="F669" s="102"/>
      <c r="G669" s="1"/>
      <c r="K669" s="100"/>
      <c r="L669" s="103"/>
      <c r="M669" s="103"/>
      <c r="N669" s="103"/>
      <c r="O669" s="103"/>
      <c r="P669" s="100"/>
      <c r="U669" s="100"/>
      <c r="Z669" s="100"/>
      <c r="AE669" s="100"/>
      <c r="AJ669" s="100"/>
      <c r="AL669" s="78"/>
      <c r="AM669" s="78"/>
      <c r="AN669" s="100"/>
      <c r="AQ669" s="78"/>
      <c r="AR669" s="100"/>
      <c r="AT669" s="78"/>
      <c r="AU669" s="100"/>
      <c r="AX669" s="78"/>
      <c r="AY669" s="100"/>
      <c r="BC669" s="100"/>
      <c r="BF669" s="78"/>
      <c r="BG669" s="100"/>
      <c r="BJ669" s="78"/>
      <c r="BK669" s="100"/>
      <c r="BN669" s="100"/>
      <c r="BP669" s="104"/>
      <c r="BQ669" s="104"/>
    </row>
    <row r="670" spans="1:69" ht="12.75">
      <c r="A670" s="101"/>
      <c r="B670" s="1"/>
      <c r="F670" s="102"/>
      <c r="G670" s="1"/>
      <c r="K670" s="100"/>
      <c r="L670" s="103"/>
      <c r="M670" s="103"/>
      <c r="N670" s="103"/>
      <c r="O670" s="103"/>
      <c r="P670" s="100"/>
      <c r="U670" s="100"/>
      <c r="Z670" s="100"/>
      <c r="AE670" s="100"/>
      <c r="AJ670" s="100"/>
      <c r="AL670" s="78"/>
      <c r="AM670" s="78"/>
      <c r="AN670" s="100"/>
      <c r="AQ670" s="78"/>
      <c r="AR670" s="100"/>
      <c r="AT670" s="78"/>
      <c r="AU670" s="100"/>
      <c r="AX670" s="78"/>
      <c r="AY670" s="100"/>
      <c r="BC670" s="100"/>
      <c r="BF670" s="78"/>
      <c r="BG670" s="100"/>
      <c r="BJ670" s="78"/>
      <c r="BK670" s="100"/>
      <c r="BN670" s="100"/>
      <c r="BP670" s="104"/>
      <c r="BQ670" s="104"/>
    </row>
    <row r="671" spans="1:69" ht="12.75">
      <c r="A671" s="101"/>
      <c r="B671" s="1"/>
      <c r="F671" s="102"/>
      <c r="G671" s="1"/>
      <c r="K671" s="100"/>
      <c r="L671" s="103"/>
      <c r="M671" s="103"/>
      <c r="N671" s="103"/>
      <c r="O671" s="103"/>
      <c r="P671" s="100"/>
      <c r="U671" s="100"/>
      <c r="Z671" s="100"/>
      <c r="AE671" s="100"/>
      <c r="AJ671" s="100"/>
      <c r="AL671" s="78"/>
      <c r="AM671" s="78"/>
      <c r="AN671" s="100"/>
      <c r="AQ671" s="78"/>
      <c r="AR671" s="100"/>
      <c r="AT671" s="78"/>
      <c r="AU671" s="100"/>
      <c r="AX671" s="78"/>
      <c r="AY671" s="100"/>
      <c r="BC671" s="100"/>
      <c r="BF671" s="78"/>
      <c r="BG671" s="100"/>
      <c r="BJ671" s="78"/>
      <c r="BK671" s="100"/>
      <c r="BN671" s="100"/>
      <c r="BP671" s="104"/>
      <c r="BQ671" s="104"/>
    </row>
    <row r="672" spans="1:69" ht="12.75">
      <c r="A672" s="101"/>
      <c r="B672" s="1"/>
      <c r="F672" s="102"/>
      <c r="G672" s="1"/>
      <c r="K672" s="100"/>
      <c r="L672" s="103"/>
      <c r="M672" s="103"/>
      <c r="N672" s="103"/>
      <c r="O672" s="103"/>
      <c r="P672" s="100"/>
      <c r="U672" s="100"/>
      <c r="Z672" s="100"/>
      <c r="AE672" s="100"/>
      <c r="AJ672" s="100"/>
      <c r="AL672" s="78"/>
      <c r="AM672" s="78"/>
      <c r="AN672" s="100"/>
      <c r="AQ672" s="78"/>
      <c r="AR672" s="100"/>
      <c r="AT672" s="78"/>
      <c r="AU672" s="100"/>
      <c r="AX672" s="78"/>
      <c r="AY672" s="100"/>
      <c r="BC672" s="100"/>
      <c r="BF672" s="78"/>
      <c r="BG672" s="100"/>
      <c r="BJ672" s="78"/>
      <c r="BK672" s="100"/>
      <c r="BN672" s="100"/>
      <c r="BP672" s="104"/>
      <c r="BQ672" s="104"/>
    </row>
    <row r="673" spans="1:69" ht="12.75">
      <c r="A673" s="101"/>
      <c r="B673" s="1"/>
      <c r="F673" s="102"/>
      <c r="G673" s="1"/>
      <c r="K673" s="100"/>
      <c r="L673" s="103"/>
      <c r="M673" s="103"/>
      <c r="N673" s="103"/>
      <c r="O673" s="103"/>
      <c r="P673" s="100"/>
      <c r="U673" s="100"/>
      <c r="Z673" s="100"/>
      <c r="AE673" s="100"/>
      <c r="AJ673" s="100"/>
      <c r="AL673" s="78"/>
      <c r="AM673" s="78"/>
      <c r="AN673" s="100"/>
      <c r="AQ673" s="78"/>
      <c r="AR673" s="100"/>
      <c r="AT673" s="78"/>
      <c r="AU673" s="100"/>
      <c r="AX673" s="78"/>
      <c r="AY673" s="100"/>
      <c r="BC673" s="100"/>
      <c r="BF673" s="78"/>
      <c r="BG673" s="100"/>
      <c r="BJ673" s="78"/>
      <c r="BK673" s="100"/>
      <c r="BN673" s="100"/>
      <c r="BP673" s="104"/>
      <c r="BQ673" s="104"/>
    </row>
    <row r="674" spans="1:69" ht="12.75">
      <c r="A674" s="101"/>
      <c r="B674" s="1"/>
      <c r="F674" s="102"/>
      <c r="G674" s="1"/>
      <c r="K674" s="100"/>
      <c r="L674" s="103"/>
      <c r="M674" s="103"/>
      <c r="N674" s="103"/>
      <c r="O674" s="103"/>
      <c r="P674" s="100"/>
      <c r="U674" s="100"/>
      <c r="Z674" s="100"/>
      <c r="AE674" s="100"/>
      <c r="AJ674" s="100"/>
      <c r="AL674" s="78"/>
      <c r="AM674" s="78"/>
      <c r="AN674" s="100"/>
      <c r="AQ674" s="78"/>
      <c r="AR674" s="100"/>
      <c r="AT674" s="78"/>
      <c r="AU674" s="100"/>
      <c r="AX674" s="78"/>
      <c r="AY674" s="100"/>
      <c r="BC674" s="100"/>
      <c r="BF674" s="78"/>
      <c r="BG674" s="100"/>
      <c r="BJ674" s="78"/>
      <c r="BK674" s="100"/>
      <c r="BN674" s="100"/>
      <c r="BP674" s="104"/>
      <c r="BQ674" s="104"/>
    </row>
    <row r="675" spans="1:69" ht="12.75">
      <c r="A675" s="101"/>
      <c r="B675" s="1"/>
      <c r="F675" s="102"/>
      <c r="G675" s="1"/>
      <c r="K675" s="100"/>
      <c r="L675" s="103"/>
      <c r="M675" s="103"/>
      <c r="N675" s="103"/>
      <c r="O675" s="103"/>
      <c r="P675" s="100"/>
      <c r="U675" s="100"/>
      <c r="Z675" s="100"/>
      <c r="AE675" s="100"/>
      <c r="AJ675" s="100"/>
      <c r="AL675" s="78"/>
      <c r="AM675" s="78"/>
      <c r="AN675" s="100"/>
      <c r="AQ675" s="78"/>
      <c r="AR675" s="100"/>
      <c r="AT675" s="78"/>
      <c r="AU675" s="100"/>
      <c r="AX675" s="78"/>
      <c r="AY675" s="100"/>
      <c r="BC675" s="100"/>
      <c r="BF675" s="78"/>
      <c r="BG675" s="100"/>
      <c r="BJ675" s="78"/>
      <c r="BK675" s="100"/>
      <c r="BN675" s="100"/>
      <c r="BP675" s="104"/>
      <c r="BQ675" s="104"/>
    </row>
    <row r="676" spans="1:69" ht="12.75">
      <c r="A676" s="101"/>
      <c r="B676" s="1"/>
      <c r="F676" s="102"/>
      <c r="G676" s="1"/>
      <c r="K676" s="100"/>
      <c r="L676" s="103"/>
      <c r="M676" s="103"/>
      <c r="N676" s="103"/>
      <c r="O676" s="103"/>
      <c r="P676" s="100"/>
      <c r="U676" s="100"/>
      <c r="Z676" s="100"/>
      <c r="AE676" s="100"/>
      <c r="AJ676" s="100"/>
      <c r="AL676" s="78"/>
      <c r="AM676" s="78"/>
      <c r="AN676" s="100"/>
      <c r="AQ676" s="78"/>
      <c r="AR676" s="100"/>
      <c r="AT676" s="78"/>
      <c r="AU676" s="100"/>
      <c r="AX676" s="78"/>
      <c r="AY676" s="100"/>
      <c r="BC676" s="100"/>
      <c r="BF676" s="78"/>
      <c r="BG676" s="100"/>
      <c r="BJ676" s="78"/>
      <c r="BK676" s="100"/>
      <c r="BN676" s="100"/>
      <c r="BP676" s="104"/>
      <c r="BQ676" s="104"/>
    </row>
    <row r="677" spans="1:69" ht="12.75">
      <c r="A677" s="101"/>
      <c r="B677" s="1"/>
      <c r="F677" s="102"/>
      <c r="G677" s="1"/>
      <c r="K677" s="100"/>
      <c r="L677" s="103"/>
      <c r="M677" s="103"/>
      <c r="N677" s="103"/>
      <c r="O677" s="103"/>
      <c r="P677" s="100"/>
      <c r="U677" s="100"/>
      <c r="Z677" s="100"/>
      <c r="AE677" s="100"/>
      <c r="AJ677" s="100"/>
      <c r="AL677" s="78"/>
      <c r="AM677" s="78"/>
      <c r="AN677" s="100"/>
      <c r="AQ677" s="78"/>
      <c r="AR677" s="100"/>
      <c r="AT677" s="78"/>
      <c r="AU677" s="100"/>
      <c r="AX677" s="78"/>
      <c r="AY677" s="100"/>
      <c r="BC677" s="100"/>
      <c r="BF677" s="78"/>
      <c r="BG677" s="100"/>
      <c r="BJ677" s="78"/>
      <c r="BK677" s="100"/>
      <c r="BN677" s="100"/>
      <c r="BP677" s="104"/>
      <c r="BQ677" s="104"/>
    </row>
    <row r="678" spans="1:69" ht="12.75">
      <c r="A678" s="101"/>
      <c r="B678" s="1"/>
      <c r="F678" s="102"/>
      <c r="G678" s="1"/>
      <c r="K678" s="100"/>
      <c r="L678" s="103"/>
      <c r="M678" s="103"/>
      <c r="N678" s="103"/>
      <c r="O678" s="103"/>
      <c r="P678" s="100"/>
      <c r="U678" s="100"/>
      <c r="Z678" s="100"/>
      <c r="AE678" s="100"/>
      <c r="AJ678" s="100"/>
      <c r="AL678" s="78"/>
      <c r="AM678" s="78"/>
      <c r="AN678" s="100"/>
      <c r="AQ678" s="78"/>
      <c r="AR678" s="100"/>
      <c r="AT678" s="78"/>
      <c r="AU678" s="100"/>
      <c r="AX678" s="78"/>
      <c r="AY678" s="100"/>
      <c r="BC678" s="100"/>
      <c r="BF678" s="78"/>
      <c r="BG678" s="100"/>
      <c r="BJ678" s="78"/>
      <c r="BK678" s="100"/>
      <c r="BN678" s="100"/>
      <c r="BP678" s="104"/>
      <c r="BQ678" s="104"/>
    </row>
    <row r="679" spans="1:69" ht="12.75">
      <c r="A679" s="101"/>
      <c r="B679" s="1"/>
      <c r="F679" s="102"/>
      <c r="G679" s="1"/>
      <c r="K679" s="100"/>
      <c r="L679" s="103"/>
      <c r="M679" s="103"/>
      <c r="N679" s="103"/>
      <c r="O679" s="103"/>
      <c r="P679" s="100"/>
      <c r="U679" s="100"/>
      <c r="Z679" s="100"/>
      <c r="AE679" s="100"/>
      <c r="AJ679" s="100"/>
      <c r="AL679" s="78"/>
      <c r="AM679" s="78"/>
      <c r="AN679" s="100"/>
      <c r="AQ679" s="78"/>
      <c r="AR679" s="100"/>
      <c r="AT679" s="78"/>
      <c r="AU679" s="100"/>
      <c r="AX679" s="78"/>
      <c r="AY679" s="100"/>
      <c r="BC679" s="100"/>
      <c r="BF679" s="78"/>
      <c r="BG679" s="100"/>
      <c r="BJ679" s="78"/>
      <c r="BK679" s="100"/>
      <c r="BN679" s="100"/>
      <c r="BP679" s="104"/>
      <c r="BQ679" s="104"/>
    </row>
    <row r="680" spans="1:69" ht="12.75">
      <c r="A680" s="101"/>
      <c r="B680" s="1"/>
      <c r="F680" s="102"/>
      <c r="G680" s="1"/>
      <c r="K680" s="100"/>
      <c r="L680" s="103"/>
      <c r="M680" s="103"/>
      <c r="N680" s="103"/>
      <c r="O680" s="103"/>
      <c r="P680" s="100"/>
      <c r="U680" s="100"/>
      <c r="Z680" s="100"/>
      <c r="AE680" s="100"/>
      <c r="AJ680" s="100"/>
      <c r="AL680" s="78"/>
      <c r="AM680" s="78"/>
      <c r="AN680" s="100"/>
      <c r="AQ680" s="78"/>
      <c r="AR680" s="100"/>
      <c r="AT680" s="78"/>
      <c r="AU680" s="100"/>
      <c r="AX680" s="78"/>
      <c r="AY680" s="100"/>
      <c r="BC680" s="100"/>
      <c r="BF680" s="78"/>
      <c r="BG680" s="100"/>
      <c r="BJ680" s="78"/>
      <c r="BK680" s="100"/>
      <c r="BN680" s="100"/>
      <c r="BP680" s="104"/>
      <c r="BQ680" s="104"/>
    </row>
    <row r="681" spans="1:69" ht="12.75">
      <c r="A681" s="101"/>
      <c r="B681" s="1"/>
      <c r="F681" s="102"/>
      <c r="G681" s="1"/>
      <c r="K681" s="100"/>
      <c r="L681" s="103"/>
      <c r="M681" s="103"/>
      <c r="N681" s="103"/>
      <c r="O681" s="103"/>
      <c r="P681" s="100"/>
      <c r="U681" s="100"/>
      <c r="Z681" s="100"/>
      <c r="AE681" s="100"/>
      <c r="AJ681" s="100"/>
      <c r="AL681" s="78"/>
      <c r="AM681" s="78"/>
      <c r="AN681" s="100"/>
      <c r="AQ681" s="78"/>
      <c r="AR681" s="100"/>
      <c r="AT681" s="78"/>
      <c r="AU681" s="100"/>
      <c r="AX681" s="78"/>
      <c r="AY681" s="100"/>
      <c r="BC681" s="100"/>
      <c r="BF681" s="78"/>
      <c r="BG681" s="100"/>
      <c r="BJ681" s="78"/>
      <c r="BK681" s="100"/>
      <c r="BN681" s="100"/>
      <c r="BP681" s="104"/>
      <c r="BQ681" s="104"/>
    </row>
    <row r="682" spans="1:69" ht="12.75">
      <c r="A682" s="101"/>
      <c r="B682" s="1"/>
      <c r="F682" s="102"/>
      <c r="G682" s="1"/>
      <c r="K682" s="100"/>
      <c r="L682" s="103"/>
      <c r="M682" s="103"/>
      <c r="N682" s="103"/>
      <c r="O682" s="103"/>
      <c r="P682" s="100"/>
      <c r="U682" s="100"/>
      <c r="Z682" s="100"/>
      <c r="AE682" s="100"/>
      <c r="AJ682" s="100"/>
      <c r="AL682" s="78"/>
      <c r="AM682" s="78"/>
      <c r="AN682" s="100"/>
      <c r="AQ682" s="78"/>
      <c r="AR682" s="100"/>
      <c r="AT682" s="78"/>
      <c r="AU682" s="100"/>
      <c r="AX682" s="78"/>
      <c r="AY682" s="100"/>
      <c r="BC682" s="100"/>
      <c r="BF682" s="78"/>
      <c r="BG682" s="100"/>
      <c r="BJ682" s="78"/>
      <c r="BK682" s="100"/>
      <c r="BN682" s="100"/>
      <c r="BP682" s="104"/>
      <c r="BQ682" s="104"/>
    </row>
    <row r="683" spans="1:69" ht="12.75">
      <c r="A683" s="101"/>
      <c r="B683" s="1"/>
      <c r="F683" s="102"/>
      <c r="G683" s="1"/>
      <c r="K683" s="100"/>
      <c r="L683" s="103"/>
      <c r="M683" s="103"/>
      <c r="N683" s="103"/>
      <c r="O683" s="103"/>
      <c r="P683" s="100"/>
      <c r="U683" s="100"/>
      <c r="Z683" s="100"/>
      <c r="AE683" s="100"/>
      <c r="AJ683" s="100"/>
      <c r="AL683" s="78"/>
      <c r="AM683" s="78"/>
      <c r="AN683" s="100"/>
      <c r="AQ683" s="78"/>
      <c r="AR683" s="100"/>
      <c r="AT683" s="78"/>
      <c r="AU683" s="100"/>
      <c r="AX683" s="78"/>
      <c r="AY683" s="100"/>
      <c r="BC683" s="100"/>
      <c r="BF683" s="78"/>
      <c r="BG683" s="100"/>
      <c r="BJ683" s="78"/>
      <c r="BK683" s="100"/>
      <c r="BN683" s="100"/>
      <c r="BP683" s="104"/>
      <c r="BQ683" s="104"/>
    </row>
    <row r="684" spans="1:69" ht="12.75">
      <c r="A684" s="101"/>
      <c r="B684" s="1"/>
      <c r="F684" s="102"/>
      <c r="G684" s="1"/>
      <c r="K684" s="100"/>
      <c r="L684" s="103"/>
      <c r="M684" s="103"/>
      <c r="N684" s="103"/>
      <c r="O684" s="103"/>
      <c r="P684" s="100"/>
      <c r="U684" s="100"/>
      <c r="Z684" s="100"/>
      <c r="AE684" s="100"/>
      <c r="AJ684" s="100"/>
      <c r="AL684" s="78"/>
      <c r="AM684" s="78"/>
      <c r="AN684" s="100"/>
      <c r="AQ684" s="78"/>
      <c r="AR684" s="100"/>
      <c r="AT684" s="78"/>
      <c r="AU684" s="100"/>
      <c r="AX684" s="78"/>
      <c r="AY684" s="100"/>
      <c r="BC684" s="100"/>
      <c r="BF684" s="78"/>
      <c r="BG684" s="100"/>
      <c r="BJ684" s="78"/>
      <c r="BK684" s="100"/>
      <c r="BN684" s="100"/>
      <c r="BP684" s="104"/>
      <c r="BQ684" s="104"/>
    </row>
    <row r="685" spans="1:69" ht="12.75">
      <c r="A685" s="101"/>
      <c r="B685" s="1"/>
      <c r="F685" s="102"/>
      <c r="G685" s="1"/>
      <c r="K685" s="100"/>
      <c r="L685" s="103"/>
      <c r="M685" s="103"/>
      <c r="N685" s="103"/>
      <c r="O685" s="103"/>
      <c r="P685" s="100"/>
      <c r="U685" s="100"/>
      <c r="Z685" s="100"/>
      <c r="AE685" s="100"/>
      <c r="AJ685" s="100"/>
      <c r="AL685" s="78"/>
      <c r="AM685" s="78"/>
      <c r="AN685" s="100"/>
      <c r="AQ685" s="78"/>
      <c r="AR685" s="100"/>
      <c r="AT685" s="78"/>
      <c r="AU685" s="100"/>
      <c r="AX685" s="78"/>
      <c r="AY685" s="100"/>
      <c r="BC685" s="100"/>
      <c r="BF685" s="78"/>
      <c r="BG685" s="100"/>
      <c r="BJ685" s="78"/>
      <c r="BK685" s="100"/>
      <c r="BN685" s="100"/>
      <c r="BP685" s="104"/>
      <c r="BQ685" s="104"/>
    </row>
    <row r="686" spans="1:69" ht="12.75">
      <c r="A686" s="101"/>
      <c r="B686" s="1"/>
      <c r="F686" s="102"/>
      <c r="G686" s="1"/>
      <c r="K686" s="100"/>
      <c r="L686" s="103"/>
      <c r="M686" s="103"/>
      <c r="N686" s="103"/>
      <c r="O686" s="103"/>
      <c r="P686" s="100"/>
      <c r="U686" s="100"/>
      <c r="Z686" s="100"/>
      <c r="AE686" s="100"/>
      <c r="AJ686" s="100"/>
      <c r="AL686" s="78"/>
      <c r="AM686" s="78"/>
      <c r="AN686" s="100"/>
      <c r="AQ686" s="78"/>
      <c r="AR686" s="100"/>
      <c r="AT686" s="78"/>
      <c r="AU686" s="100"/>
      <c r="AX686" s="78"/>
      <c r="AY686" s="100"/>
      <c r="BC686" s="100"/>
      <c r="BF686" s="78"/>
      <c r="BG686" s="100"/>
      <c r="BJ686" s="78"/>
      <c r="BK686" s="100"/>
      <c r="BN686" s="100"/>
      <c r="BP686" s="104"/>
      <c r="BQ686" s="104"/>
    </row>
    <row r="687" spans="1:69" ht="12.75">
      <c r="A687" s="101"/>
      <c r="B687" s="1"/>
      <c r="F687" s="102"/>
      <c r="G687" s="1"/>
      <c r="K687" s="100"/>
      <c r="L687" s="103"/>
      <c r="M687" s="103"/>
      <c r="N687" s="103"/>
      <c r="O687" s="103"/>
      <c r="P687" s="100"/>
      <c r="U687" s="100"/>
      <c r="Z687" s="100"/>
      <c r="AE687" s="100"/>
      <c r="AJ687" s="100"/>
      <c r="AL687" s="78"/>
      <c r="AM687" s="78"/>
      <c r="AN687" s="100"/>
      <c r="AQ687" s="78"/>
      <c r="AR687" s="100"/>
      <c r="AT687" s="78"/>
      <c r="AU687" s="100"/>
      <c r="AX687" s="78"/>
      <c r="AY687" s="100"/>
      <c r="BC687" s="100"/>
      <c r="BF687" s="78"/>
      <c r="BG687" s="100"/>
      <c r="BJ687" s="78"/>
      <c r="BK687" s="100"/>
      <c r="BN687" s="100"/>
      <c r="BP687" s="104"/>
      <c r="BQ687" s="104"/>
    </row>
    <row r="688" spans="1:69" ht="12.75">
      <c r="A688" s="101"/>
      <c r="B688" s="1"/>
      <c r="F688" s="102"/>
      <c r="G688" s="1"/>
      <c r="K688" s="100"/>
      <c r="L688" s="103"/>
      <c r="M688" s="103"/>
      <c r="N688" s="103"/>
      <c r="O688" s="103"/>
      <c r="P688" s="100"/>
      <c r="U688" s="100"/>
      <c r="Z688" s="100"/>
      <c r="AE688" s="100"/>
      <c r="AJ688" s="100"/>
      <c r="AL688" s="78"/>
      <c r="AM688" s="78"/>
      <c r="AN688" s="100"/>
      <c r="AQ688" s="78"/>
      <c r="AR688" s="100"/>
      <c r="AT688" s="78"/>
      <c r="AU688" s="100"/>
      <c r="AX688" s="78"/>
      <c r="AY688" s="100"/>
      <c r="BC688" s="100"/>
      <c r="BF688" s="78"/>
      <c r="BG688" s="100"/>
      <c r="BJ688" s="78"/>
      <c r="BK688" s="100"/>
      <c r="BN688" s="100"/>
      <c r="BP688" s="104"/>
      <c r="BQ688" s="104"/>
    </row>
    <row r="689" spans="1:69" ht="12.75">
      <c r="A689" s="101"/>
      <c r="B689" s="1"/>
      <c r="F689" s="102"/>
      <c r="G689" s="1"/>
      <c r="K689" s="100"/>
      <c r="L689" s="103"/>
      <c r="M689" s="103"/>
      <c r="N689" s="103"/>
      <c r="O689" s="103"/>
      <c r="P689" s="100"/>
      <c r="U689" s="100"/>
      <c r="Z689" s="100"/>
      <c r="AE689" s="100"/>
      <c r="AJ689" s="100"/>
      <c r="AL689" s="78"/>
      <c r="AM689" s="78"/>
      <c r="AN689" s="100"/>
      <c r="AQ689" s="78"/>
      <c r="AR689" s="100"/>
      <c r="AT689" s="78"/>
      <c r="AU689" s="100"/>
      <c r="AX689" s="78"/>
      <c r="AY689" s="100"/>
      <c r="BC689" s="100"/>
      <c r="BF689" s="78"/>
      <c r="BG689" s="100"/>
      <c r="BJ689" s="78"/>
      <c r="BK689" s="100"/>
      <c r="BN689" s="100"/>
      <c r="BP689" s="104"/>
      <c r="BQ689" s="104"/>
    </row>
    <row r="690" spans="1:69" ht="12.75">
      <c r="A690" s="101"/>
      <c r="B690" s="1"/>
      <c r="F690" s="102"/>
      <c r="G690" s="1"/>
      <c r="K690" s="100"/>
      <c r="L690" s="103"/>
      <c r="M690" s="103"/>
      <c r="N690" s="103"/>
      <c r="O690" s="103"/>
      <c r="P690" s="100"/>
      <c r="U690" s="100"/>
      <c r="Z690" s="100"/>
      <c r="AE690" s="100"/>
      <c r="AJ690" s="100"/>
      <c r="AL690" s="78"/>
      <c r="AM690" s="78"/>
      <c r="AN690" s="100"/>
      <c r="AQ690" s="78"/>
      <c r="AR690" s="100"/>
      <c r="AT690" s="78"/>
      <c r="AU690" s="100"/>
      <c r="AX690" s="78"/>
      <c r="AY690" s="100"/>
      <c r="BC690" s="100"/>
      <c r="BF690" s="78"/>
      <c r="BG690" s="100"/>
      <c r="BJ690" s="78"/>
      <c r="BK690" s="100"/>
      <c r="BN690" s="100"/>
      <c r="BP690" s="104"/>
      <c r="BQ690" s="104"/>
    </row>
    <row r="691" spans="1:69" ht="12.75">
      <c r="A691" s="101"/>
      <c r="B691" s="1"/>
      <c r="F691" s="102"/>
      <c r="G691" s="1"/>
      <c r="K691" s="100"/>
      <c r="L691" s="103"/>
      <c r="M691" s="103"/>
      <c r="N691" s="103"/>
      <c r="O691" s="103"/>
      <c r="P691" s="100"/>
      <c r="U691" s="100"/>
      <c r="Z691" s="100"/>
      <c r="AE691" s="100"/>
      <c r="AJ691" s="100"/>
      <c r="AL691" s="78"/>
      <c r="AM691" s="78"/>
      <c r="AN691" s="100"/>
      <c r="AQ691" s="78"/>
      <c r="AR691" s="100"/>
      <c r="AT691" s="78"/>
      <c r="AU691" s="100"/>
      <c r="AX691" s="78"/>
      <c r="AY691" s="100"/>
      <c r="BC691" s="100"/>
      <c r="BF691" s="78"/>
      <c r="BG691" s="100"/>
      <c r="BJ691" s="78"/>
      <c r="BK691" s="100"/>
      <c r="BN691" s="100"/>
      <c r="BP691" s="104"/>
      <c r="BQ691" s="104"/>
    </row>
    <row r="692" spans="1:69" ht="12.75">
      <c r="A692" s="101"/>
      <c r="B692" s="1"/>
      <c r="F692" s="102"/>
      <c r="G692" s="1"/>
      <c r="K692" s="100"/>
      <c r="L692" s="103"/>
      <c r="M692" s="103"/>
      <c r="N692" s="103"/>
      <c r="O692" s="103"/>
      <c r="P692" s="100"/>
      <c r="U692" s="100"/>
      <c r="Z692" s="100"/>
      <c r="AE692" s="100"/>
      <c r="AJ692" s="100"/>
      <c r="AL692" s="78"/>
      <c r="AM692" s="78"/>
      <c r="AN692" s="100"/>
      <c r="AQ692" s="78"/>
      <c r="AR692" s="100"/>
      <c r="AT692" s="78"/>
      <c r="AU692" s="100"/>
      <c r="AX692" s="78"/>
      <c r="AY692" s="100"/>
      <c r="BC692" s="100"/>
      <c r="BF692" s="78"/>
      <c r="BG692" s="100"/>
      <c r="BJ692" s="78"/>
      <c r="BK692" s="100"/>
      <c r="BN692" s="100"/>
      <c r="BP692" s="104"/>
      <c r="BQ692" s="104"/>
    </row>
    <row r="693" spans="1:69" ht="12.75">
      <c r="A693" s="101"/>
      <c r="B693" s="1"/>
      <c r="F693" s="102"/>
      <c r="G693" s="1"/>
      <c r="K693" s="100"/>
      <c r="L693" s="103"/>
      <c r="M693" s="103"/>
      <c r="N693" s="103"/>
      <c r="O693" s="103"/>
      <c r="P693" s="100"/>
      <c r="U693" s="100"/>
      <c r="Z693" s="100"/>
      <c r="AE693" s="100"/>
      <c r="AJ693" s="100"/>
      <c r="AL693" s="78"/>
      <c r="AM693" s="78"/>
      <c r="AN693" s="100"/>
      <c r="AQ693" s="78"/>
      <c r="AR693" s="100"/>
      <c r="AT693" s="78"/>
      <c r="AU693" s="100"/>
      <c r="AX693" s="78"/>
      <c r="AY693" s="100"/>
      <c r="BC693" s="100"/>
      <c r="BF693" s="78"/>
      <c r="BG693" s="100"/>
      <c r="BJ693" s="78"/>
      <c r="BK693" s="100"/>
      <c r="BN693" s="100"/>
      <c r="BP693" s="104"/>
      <c r="BQ693" s="104"/>
    </row>
    <row r="694" spans="1:69" ht="12.75">
      <c r="A694" s="101"/>
      <c r="B694" s="1"/>
      <c r="F694" s="102"/>
      <c r="G694" s="1"/>
      <c r="K694" s="100"/>
      <c r="L694" s="103"/>
      <c r="M694" s="103"/>
      <c r="N694" s="103"/>
      <c r="O694" s="103"/>
      <c r="P694" s="100"/>
      <c r="U694" s="100"/>
      <c r="Z694" s="100"/>
      <c r="AE694" s="100"/>
      <c r="AJ694" s="100"/>
      <c r="AL694" s="78"/>
      <c r="AM694" s="78"/>
      <c r="AN694" s="100"/>
      <c r="AQ694" s="78"/>
      <c r="AR694" s="100"/>
      <c r="AT694" s="78"/>
      <c r="AU694" s="100"/>
      <c r="AX694" s="78"/>
      <c r="AY694" s="100"/>
      <c r="BC694" s="100"/>
      <c r="BF694" s="78"/>
      <c r="BG694" s="100"/>
      <c r="BJ694" s="78"/>
      <c r="BK694" s="100"/>
      <c r="BN694" s="100"/>
      <c r="BP694" s="104"/>
      <c r="BQ694" s="104"/>
    </row>
    <row r="695" spans="1:69" ht="12.75">
      <c r="A695" s="101"/>
      <c r="B695" s="1"/>
      <c r="F695" s="102"/>
      <c r="G695" s="1"/>
      <c r="K695" s="100"/>
      <c r="L695" s="103"/>
      <c r="M695" s="103"/>
      <c r="N695" s="103"/>
      <c r="O695" s="103"/>
      <c r="P695" s="100"/>
      <c r="U695" s="100"/>
      <c r="Z695" s="100"/>
      <c r="AE695" s="100"/>
      <c r="AJ695" s="100"/>
      <c r="AL695" s="78"/>
      <c r="AM695" s="78"/>
      <c r="AN695" s="100"/>
      <c r="AQ695" s="78"/>
      <c r="AR695" s="100"/>
      <c r="AT695" s="78"/>
      <c r="AU695" s="100"/>
      <c r="AX695" s="78"/>
      <c r="AY695" s="100"/>
      <c r="BC695" s="100"/>
      <c r="BF695" s="78"/>
      <c r="BG695" s="100"/>
      <c r="BJ695" s="78"/>
      <c r="BK695" s="100"/>
      <c r="BN695" s="100"/>
      <c r="BP695" s="104"/>
      <c r="BQ695" s="104"/>
    </row>
    <row r="696" spans="1:69" ht="12.75">
      <c r="A696" s="101"/>
      <c r="B696" s="1"/>
      <c r="F696" s="102"/>
      <c r="G696" s="1"/>
      <c r="K696" s="100"/>
      <c r="L696" s="103"/>
      <c r="M696" s="103"/>
      <c r="N696" s="103"/>
      <c r="O696" s="103"/>
      <c r="P696" s="100"/>
      <c r="U696" s="100"/>
      <c r="Z696" s="100"/>
      <c r="AE696" s="100"/>
      <c r="AJ696" s="100"/>
      <c r="AL696" s="78"/>
      <c r="AM696" s="78"/>
      <c r="AN696" s="100"/>
      <c r="AQ696" s="78"/>
      <c r="AR696" s="100"/>
      <c r="AT696" s="78"/>
      <c r="AU696" s="100"/>
      <c r="AX696" s="78"/>
      <c r="AY696" s="100"/>
      <c r="BC696" s="100"/>
      <c r="BF696" s="78"/>
      <c r="BG696" s="100"/>
      <c r="BJ696" s="78"/>
      <c r="BK696" s="100"/>
      <c r="BN696" s="100"/>
      <c r="BP696" s="104"/>
      <c r="BQ696" s="104"/>
    </row>
    <row r="697" spans="1:69" ht="12.75">
      <c r="A697" s="101"/>
      <c r="B697" s="1"/>
      <c r="F697" s="102"/>
      <c r="G697" s="1"/>
      <c r="K697" s="100"/>
      <c r="L697" s="103"/>
      <c r="M697" s="103"/>
      <c r="N697" s="103"/>
      <c r="O697" s="103"/>
      <c r="P697" s="100"/>
      <c r="U697" s="100"/>
      <c r="Z697" s="100"/>
      <c r="AE697" s="100"/>
      <c r="AJ697" s="100"/>
      <c r="AL697" s="78"/>
      <c r="AM697" s="78"/>
      <c r="AN697" s="100"/>
      <c r="AQ697" s="78"/>
      <c r="AR697" s="100"/>
      <c r="AT697" s="78"/>
      <c r="AU697" s="100"/>
      <c r="AX697" s="78"/>
      <c r="AY697" s="100"/>
      <c r="BC697" s="100"/>
      <c r="BF697" s="78"/>
      <c r="BG697" s="100"/>
      <c r="BJ697" s="78"/>
      <c r="BK697" s="100"/>
      <c r="BN697" s="100"/>
      <c r="BP697" s="104"/>
      <c r="BQ697" s="104"/>
    </row>
    <row r="698" spans="1:69" ht="12.75">
      <c r="A698" s="101"/>
      <c r="B698" s="1"/>
      <c r="F698" s="102"/>
      <c r="G698" s="1"/>
      <c r="K698" s="100"/>
      <c r="L698" s="103"/>
      <c r="M698" s="103"/>
      <c r="N698" s="103"/>
      <c r="O698" s="103"/>
      <c r="P698" s="100"/>
      <c r="U698" s="100"/>
      <c r="Z698" s="100"/>
      <c r="AE698" s="100"/>
      <c r="AJ698" s="100"/>
      <c r="AL698" s="78"/>
      <c r="AM698" s="78"/>
      <c r="AN698" s="100"/>
      <c r="AQ698" s="78"/>
      <c r="AR698" s="100"/>
      <c r="AT698" s="78"/>
      <c r="AU698" s="100"/>
      <c r="AX698" s="78"/>
      <c r="AY698" s="100"/>
      <c r="BC698" s="100"/>
      <c r="BF698" s="78"/>
      <c r="BG698" s="100"/>
      <c r="BJ698" s="78"/>
      <c r="BK698" s="100"/>
      <c r="BN698" s="100"/>
      <c r="BP698" s="104"/>
      <c r="BQ698" s="104"/>
    </row>
    <row r="699" spans="1:69" ht="12.75">
      <c r="A699" s="101"/>
      <c r="B699" s="1"/>
      <c r="F699" s="102"/>
      <c r="G699" s="1"/>
      <c r="K699" s="100"/>
      <c r="L699" s="103"/>
      <c r="M699" s="103"/>
      <c r="N699" s="103"/>
      <c r="O699" s="103"/>
      <c r="P699" s="100"/>
      <c r="U699" s="100"/>
      <c r="Z699" s="100"/>
      <c r="AE699" s="100"/>
      <c r="AJ699" s="100"/>
      <c r="AL699" s="78"/>
      <c r="AM699" s="78"/>
      <c r="AN699" s="100"/>
      <c r="AQ699" s="78"/>
      <c r="AR699" s="100"/>
      <c r="AT699" s="78"/>
      <c r="AU699" s="100"/>
      <c r="AX699" s="78"/>
      <c r="AY699" s="100"/>
      <c r="BC699" s="100"/>
      <c r="BF699" s="78"/>
      <c r="BG699" s="100"/>
      <c r="BJ699" s="78"/>
      <c r="BK699" s="100"/>
      <c r="BN699" s="100"/>
      <c r="BP699" s="104"/>
      <c r="BQ699" s="104"/>
    </row>
    <row r="700" spans="1:69" ht="12.75">
      <c r="A700" s="101"/>
      <c r="B700" s="1"/>
      <c r="F700" s="102"/>
      <c r="G700" s="1"/>
      <c r="K700" s="100"/>
      <c r="L700" s="103"/>
      <c r="M700" s="103"/>
      <c r="N700" s="103"/>
      <c r="O700" s="103"/>
      <c r="P700" s="100"/>
      <c r="U700" s="100"/>
      <c r="Z700" s="100"/>
      <c r="AE700" s="100"/>
      <c r="AJ700" s="100"/>
      <c r="AL700" s="78"/>
      <c r="AM700" s="78"/>
      <c r="AN700" s="100"/>
      <c r="AQ700" s="78"/>
      <c r="AR700" s="100"/>
      <c r="AT700" s="78"/>
      <c r="AU700" s="100"/>
      <c r="AX700" s="78"/>
      <c r="AY700" s="100"/>
      <c r="BC700" s="100"/>
      <c r="BF700" s="78"/>
      <c r="BG700" s="100"/>
      <c r="BJ700" s="78"/>
      <c r="BK700" s="100"/>
      <c r="BN700" s="100"/>
      <c r="BP700" s="104"/>
      <c r="BQ700" s="104"/>
    </row>
    <row r="701" spans="1:69" ht="12.75">
      <c r="A701" s="101"/>
      <c r="B701" s="1"/>
      <c r="F701" s="102"/>
      <c r="G701" s="1"/>
      <c r="K701" s="100"/>
      <c r="L701" s="103"/>
      <c r="M701" s="103"/>
      <c r="N701" s="103"/>
      <c r="O701" s="103"/>
      <c r="P701" s="100"/>
      <c r="U701" s="100"/>
      <c r="Z701" s="100"/>
      <c r="AE701" s="100"/>
      <c r="AJ701" s="100"/>
      <c r="AL701" s="78"/>
      <c r="AM701" s="78"/>
      <c r="AN701" s="100"/>
      <c r="AQ701" s="78"/>
      <c r="AR701" s="100"/>
      <c r="AT701" s="78"/>
      <c r="AU701" s="100"/>
      <c r="AX701" s="78"/>
      <c r="AY701" s="100"/>
      <c r="BC701" s="100"/>
      <c r="BF701" s="78"/>
      <c r="BG701" s="100"/>
      <c r="BJ701" s="78"/>
      <c r="BK701" s="100"/>
      <c r="BN701" s="100"/>
      <c r="BP701" s="104"/>
      <c r="BQ701" s="104"/>
    </row>
    <row r="702" spans="1:69" ht="12.75">
      <c r="A702" s="101"/>
      <c r="B702" s="1"/>
      <c r="F702" s="102"/>
      <c r="G702" s="1"/>
      <c r="K702" s="100"/>
      <c r="L702" s="103"/>
      <c r="M702" s="103"/>
      <c r="N702" s="103"/>
      <c r="O702" s="103"/>
      <c r="P702" s="100"/>
      <c r="U702" s="100"/>
      <c r="Z702" s="100"/>
      <c r="AE702" s="100"/>
      <c r="AJ702" s="100"/>
      <c r="AL702" s="78"/>
      <c r="AM702" s="78"/>
      <c r="AN702" s="100"/>
      <c r="AQ702" s="78"/>
      <c r="AR702" s="100"/>
      <c r="AT702" s="78"/>
      <c r="AU702" s="100"/>
      <c r="AX702" s="78"/>
      <c r="AY702" s="100"/>
      <c r="BC702" s="100"/>
      <c r="BF702" s="78"/>
      <c r="BG702" s="100"/>
      <c r="BJ702" s="78"/>
      <c r="BK702" s="100"/>
      <c r="BN702" s="100"/>
      <c r="BP702" s="104"/>
      <c r="BQ702" s="104"/>
    </row>
    <row r="703" spans="1:69" ht="12.75">
      <c r="A703" s="101"/>
      <c r="B703" s="1"/>
      <c r="F703" s="102"/>
      <c r="G703" s="1"/>
      <c r="K703" s="100"/>
      <c r="L703" s="103"/>
      <c r="M703" s="103"/>
      <c r="N703" s="103"/>
      <c r="O703" s="103"/>
      <c r="P703" s="100"/>
      <c r="U703" s="100"/>
      <c r="Z703" s="100"/>
      <c r="AE703" s="100"/>
      <c r="AJ703" s="100"/>
      <c r="AL703" s="78"/>
      <c r="AM703" s="78"/>
      <c r="AN703" s="100"/>
      <c r="AQ703" s="78"/>
      <c r="AR703" s="100"/>
      <c r="AT703" s="78"/>
      <c r="AU703" s="100"/>
      <c r="AX703" s="78"/>
      <c r="AY703" s="100"/>
      <c r="BC703" s="100"/>
      <c r="BF703" s="78"/>
      <c r="BG703" s="100"/>
      <c r="BJ703" s="78"/>
      <c r="BK703" s="100"/>
      <c r="BN703" s="100"/>
      <c r="BP703" s="104"/>
      <c r="BQ703" s="104"/>
    </row>
    <row r="704" spans="1:69" ht="12.75">
      <c r="A704" s="101"/>
      <c r="B704" s="1"/>
      <c r="F704" s="102"/>
      <c r="G704" s="1"/>
      <c r="K704" s="100"/>
      <c r="L704" s="103"/>
      <c r="M704" s="103"/>
      <c r="N704" s="103"/>
      <c r="O704" s="103"/>
      <c r="P704" s="100"/>
      <c r="U704" s="100"/>
      <c r="Z704" s="100"/>
      <c r="AE704" s="100"/>
      <c r="AJ704" s="100"/>
      <c r="AL704" s="78"/>
      <c r="AM704" s="78"/>
      <c r="AN704" s="100"/>
      <c r="AQ704" s="78"/>
      <c r="AR704" s="100"/>
      <c r="AT704" s="78"/>
      <c r="AU704" s="100"/>
      <c r="AX704" s="78"/>
      <c r="AY704" s="100"/>
      <c r="BC704" s="100"/>
      <c r="BF704" s="78"/>
      <c r="BG704" s="100"/>
      <c r="BJ704" s="78"/>
      <c r="BK704" s="100"/>
      <c r="BN704" s="100"/>
      <c r="BP704" s="104"/>
      <c r="BQ704" s="104"/>
    </row>
    <row r="705" spans="1:69" ht="12.75">
      <c r="A705" s="101"/>
      <c r="B705" s="1"/>
      <c r="F705" s="102"/>
      <c r="G705" s="1"/>
      <c r="K705" s="100"/>
      <c r="L705" s="103"/>
      <c r="M705" s="103"/>
      <c r="N705" s="103"/>
      <c r="O705" s="103"/>
      <c r="P705" s="100"/>
      <c r="U705" s="100"/>
      <c r="Z705" s="100"/>
      <c r="AE705" s="100"/>
      <c r="AJ705" s="100"/>
      <c r="AL705" s="78"/>
      <c r="AM705" s="78"/>
      <c r="AN705" s="100"/>
      <c r="AQ705" s="78"/>
      <c r="AR705" s="100"/>
      <c r="AT705" s="78"/>
      <c r="AU705" s="100"/>
      <c r="AX705" s="78"/>
      <c r="AY705" s="100"/>
      <c r="BC705" s="100"/>
      <c r="BF705" s="78"/>
      <c r="BG705" s="100"/>
      <c r="BJ705" s="78"/>
      <c r="BK705" s="100"/>
      <c r="BN705" s="100"/>
      <c r="BP705" s="104"/>
      <c r="BQ705" s="104"/>
    </row>
    <row r="706" spans="1:69" ht="12.75">
      <c r="A706" s="101"/>
      <c r="B706" s="1"/>
      <c r="F706" s="102"/>
      <c r="G706" s="1"/>
      <c r="K706" s="100"/>
      <c r="L706" s="103"/>
      <c r="M706" s="103"/>
      <c r="N706" s="103"/>
      <c r="O706" s="103"/>
      <c r="P706" s="100"/>
      <c r="U706" s="100"/>
      <c r="Z706" s="100"/>
      <c r="AE706" s="100"/>
      <c r="AJ706" s="100"/>
      <c r="AL706" s="78"/>
      <c r="AM706" s="78"/>
      <c r="AN706" s="100"/>
      <c r="AQ706" s="78"/>
      <c r="AR706" s="100"/>
      <c r="AT706" s="78"/>
      <c r="AU706" s="100"/>
      <c r="AX706" s="78"/>
      <c r="AY706" s="100"/>
      <c r="BC706" s="100"/>
      <c r="BF706" s="78"/>
      <c r="BG706" s="100"/>
      <c r="BJ706" s="78"/>
      <c r="BK706" s="100"/>
      <c r="BN706" s="100"/>
      <c r="BP706" s="104"/>
      <c r="BQ706" s="104"/>
    </row>
    <row r="707" spans="1:69" ht="12.75">
      <c r="A707" s="101"/>
      <c r="B707" s="1"/>
      <c r="F707" s="102"/>
      <c r="G707" s="1"/>
      <c r="K707" s="100"/>
      <c r="L707" s="103"/>
      <c r="M707" s="103"/>
      <c r="N707" s="103"/>
      <c r="O707" s="103"/>
      <c r="P707" s="100"/>
      <c r="U707" s="100"/>
      <c r="Z707" s="100"/>
      <c r="AE707" s="100"/>
      <c r="AJ707" s="100"/>
      <c r="AL707" s="78"/>
      <c r="AM707" s="78"/>
      <c r="AN707" s="100"/>
      <c r="AQ707" s="78"/>
      <c r="AR707" s="100"/>
      <c r="AT707" s="78"/>
      <c r="AU707" s="100"/>
      <c r="AX707" s="78"/>
      <c r="AY707" s="100"/>
      <c r="BC707" s="100"/>
      <c r="BF707" s="78"/>
      <c r="BG707" s="100"/>
      <c r="BJ707" s="78"/>
      <c r="BK707" s="100"/>
      <c r="BN707" s="100"/>
      <c r="BP707" s="104"/>
      <c r="BQ707" s="104"/>
    </row>
    <row r="708" spans="1:69" ht="12.75">
      <c r="A708" s="101"/>
      <c r="B708" s="1"/>
      <c r="F708" s="102"/>
      <c r="G708" s="1"/>
      <c r="K708" s="100"/>
      <c r="L708" s="103"/>
      <c r="M708" s="103"/>
      <c r="N708" s="103"/>
      <c r="O708" s="103"/>
      <c r="P708" s="100"/>
      <c r="U708" s="100"/>
      <c r="Z708" s="100"/>
      <c r="AE708" s="100"/>
      <c r="AJ708" s="100"/>
      <c r="AL708" s="78"/>
      <c r="AM708" s="78"/>
      <c r="AN708" s="100"/>
      <c r="AQ708" s="78"/>
      <c r="AR708" s="100"/>
      <c r="AT708" s="78"/>
      <c r="AU708" s="100"/>
      <c r="AX708" s="78"/>
      <c r="AY708" s="100"/>
      <c r="BC708" s="100"/>
      <c r="BF708" s="78"/>
      <c r="BG708" s="100"/>
      <c r="BJ708" s="78"/>
      <c r="BK708" s="100"/>
      <c r="BN708" s="100"/>
      <c r="BP708" s="104"/>
      <c r="BQ708" s="104"/>
    </row>
    <row r="709" spans="1:69" ht="12.75">
      <c r="A709" s="101"/>
      <c r="B709" s="1"/>
      <c r="F709" s="102"/>
      <c r="G709" s="1"/>
      <c r="K709" s="100"/>
      <c r="L709" s="103"/>
      <c r="M709" s="103"/>
      <c r="N709" s="103"/>
      <c r="O709" s="103"/>
      <c r="P709" s="100"/>
      <c r="U709" s="100"/>
      <c r="Z709" s="100"/>
      <c r="AE709" s="100"/>
      <c r="AJ709" s="100"/>
      <c r="AL709" s="78"/>
      <c r="AM709" s="78"/>
      <c r="AN709" s="100"/>
      <c r="AQ709" s="78"/>
      <c r="AR709" s="100"/>
      <c r="AT709" s="78"/>
      <c r="AU709" s="100"/>
      <c r="AX709" s="78"/>
      <c r="AY709" s="100"/>
      <c r="BC709" s="100"/>
      <c r="BF709" s="78"/>
      <c r="BG709" s="100"/>
      <c r="BJ709" s="78"/>
      <c r="BK709" s="100"/>
      <c r="BN709" s="100"/>
      <c r="BP709" s="104"/>
      <c r="BQ709" s="104"/>
    </row>
    <row r="710" spans="1:69" ht="12.75">
      <c r="A710" s="101"/>
      <c r="B710" s="1"/>
      <c r="F710" s="102"/>
      <c r="G710" s="1"/>
      <c r="K710" s="100"/>
      <c r="L710" s="103"/>
      <c r="M710" s="103"/>
      <c r="N710" s="103"/>
      <c r="O710" s="103"/>
      <c r="P710" s="100"/>
      <c r="U710" s="100"/>
      <c r="Z710" s="100"/>
      <c r="AE710" s="100"/>
      <c r="AJ710" s="100"/>
      <c r="AL710" s="78"/>
      <c r="AM710" s="78"/>
      <c r="AN710" s="100"/>
      <c r="AQ710" s="78"/>
      <c r="AR710" s="100"/>
      <c r="AT710" s="78"/>
      <c r="AU710" s="100"/>
      <c r="AX710" s="78"/>
      <c r="AY710" s="100"/>
      <c r="BC710" s="100"/>
      <c r="BF710" s="78"/>
      <c r="BG710" s="100"/>
      <c r="BJ710" s="78"/>
      <c r="BK710" s="100"/>
      <c r="BN710" s="100"/>
      <c r="BP710" s="104"/>
      <c r="BQ710" s="104"/>
    </row>
    <row r="711" spans="1:69" ht="12.75">
      <c r="A711" s="101"/>
      <c r="B711" s="1"/>
      <c r="F711" s="102"/>
      <c r="G711" s="1"/>
      <c r="K711" s="100"/>
      <c r="L711" s="103"/>
      <c r="M711" s="103"/>
      <c r="N711" s="103"/>
      <c r="O711" s="103"/>
      <c r="P711" s="100"/>
      <c r="U711" s="100"/>
      <c r="Z711" s="100"/>
      <c r="AE711" s="100"/>
      <c r="AJ711" s="100"/>
      <c r="AL711" s="78"/>
      <c r="AM711" s="78"/>
      <c r="AN711" s="100"/>
      <c r="AQ711" s="78"/>
      <c r="AR711" s="100"/>
      <c r="AT711" s="78"/>
      <c r="AU711" s="100"/>
      <c r="AX711" s="78"/>
      <c r="AY711" s="100"/>
      <c r="BC711" s="100"/>
      <c r="BF711" s="78"/>
      <c r="BG711" s="100"/>
      <c r="BJ711" s="78"/>
      <c r="BK711" s="100"/>
      <c r="BN711" s="100"/>
      <c r="BP711" s="104"/>
      <c r="BQ711" s="104"/>
    </row>
    <row r="712" spans="1:69" ht="12.75">
      <c r="A712" s="101"/>
      <c r="B712" s="1"/>
      <c r="F712" s="102"/>
      <c r="G712" s="1"/>
      <c r="K712" s="100"/>
      <c r="L712" s="103"/>
      <c r="M712" s="103"/>
      <c r="N712" s="103"/>
      <c r="O712" s="103"/>
      <c r="P712" s="100"/>
      <c r="U712" s="100"/>
      <c r="Z712" s="100"/>
      <c r="AE712" s="100"/>
      <c r="AJ712" s="100"/>
      <c r="AL712" s="78"/>
      <c r="AM712" s="78"/>
      <c r="AN712" s="100"/>
      <c r="AQ712" s="78"/>
      <c r="AR712" s="100"/>
      <c r="AT712" s="78"/>
      <c r="AU712" s="100"/>
      <c r="AX712" s="78"/>
      <c r="AY712" s="100"/>
      <c r="BC712" s="100"/>
      <c r="BF712" s="78"/>
      <c r="BG712" s="100"/>
      <c r="BJ712" s="78"/>
      <c r="BK712" s="100"/>
      <c r="BN712" s="100"/>
      <c r="BP712" s="104"/>
      <c r="BQ712" s="104"/>
    </row>
    <row r="713" spans="1:69" ht="12.75">
      <c r="A713" s="101"/>
      <c r="B713" s="1"/>
      <c r="F713" s="102"/>
      <c r="G713" s="1"/>
      <c r="K713" s="100"/>
      <c r="L713" s="103"/>
      <c r="M713" s="103"/>
      <c r="N713" s="103"/>
      <c r="O713" s="103"/>
      <c r="P713" s="100"/>
      <c r="U713" s="100"/>
      <c r="Z713" s="100"/>
      <c r="AE713" s="100"/>
      <c r="AJ713" s="100"/>
      <c r="AL713" s="78"/>
      <c r="AM713" s="78"/>
      <c r="AN713" s="100"/>
      <c r="AQ713" s="78"/>
      <c r="AR713" s="100"/>
      <c r="AT713" s="78"/>
      <c r="AU713" s="100"/>
      <c r="AX713" s="78"/>
      <c r="AY713" s="100"/>
      <c r="BC713" s="100"/>
      <c r="BF713" s="78"/>
      <c r="BG713" s="100"/>
      <c r="BJ713" s="78"/>
      <c r="BK713" s="100"/>
      <c r="BN713" s="100"/>
      <c r="BP713" s="104"/>
      <c r="BQ713" s="104"/>
    </row>
    <row r="714" spans="1:69" ht="12.75">
      <c r="A714" s="101"/>
      <c r="B714" s="1"/>
      <c r="F714" s="102"/>
      <c r="G714" s="1"/>
      <c r="K714" s="100"/>
      <c r="L714" s="103"/>
      <c r="M714" s="103"/>
      <c r="N714" s="103"/>
      <c r="O714" s="103"/>
      <c r="P714" s="100"/>
      <c r="U714" s="100"/>
      <c r="Z714" s="100"/>
      <c r="AE714" s="100"/>
      <c r="AJ714" s="100"/>
      <c r="AL714" s="78"/>
      <c r="AM714" s="78"/>
      <c r="AN714" s="100"/>
      <c r="AQ714" s="78"/>
      <c r="AR714" s="100"/>
      <c r="AT714" s="78"/>
      <c r="AU714" s="100"/>
      <c r="AX714" s="78"/>
      <c r="AY714" s="100"/>
      <c r="BC714" s="100"/>
      <c r="BF714" s="78"/>
      <c r="BG714" s="100"/>
      <c r="BJ714" s="78"/>
      <c r="BK714" s="100"/>
      <c r="BN714" s="100"/>
      <c r="BP714" s="104"/>
      <c r="BQ714" s="104"/>
    </row>
    <row r="715" spans="1:69" ht="12.75">
      <c r="A715" s="101"/>
      <c r="B715" s="1"/>
      <c r="F715" s="102"/>
      <c r="G715" s="1"/>
      <c r="K715" s="100"/>
      <c r="L715" s="103"/>
      <c r="M715" s="103"/>
      <c r="N715" s="103"/>
      <c r="O715" s="103"/>
      <c r="P715" s="100"/>
      <c r="U715" s="100"/>
      <c r="Z715" s="100"/>
      <c r="AE715" s="100"/>
      <c r="AJ715" s="100"/>
      <c r="AL715" s="78"/>
      <c r="AM715" s="78"/>
      <c r="AN715" s="100"/>
      <c r="AQ715" s="78"/>
      <c r="AR715" s="100"/>
      <c r="AT715" s="78"/>
      <c r="AU715" s="100"/>
      <c r="AX715" s="78"/>
      <c r="AY715" s="100"/>
      <c r="BC715" s="100"/>
      <c r="BF715" s="78"/>
      <c r="BG715" s="100"/>
      <c r="BJ715" s="78"/>
      <c r="BK715" s="100"/>
      <c r="BN715" s="100"/>
      <c r="BP715" s="104"/>
      <c r="BQ715" s="104"/>
    </row>
    <row r="716" spans="1:69" ht="12.75">
      <c r="A716" s="101"/>
      <c r="B716" s="1"/>
      <c r="F716" s="102"/>
      <c r="G716" s="1"/>
      <c r="K716" s="100"/>
      <c r="L716" s="103"/>
      <c r="M716" s="103"/>
      <c r="N716" s="103"/>
      <c r="O716" s="103"/>
      <c r="P716" s="100"/>
      <c r="U716" s="100"/>
      <c r="Z716" s="100"/>
      <c r="AE716" s="100"/>
      <c r="AJ716" s="100"/>
      <c r="AL716" s="78"/>
      <c r="AM716" s="78"/>
      <c r="AN716" s="100"/>
      <c r="AQ716" s="78"/>
      <c r="AR716" s="100"/>
      <c r="AT716" s="78"/>
      <c r="AU716" s="100"/>
      <c r="AX716" s="78"/>
      <c r="AY716" s="100"/>
      <c r="BC716" s="100"/>
      <c r="BF716" s="78"/>
      <c r="BG716" s="100"/>
      <c r="BJ716" s="78"/>
      <c r="BK716" s="100"/>
      <c r="BN716" s="100"/>
      <c r="BP716" s="104"/>
      <c r="BQ716" s="104"/>
    </row>
    <row r="717" spans="1:69" ht="12.75">
      <c r="A717" s="101"/>
      <c r="B717" s="1"/>
      <c r="F717" s="102"/>
      <c r="G717" s="1"/>
      <c r="K717" s="100"/>
      <c r="L717" s="103"/>
      <c r="M717" s="103"/>
      <c r="N717" s="103"/>
      <c r="O717" s="103"/>
      <c r="P717" s="100"/>
      <c r="U717" s="100"/>
      <c r="Z717" s="100"/>
      <c r="AE717" s="100"/>
      <c r="AJ717" s="100"/>
      <c r="AL717" s="78"/>
      <c r="AM717" s="78"/>
      <c r="AN717" s="100"/>
      <c r="AQ717" s="78"/>
      <c r="AR717" s="100"/>
      <c r="AT717" s="78"/>
      <c r="AU717" s="100"/>
      <c r="AX717" s="78"/>
      <c r="AY717" s="100"/>
      <c r="BC717" s="100"/>
      <c r="BF717" s="78"/>
      <c r="BG717" s="100"/>
      <c r="BJ717" s="78"/>
      <c r="BK717" s="100"/>
      <c r="BN717" s="100"/>
      <c r="BP717" s="104"/>
      <c r="BQ717" s="104"/>
    </row>
    <row r="718" spans="1:69" ht="12.75">
      <c r="A718" s="101"/>
      <c r="B718" s="1"/>
      <c r="F718" s="102"/>
      <c r="G718" s="1"/>
      <c r="K718" s="100"/>
      <c r="L718" s="103"/>
      <c r="M718" s="103"/>
      <c r="N718" s="103"/>
      <c r="O718" s="103"/>
      <c r="P718" s="100"/>
      <c r="U718" s="100"/>
      <c r="Z718" s="100"/>
      <c r="AE718" s="100"/>
      <c r="AJ718" s="100"/>
      <c r="AL718" s="78"/>
      <c r="AM718" s="78"/>
      <c r="AN718" s="100"/>
      <c r="AQ718" s="78"/>
      <c r="AR718" s="100"/>
      <c r="AT718" s="78"/>
      <c r="AU718" s="100"/>
      <c r="AX718" s="78"/>
      <c r="AY718" s="100"/>
      <c r="BC718" s="100"/>
      <c r="BF718" s="78"/>
      <c r="BG718" s="100"/>
      <c r="BJ718" s="78"/>
      <c r="BK718" s="100"/>
      <c r="BN718" s="100"/>
      <c r="BP718" s="104"/>
      <c r="BQ718" s="104"/>
    </row>
    <row r="719" spans="1:69" ht="12.75">
      <c r="A719" s="101"/>
      <c r="B719" s="1"/>
      <c r="F719" s="102"/>
      <c r="G719" s="1"/>
      <c r="K719" s="100"/>
      <c r="L719" s="103"/>
      <c r="M719" s="103"/>
      <c r="N719" s="103"/>
      <c r="O719" s="103"/>
      <c r="P719" s="100"/>
      <c r="U719" s="100"/>
      <c r="Z719" s="100"/>
      <c r="AE719" s="100"/>
      <c r="AJ719" s="100"/>
      <c r="AL719" s="78"/>
      <c r="AM719" s="78"/>
      <c r="AN719" s="100"/>
      <c r="AQ719" s="78"/>
      <c r="AR719" s="100"/>
      <c r="AT719" s="78"/>
      <c r="AU719" s="100"/>
      <c r="AX719" s="78"/>
      <c r="AY719" s="100"/>
      <c r="BC719" s="100"/>
      <c r="BF719" s="78"/>
      <c r="BG719" s="100"/>
      <c r="BJ719" s="78"/>
      <c r="BK719" s="100"/>
      <c r="BN719" s="100"/>
      <c r="BP719" s="104"/>
      <c r="BQ719" s="104"/>
    </row>
    <row r="720" spans="1:69" ht="12.75">
      <c r="A720" s="101"/>
      <c r="B720" s="1"/>
      <c r="F720" s="102"/>
      <c r="G720" s="1"/>
      <c r="K720" s="100"/>
      <c r="L720" s="103"/>
      <c r="M720" s="103"/>
      <c r="N720" s="103"/>
      <c r="O720" s="103"/>
      <c r="P720" s="100"/>
      <c r="U720" s="100"/>
      <c r="Z720" s="100"/>
      <c r="AE720" s="100"/>
      <c r="AJ720" s="100"/>
      <c r="AL720" s="78"/>
      <c r="AM720" s="78"/>
      <c r="AN720" s="100"/>
      <c r="AQ720" s="78"/>
      <c r="AR720" s="100"/>
      <c r="AT720" s="78"/>
      <c r="AU720" s="100"/>
      <c r="AX720" s="78"/>
      <c r="AY720" s="100"/>
      <c r="BC720" s="100"/>
      <c r="BF720" s="78"/>
      <c r="BG720" s="100"/>
      <c r="BJ720" s="78"/>
      <c r="BK720" s="100"/>
      <c r="BN720" s="100"/>
      <c r="BP720" s="104"/>
      <c r="BQ720" s="104"/>
    </row>
    <row r="721" spans="1:69" ht="12.75">
      <c r="A721" s="101"/>
      <c r="B721" s="1"/>
      <c r="F721" s="102"/>
      <c r="G721" s="1"/>
      <c r="K721" s="100"/>
      <c r="L721" s="103"/>
      <c r="M721" s="103"/>
      <c r="N721" s="103"/>
      <c r="O721" s="103"/>
      <c r="P721" s="100"/>
      <c r="U721" s="100"/>
      <c r="Z721" s="100"/>
      <c r="AE721" s="100"/>
      <c r="AJ721" s="100"/>
      <c r="AL721" s="78"/>
      <c r="AM721" s="78"/>
      <c r="AN721" s="100"/>
      <c r="AQ721" s="78"/>
      <c r="AR721" s="100"/>
      <c r="AT721" s="78"/>
      <c r="AU721" s="100"/>
      <c r="AX721" s="78"/>
      <c r="AY721" s="100"/>
      <c r="BC721" s="100"/>
      <c r="BF721" s="78"/>
      <c r="BG721" s="100"/>
      <c r="BJ721" s="78"/>
      <c r="BK721" s="100"/>
      <c r="BN721" s="100"/>
      <c r="BP721" s="104"/>
      <c r="BQ721" s="104"/>
    </row>
    <row r="722" spans="1:69" ht="12.75">
      <c r="A722" s="101"/>
      <c r="B722" s="1"/>
      <c r="F722" s="102"/>
      <c r="G722" s="1"/>
      <c r="K722" s="100"/>
      <c r="L722" s="103"/>
      <c r="M722" s="103"/>
      <c r="N722" s="103"/>
      <c r="O722" s="103"/>
      <c r="P722" s="100"/>
      <c r="U722" s="100"/>
      <c r="Z722" s="100"/>
      <c r="AE722" s="100"/>
      <c r="AJ722" s="100"/>
      <c r="AL722" s="78"/>
      <c r="AM722" s="78"/>
      <c r="AN722" s="100"/>
      <c r="AQ722" s="78"/>
      <c r="AR722" s="100"/>
      <c r="AT722" s="78"/>
      <c r="AU722" s="100"/>
      <c r="AX722" s="78"/>
      <c r="AY722" s="100"/>
      <c r="BC722" s="100"/>
      <c r="BF722" s="78"/>
      <c r="BG722" s="100"/>
      <c r="BJ722" s="78"/>
      <c r="BK722" s="100"/>
      <c r="BN722" s="100"/>
      <c r="BP722" s="104"/>
      <c r="BQ722" s="104"/>
    </row>
    <row r="723" spans="1:69" ht="12.75">
      <c r="A723" s="101"/>
      <c r="B723" s="1"/>
      <c r="F723" s="102"/>
      <c r="G723" s="1"/>
      <c r="K723" s="100"/>
      <c r="L723" s="103"/>
      <c r="M723" s="103"/>
      <c r="N723" s="103"/>
      <c r="O723" s="103"/>
      <c r="P723" s="100"/>
      <c r="U723" s="100"/>
      <c r="Z723" s="100"/>
      <c r="AE723" s="100"/>
      <c r="AJ723" s="100"/>
      <c r="AL723" s="78"/>
      <c r="AM723" s="78"/>
      <c r="AN723" s="100"/>
      <c r="AQ723" s="78"/>
      <c r="AR723" s="100"/>
      <c r="AT723" s="78"/>
      <c r="AU723" s="100"/>
      <c r="AX723" s="78"/>
      <c r="AY723" s="100"/>
      <c r="BC723" s="100"/>
      <c r="BF723" s="78"/>
      <c r="BG723" s="100"/>
      <c r="BJ723" s="78"/>
      <c r="BK723" s="100"/>
      <c r="BN723" s="100"/>
      <c r="BP723" s="104"/>
      <c r="BQ723" s="104"/>
    </row>
    <row r="724" spans="1:69" ht="12.75">
      <c r="A724" s="101"/>
      <c r="B724" s="1"/>
      <c r="F724" s="102"/>
      <c r="G724" s="1"/>
      <c r="K724" s="100"/>
      <c r="L724" s="103"/>
      <c r="M724" s="103"/>
      <c r="N724" s="103"/>
      <c r="O724" s="103"/>
      <c r="P724" s="100"/>
      <c r="U724" s="100"/>
      <c r="Z724" s="100"/>
      <c r="AE724" s="100"/>
      <c r="AJ724" s="100"/>
      <c r="AL724" s="78"/>
      <c r="AM724" s="78"/>
      <c r="AN724" s="100"/>
      <c r="AQ724" s="78"/>
      <c r="AR724" s="100"/>
      <c r="AT724" s="78"/>
      <c r="AU724" s="100"/>
      <c r="AX724" s="78"/>
      <c r="AY724" s="100"/>
      <c r="BC724" s="100"/>
      <c r="BF724" s="78"/>
      <c r="BG724" s="100"/>
      <c r="BJ724" s="78"/>
      <c r="BK724" s="100"/>
      <c r="BN724" s="100"/>
      <c r="BP724" s="104"/>
      <c r="BQ724" s="104"/>
    </row>
    <row r="725" spans="1:69" ht="12.75">
      <c r="A725" s="101"/>
      <c r="B725" s="1"/>
      <c r="F725" s="102"/>
      <c r="G725" s="1"/>
      <c r="K725" s="100"/>
      <c r="L725" s="103"/>
      <c r="M725" s="103"/>
      <c r="N725" s="103"/>
      <c r="O725" s="103"/>
      <c r="P725" s="100"/>
      <c r="U725" s="100"/>
      <c r="Z725" s="100"/>
      <c r="AE725" s="100"/>
      <c r="AJ725" s="100"/>
      <c r="AL725" s="78"/>
      <c r="AM725" s="78"/>
      <c r="AN725" s="100"/>
      <c r="AQ725" s="78"/>
      <c r="AR725" s="100"/>
      <c r="AT725" s="78"/>
      <c r="AU725" s="100"/>
      <c r="AX725" s="78"/>
      <c r="AY725" s="100"/>
      <c r="BC725" s="100"/>
      <c r="BF725" s="78"/>
      <c r="BG725" s="100"/>
      <c r="BJ725" s="78"/>
      <c r="BK725" s="100"/>
      <c r="BN725" s="100"/>
      <c r="BP725" s="104"/>
      <c r="BQ725" s="104"/>
    </row>
    <row r="726" spans="1:69" ht="12.75">
      <c r="A726" s="101"/>
      <c r="B726" s="1"/>
      <c r="F726" s="102"/>
      <c r="G726" s="1"/>
      <c r="K726" s="100"/>
      <c r="L726" s="103"/>
      <c r="M726" s="103"/>
      <c r="N726" s="103"/>
      <c r="O726" s="103"/>
      <c r="P726" s="100"/>
      <c r="U726" s="100"/>
      <c r="Z726" s="100"/>
      <c r="AE726" s="100"/>
      <c r="AJ726" s="100"/>
      <c r="AL726" s="78"/>
      <c r="AM726" s="78"/>
      <c r="AN726" s="100"/>
      <c r="AQ726" s="78"/>
      <c r="AR726" s="100"/>
      <c r="AT726" s="78"/>
      <c r="AU726" s="100"/>
      <c r="AX726" s="78"/>
      <c r="AY726" s="100"/>
      <c r="BC726" s="100"/>
      <c r="BF726" s="78"/>
      <c r="BG726" s="100"/>
      <c r="BJ726" s="78"/>
      <c r="BK726" s="100"/>
      <c r="BN726" s="100"/>
      <c r="BP726" s="104"/>
      <c r="BQ726" s="104"/>
    </row>
    <row r="727" spans="1:69" ht="12.75">
      <c r="A727" s="101"/>
      <c r="B727" s="1"/>
      <c r="F727" s="102"/>
      <c r="G727" s="1"/>
      <c r="K727" s="100"/>
      <c r="L727" s="103"/>
      <c r="M727" s="103"/>
      <c r="N727" s="103"/>
      <c r="O727" s="103"/>
      <c r="P727" s="100"/>
      <c r="U727" s="100"/>
      <c r="Z727" s="100"/>
      <c r="AE727" s="100"/>
      <c r="AJ727" s="100"/>
      <c r="AL727" s="78"/>
      <c r="AM727" s="78"/>
      <c r="AN727" s="100"/>
      <c r="AQ727" s="78"/>
      <c r="AR727" s="100"/>
      <c r="AT727" s="78"/>
      <c r="AU727" s="100"/>
      <c r="AX727" s="78"/>
      <c r="AY727" s="100"/>
      <c r="BC727" s="100"/>
      <c r="BF727" s="78"/>
      <c r="BG727" s="100"/>
      <c r="BJ727" s="78"/>
      <c r="BK727" s="100"/>
      <c r="BN727" s="100"/>
      <c r="BP727" s="104"/>
      <c r="BQ727" s="104"/>
    </row>
    <row r="728" spans="1:69" ht="12.75">
      <c r="A728" s="101"/>
      <c r="B728" s="1"/>
      <c r="F728" s="102"/>
      <c r="G728" s="1"/>
      <c r="K728" s="100"/>
      <c r="L728" s="103"/>
      <c r="M728" s="103"/>
      <c r="N728" s="103"/>
      <c r="O728" s="103"/>
      <c r="P728" s="100"/>
      <c r="U728" s="100"/>
      <c r="Z728" s="100"/>
      <c r="AE728" s="100"/>
      <c r="AJ728" s="100"/>
      <c r="AL728" s="78"/>
      <c r="AM728" s="78"/>
      <c r="AN728" s="100"/>
      <c r="AQ728" s="78"/>
      <c r="AR728" s="100"/>
      <c r="AT728" s="78"/>
      <c r="AU728" s="100"/>
      <c r="AX728" s="78"/>
      <c r="AY728" s="100"/>
      <c r="BC728" s="100"/>
      <c r="BF728" s="78"/>
      <c r="BG728" s="100"/>
      <c r="BJ728" s="78"/>
      <c r="BK728" s="100"/>
      <c r="BN728" s="100"/>
      <c r="BP728" s="104"/>
      <c r="BQ728" s="104"/>
    </row>
    <row r="729" spans="1:69" ht="12.75">
      <c r="A729" s="101"/>
      <c r="B729" s="1"/>
      <c r="F729" s="102"/>
      <c r="G729" s="1"/>
      <c r="K729" s="100"/>
      <c r="L729" s="103"/>
      <c r="M729" s="103"/>
      <c r="N729" s="103"/>
      <c r="O729" s="103"/>
      <c r="P729" s="100"/>
      <c r="U729" s="100"/>
      <c r="Z729" s="100"/>
      <c r="AE729" s="100"/>
      <c r="AJ729" s="100"/>
      <c r="AL729" s="78"/>
      <c r="AM729" s="78"/>
      <c r="AN729" s="100"/>
      <c r="AQ729" s="78"/>
      <c r="AR729" s="100"/>
      <c r="AT729" s="78"/>
      <c r="AU729" s="100"/>
      <c r="AX729" s="78"/>
      <c r="AY729" s="100"/>
      <c r="BC729" s="100"/>
      <c r="BF729" s="78"/>
      <c r="BG729" s="100"/>
      <c r="BJ729" s="78"/>
      <c r="BK729" s="100"/>
      <c r="BN729" s="100"/>
      <c r="BP729" s="104"/>
      <c r="BQ729" s="104"/>
    </row>
    <row r="730" spans="1:69" ht="12.75">
      <c r="A730" s="101"/>
      <c r="B730" s="1"/>
      <c r="F730" s="102"/>
      <c r="G730" s="1"/>
      <c r="K730" s="100"/>
      <c r="L730" s="103"/>
      <c r="M730" s="103"/>
      <c r="N730" s="103"/>
      <c r="O730" s="103"/>
      <c r="P730" s="100"/>
      <c r="U730" s="100"/>
      <c r="Z730" s="100"/>
      <c r="AE730" s="100"/>
      <c r="AJ730" s="100"/>
      <c r="AL730" s="78"/>
      <c r="AM730" s="78"/>
      <c r="AN730" s="100"/>
      <c r="AQ730" s="78"/>
      <c r="AR730" s="100"/>
      <c r="AT730" s="78"/>
      <c r="AU730" s="100"/>
      <c r="AX730" s="78"/>
      <c r="AY730" s="100"/>
      <c r="BC730" s="100"/>
      <c r="BF730" s="78"/>
      <c r="BG730" s="100"/>
      <c r="BJ730" s="78"/>
      <c r="BK730" s="100"/>
      <c r="BN730" s="100"/>
      <c r="BP730" s="104"/>
      <c r="BQ730" s="104"/>
    </row>
    <row r="731" spans="1:69" ht="12.75">
      <c r="A731" s="101"/>
      <c r="B731" s="1"/>
      <c r="F731" s="102"/>
      <c r="G731" s="1"/>
      <c r="K731" s="100"/>
      <c r="L731" s="103"/>
      <c r="M731" s="103"/>
      <c r="N731" s="103"/>
      <c r="O731" s="103"/>
      <c r="P731" s="100"/>
      <c r="U731" s="100"/>
      <c r="Z731" s="100"/>
      <c r="AE731" s="100"/>
      <c r="AJ731" s="100"/>
      <c r="AL731" s="78"/>
      <c r="AM731" s="78"/>
      <c r="AN731" s="100"/>
      <c r="AQ731" s="78"/>
      <c r="AR731" s="100"/>
      <c r="AT731" s="78"/>
      <c r="AU731" s="100"/>
      <c r="AX731" s="78"/>
      <c r="AY731" s="100"/>
      <c r="BC731" s="100"/>
      <c r="BF731" s="78"/>
      <c r="BG731" s="100"/>
      <c r="BJ731" s="78"/>
      <c r="BK731" s="100"/>
      <c r="BN731" s="100"/>
      <c r="BP731" s="104"/>
      <c r="BQ731" s="104"/>
    </row>
    <row r="732" spans="1:69" ht="12.75">
      <c r="A732" s="101"/>
      <c r="B732" s="1"/>
      <c r="F732" s="102"/>
      <c r="G732" s="1"/>
      <c r="K732" s="100"/>
      <c r="L732" s="103"/>
      <c r="M732" s="103"/>
      <c r="N732" s="103"/>
      <c r="O732" s="103"/>
      <c r="P732" s="100"/>
      <c r="U732" s="100"/>
      <c r="Z732" s="100"/>
      <c r="AE732" s="100"/>
      <c r="AJ732" s="100"/>
      <c r="AL732" s="78"/>
      <c r="AM732" s="78"/>
      <c r="AN732" s="100"/>
      <c r="AQ732" s="78"/>
      <c r="AR732" s="100"/>
      <c r="AT732" s="78"/>
      <c r="AU732" s="100"/>
      <c r="AX732" s="78"/>
      <c r="AY732" s="100"/>
      <c r="BC732" s="100"/>
      <c r="BF732" s="78"/>
      <c r="BG732" s="100"/>
      <c r="BJ732" s="78"/>
      <c r="BK732" s="100"/>
      <c r="BN732" s="100"/>
      <c r="BP732" s="104"/>
      <c r="BQ732" s="104"/>
    </row>
    <row r="733" spans="1:69" ht="12.75">
      <c r="A733" s="101"/>
      <c r="B733" s="1"/>
      <c r="F733" s="102"/>
      <c r="G733" s="1"/>
      <c r="K733" s="100"/>
      <c r="L733" s="103"/>
      <c r="M733" s="103"/>
      <c r="N733" s="103"/>
      <c r="O733" s="103"/>
      <c r="P733" s="100"/>
      <c r="U733" s="100"/>
      <c r="Z733" s="100"/>
      <c r="AE733" s="100"/>
      <c r="AJ733" s="100"/>
      <c r="AL733" s="78"/>
      <c r="AM733" s="78"/>
      <c r="AN733" s="100"/>
      <c r="AQ733" s="78"/>
      <c r="AR733" s="100"/>
      <c r="AT733" s="78"/>
      <c r="AU733" s="100"/>
      <c r="AX733" s="78"/>
      <c r="AY733" s="100"/>
      <c r="BC733" s="100"/>
      <c r="BF733" s="78"/>
      <c r="BG733" s="100"/>
      <c r="BJ733" s="78"/>
      <c r="BK733" s="100"/>
      <c r="BN733" s="100"/>
      <c r="BP733" s="104"/>
      <c r="BQ733" s="104"/>
    </row>
    <row r="734" spans="1:69" ht="12.75">
      <c r="A734" s="101"/>
      <c r="B734" s="1"/>
      <c r="F734" s="102"/>
      <c r="G734" s="1"/>
      <c r="K734" s="100"/>
      <c r="L734" s="103"/>
      <c r="M734" s="103"/>
      <c r="N734" s="103"/>
      <c r="O734" s="103"/>
      <c r="P734" s="100"/>
      <c r="U734" s="100"/>
      <c r="Z734" s="100"/>
      <c r="AE734" s="100"/>
      <c r="AJ734" s="100"/>
      <c r="AL734" s="78"/>
      <c r="AM734" s="78"/>
      <c r="AN734" s="100"/>
      <c r="AQ734" s="78"/>
      <c r="AR734" s="100"/>
      <c r="AT734" s="78"/>
      <c r="AU734" s="100"/>
      <c r="AX734" s="78"/>
      <c r="AY734" s="100"/>
      <c r="BC734" s="100"/>
      <c r="BF734" s="78"/>
      <c r="BG734" s="100"/>
      <c r="BJ734" s="78"/>
      <c r="BK734" s="100"/>
      <c r="BN734" s="100"/>
      <c r="BP734" s="104"/>
      <c r="BQ734" s="104"/>
    </row>
    <row r="735" spans="1:69" ht="12.75">
      <c r="A735" s="101"/>
      <c r="B735" s="1"/>
      <c r="F735" s="102"/>
      <c r="G735" s="1"/>
      <c r="K735" s="100"/>
      <c r="L735" s="103"/>
      <c r="M735" s="103"/>
      <c r="N735" s="103"/>
      <c r="O735" s="103"/>
      <c r="P735" s="100"/>
      <c r="U735" s="100"/>
      <c r="Z735" s="100"/>
      <c r="AE735" s="100"/>
      <c r="AJ735" s="100"/>
      <c r="AL735" s="78"/>
      <c r="AM735" s="78"/>
      <c r="AN735" s="100"/>
      <c r="AQ735" s="78"/>
      <c r="AR735" s="100"/>
      <c r="AT735" s="78"/>
      <c r="AU735" s="100"/>
      <c r="AX735" s="78"/>
      <c r="AY735" s="100"/>
      <c r="BC735" s="100"/>
      <c r="BF735" s="78"/>
      <c r="BG735" s="100"/>
      <c r="BJ735" s="78"/>
      <c r="BK735" s="100"/>
      <c r="BN735" s="100"/>
      <c r="BP735" s="104"/>
      <c r="BQ735" s="104"/>
    </row>
    <row r="736" spans="1:69" ht="12.75">
      <c r="A736" s="101"/>
      <c r="B736" s="1"/>
      <c r="F736" s="102"/>
      <c r="G736" s="1"/>
      <c r="K736" s="100"/>
      <c r="L736" s="103"/>
      <c r="M736" s="103"/>
      <c r="N736" s="103"/>
      <c r="O736" s="103"/>
      <c r="P736" s="100"/>
      <c r="U736" s="100"/>
      <c r="Z736" s="100"/>
      <c r="AE736" s="100"/>
      <c r="AJ736" s="100"/>
      <c r="AL736" s="78"/>
      <c r="AM736" s="78"/>
      <c r="AN736" s="100"/>
      <c r="AQ736" s="78"/>
      <c r="AR736" s="100"/>
      <c r="AT736" s="78"/>
      <c r="AU736" s="100"/>
      <c r="AX736" s="78"/>
      <c r="AY736" s="100"/>
      <c r="BC736" s="100"/>
      <c r="BF736" s="78"/>
      <c r="BG736" s="100"/>
      <c r="BJ736" s="78"/>
      <c r="BK736" s="100"/>
      <c r="BN736" s="100"/>
      <c r="BP736" s="104"/>
      <c r="BQ736" s="104"/>
    </row>
    <row r="737" spans="1:69" ht="12.75">
      <c r="A737" s="101"/>
      <c r="B737" s="1"/>
      <c r="F737" s="102"/>
      <c r="G737" s="1"/>
      <c r="K737" s="100"/>
      <c r="L737" s="103"/>
      <c r="M737" s="103"/>
      <c r="N737" s="103"/>
      <c r="O737" s="103"/>
      <c r="P737" s="100"/>
      <c r="U737" s="100"/>
      <c r="Z737" s="100"/>
      <c r="AE737" s="100"/>
      <c r="AJ737" s="100"/>
      <c r="AL737" s="78"/>
      <c r="AM737" s="78"/>
      <c r="AN737" s="100"/>
      <c r="AQ737" s="78"/>
      <c r="AR737" s="100"/>
      <c r="AT737" s="78"/>
      <c r="AU737" s="100"/>
      <c r="AX737" s="78"/>
      <c r="AY737" s="100"/>
      <c r="BC737" s="100"/>
      <c r="BF737" s="78"/>
      <c r="BG737" s="100"/>
      <c r="BJ737" s="78"/>
      <c r="BK737" s="100"/>
      <c r="BN737" s="100"/>
      <c r="BP737" s="104"/>
      <c r="BQ737" s="104"/>
    </row>
    <row r="738" spans="1:69" ht="12.75">
      <c r="A738" s="101"/>
      <c r="B738" s="1"/>
      <c r="F738" s="102"/>
      <c r="G738" s="1"/>
      <c r="K738" s="100"/>
      <c r="L738" s="103"/>
      <c r="M738" s="103"/>
      <c r="N738" s="103"/>
      <c r="O738" s="103"/>
      <c r="P738" s="100"/>
      <c r="U738" s="100"/>
      <c r="Z738" s="100"/>
      <c r="AE738" s="100"/>
      <c r="AJ738" s="100"/>
      <c r="AL738" s="78"/>
      <c r="AM738" s="78"/>
      <c r="AN738" s="100"/>
      <c r="AQ738" s="78"/>
      <c r="AR738" s="100"/>
      <c r="AT738" s="78"/>
      <c r="AU738" s="100"/>
      <c r="AX738" s="78"/>
      <c r="AY738" s="100"/>
      <c r="BC738" s="100"/>
      <c r="BF738" s="78"/>
      <c r="BG738" s="100"/>
      <c r="BJ738" s="78"/>
      <c r="BK738" s="100"/>
      <c r="BN738" s="100"/>
      <c r="BP738" s="104"/>
      <c r="BQ738" s="104"/>
    </row>
    <row r="739" spans="1:69" ht="12.75">
      <c r="A739" s="101"/>
      <c r="B739" s="1"/>
      <c r="F739" s="102"/>
      <c r="G739" s="1"/>
      <c r="K739" s="100"/>
      <c r="L739" s="103"/>
      <c r="M739" s="103"/>
      <c r="N739" s="103"/>
      <c r="O739" s="103"/>
      <c r="P739" s="100"/>
      <c r="U739" s="100"/>
      <c r="Z739" s="100"/>
      <c r="AE739" s="100"/>
      <c r="AJ739" s="100"/>
      <c r="AL739" s="78"/>
      <c r="AM739" s="78"/>
      <c r="AN739" s="100"/>
      <c r="AQ739" s="78"/>
      <c r="AR739" s="100"/>
      <c r="AT739" s="78"/>
      <c r="AU739" s="100"/>
      <c r="AX739" s="78"/>
      <c r="AY739" s="100"/>
      <c r="BC739" s="100"/>
      <c r="BF739" s="78"/>
      <c r="BG739" s="100"/>
      <c r="BJ739" s="78"/>
      <c r="BK739" s="100"/>
      <c r="BN739" s="100"/>
      <c r="BP739" s="104"/>
      <c r="BQ739" s="104"/>
    </row>
    <row r="740" spans="1:69" ht="12.75">
      <c r="A740" s="101"/>
      <c r="B740" s="1"/>
      <c r="F740" s="102"/>
      <c r="G740" s="1"/>
      <c r="K740" s="100"/>
      <c r="L740" s="103"/>
      <c r="M740" s="103"/>
      <c r="N740" s="103"/>
      <c r="O740" s="103"/>
      <c r="P740" s="100"/>
      <c r="U740" s="100"/>
      <c r="Z740" s="100"/>
      <c r="AE740" s="100"/>
      <c r="AJ740" s="100"/>
      <c r="AL740" s="78"/>
      <c r="AM740" s="78"/>
      <c r="AN740" s="100"/>
      <c r="AQ740" s="78"/>
      <c r="AR740" s="100"/>
      <c r="AT740" s="78"/>
      <c r="AU740" s="100"/>
      <c r="AX740" s="78"/>
      <c r="AY740" s="100"/>
      <c r="BC740" s="100"/>
      <c r="BF740" s="78"/>
      <c r="BG740" s="100"/>
      <c r="BJ740" s="78"/>
      <c r="BK740" s="100"/>
      <c r="BN740" s="100"/>
      <c r="BP740" s="104"/>
      <c r="BQ740" s="104"/>
    </row>
    <row r="741" spans="1:69" ht="12.75">
      <c r="A741" s="101"/>
      <c r="B741" s="1"/>
      <c r="F741" s="102"/>
      <c r="G741" s="1"/>
      <c r="K741" s="100"/>
      <c r="L741" s="103"/>
      <c r="M741" s="103"/>
      <c r="N741" s="103"/>
      <c r="O741" s="103"/>
      <c r="P741" s="100"/>
      <c r="U741" s="100"/>
      <c r="Z741" s="100"/>
      <c r="AE741" s="100"/>
      <c r="AJ741" s="100"/>
      <c r="AL741" s="78"/>
      <c r="AM741" s="78"/>
      <c r="AN741" s="100"/>
      <c r="AQ741" s="78"/>
      <c r="AR741" s="100"/>
      <c r="AT741" s="78"/>
      <c r="AU741" s="100"/>
      <c r="AX741" s="78"/>
      <c r="AY741" s="100"/>
      <c r="BC741" s="100"/>
      <c r="BF741" s="78"/>
      <c r="BG741" s="100"/>
      <c r="BJ741" s="78"/>
      <c r="BK741" s="100"/>
      <c r="BN741" s="100"/>
      <c r="BP741" s="104"/>
      <c r="BQ741" s="104"/>
    </row>
    <row r="742" spans="1:69" ht="12.75">
      <c r="A742" s="101"/>
      <c r="B742" s="1"/>
      <c r="F742" s="102"/>
      <c r="G742" s="1"/>
      <c r="K742" s="100"/>
      <c r="L742" s="103"/>
      <c r="M742" s="103"/>
      <c r="N742" s="103"/>
      <c r="O742" s="103"/>
      <c r="P742" s="100"/>
      <c r="U742" s="100"/>
      <c r="Z742" s="100"/>
      <c r="AE742" s="100"/>
      <c r="AJ742" s="100"/>
      <c r="AL742" s="78"/>
      <c r="AM742" s="78"/>
      <c r="AN742" s="100"/>
      <c r="AQ742" s="78"/>
      <c r="AR742" s="100"/>
      <c r="AT742" s="78"/>
      <c r="AU742" s="100"/>
      <c r="AX742" s="78"/>
      <c r="AY742" s="100"/>
      <c r="BC742" s="100"/>
      <c r="BF742" s="78"/>
      <c r="BG742" s="100"/>
      <c r="BJ742" s="78"/>
      <c r="BK742" s="100"/>
      <c r="BN742" s="100"/>
      <c r="BP742" s="104"/>
      <c r="BQ742" s="104"/>
    </row>
    <row r="743" spans="1:69" ht="12.75">
      <c r="A743" s="101"/>
      <c r="B743" s="1"/>
      <c r="F743" s="102"/>
      <c r="G743" s="1"/>
      <c r="K743" s="100"/>
      <c r="L743" s="103"/>
      <c r="M743" s="103"/>
      <c r="N743" s="103"/>
      <c r="O743" s="103"/>
      <c r="P743" s="100"/>
      <c r="U743" s="100"/>
      <c r="Z743" s="100"/>
      <c r="AE743" s="100"/>
      <c r="AJ743" s="100"/>
      <c r="AL743" s="78"/>
      <c r="AM743" s="78"/>
      <c r="AN743" s="100"/>
      <c r="AQ743" s="78"/>
      <c r="AR743" s="100"/>
      <c r="AT743" s="78"/>
      <c r="AU743" s="100"/>
      <c r="AX743" s="78"/>
      <c r="AY743" s="100"/>
      <c r="BC743" s="100"/>
      <c r="BF743" s="78"/>
      <c r="BG743" s="100"/>
      <c r="BJ743" s="78"/>
      <c r="BK743" s="100"/>
      <c r="BN743" s="100"/>
      <c r="BP743" s="104"/>
      <c r="BQ743" s="104"/>
    </row>
    <row r="744" spans="1:69" ht="12.75">
      <c r="A744" s="101"/>
      <c r="B744" s="1"/>
      <c r="F744" s="102"/>
      <c r="G744" s="1"/>
      <c r="K744" s="100"/>
      <c r="L744" s="103"/>
      <c r="M744" s="103"/>
      <c r="N744" s="103"/>
      <c r="O744" s="103"/>
      <c r="P744" s="100"/>
      <c r="U744" s="100"/>
      <c r="Z744" s="100"/>
      <c r="AE744" s="100"/>
      <c r="AJ744" s="100"/>
      <c r="AL744" s="78"/>
      <c r="AM744" s="78"/>
      <c r="AN744" s="100"/>
      <c r="AQ744" s="78"/>
      <c r="AR744" s="100"/>
      <c r="AT744" s="78"/>
      <c r="AU744" s="100"/>
      <c r="AX744" s="78"/>
      <c r="AY744" s="100"/>
      <c r="BC744" s="100"/>
      <c r="BF744" s="78"/>
      <c r="BG744" s="100"/>
      <c r="BJ744" s="78"/>
      <c r="BK744" s="100"/>
      <c r="BN744" s="100"/>
      <c r="BP744" s="104"/>
      <c r="BQ744" s="104"/>
    </row>
    <row r="745" spans="1:69" ht="12.75">
      <c r="A745" s="101"/>
      <c r="B745" s="1"/>
      <c r="F745" s="102"/>
      <c r="G745" s="1"/>
      <c r="K745" s="100"/>
      <c r="L745" s="103"/>
      <c r="M745" s="103"/>
      <c r="N745" s="103"/>
      <c r="O745" s="103"/>
      <c r="P745" s="100"/>
      <c r="U745" s="100"/>
      <c r="Z745" s="100"/>
      <c r="AE745" s="100"/>
      <c r="AJ745" s="100"/>
      <c r="AL745" s="78"/>
      <c r="AM745" s="78"/>
      <c r="AN745" s="100"/>
      <c r="AQ745" s="78"/>
      <c r="AR745" s="100"/>
      <c r="AT745" s="78"/>
      <c r="AU745" s="100"/>
      <c r="AX745" s="78"/>
      <c r="AY745" s="100"/>
      <c r="BC745" s="100"/>
      <c r="BF745" s="78"/>
      <c r="BG745" s="100"/>
      <c r="BJ745" s="78"/>
      <c r="BK745" s="100"/>
      <c r="BN745" s="100"/>
      <c r="BP745" s="104"/>
      <c r="BQ745" s="104"/>
    </row>
    <row r="746" spans="1:69" ht="12.75">
      <c r="A746" s="101"/>
      <c r="B746" s="1"/>
      <c r="F746" s="102"/>
      <c r="G746" s="1"/>
      <c r="K746" s="100"/>
      <c r="L746" s="103"/>
      <c r="M746" s="103"/>
      <c r="N746" s="103"/>
      <c r="O746" s="103"/>
      <c r="P746" s="100"/>
      <c r="U746" s="100"/>
      <c r="Z746" s="100"/>
      <c r="AE746" s="100"/>
      <c r="AJ746" s="100"/>
      <c r="AL746" s="78"/>
      <c r="AM746" s="78"/>
      <c r="AN746" s="100"/>
      <c r="AQ746" s="78"/>
      <c r="AR746" s="100"/>
      <c r="AT746" s="78"/>
      <c r="AU746" s="100"/>
      <c r="AX746" s="78"/>
      <c r="AY746" s="100"/>
      <c r="BC746" s="100"/>
      <c r="BF746" s="78"/>
      <c r="BG746" s="100"/>
      <c r="BJ746" s="78"/>
      <c r="BK746" s="100"/>
      <c r="BN746" s="100"/>
      <c r="BP746" s="104"/>
      <c r="BQ746" s="104"/>
    </row>
    <row r="747" spans="1:69" ht="12.75">
      <c r="A747" s="101"/>
      <c r="B747" s="1"/>
      <c r="F747" s="102"/>
      <c r="G747" s="1"/>
      <c r="K747" s="100"/>
      <c r="L747" s="103"/>
      <c r="M747" s="103"/>
      <c r="N747" s="103"/>
      <c r="O747" s="103"/>
      <c r="P747" s="100"/>
      <c r="U747" s="100"/>
      <c r="Z747" s="100"/>
      <c r="AE747" s="100"/>
      <c r="AJ747" s="100"/>
      <c r="AL747" s="78"/>
      <c r="AM747" s="78"/>
      <c r="AN747" s="100"/>
      <c r="AQ747" s="78"/>
      <c r="AR747" s="100"/>
      <c r="AT747" s="78"/>
      <c r="AU747" s="100"/>
      <c r="AX747" s="78"/>
      <c r="AY747" s="100"/>
      <c r="BC747" s="100"/>
      <c r="BF747" s="78"/>
      <c r="BG747" s="100"/>
      <c r="BJ747" s="78"/>
      <c r="BK747" s="100"/>
      <c r="BN747" s="100"/>
      <c r="BP747" s="104"/>
      <c r="BQ747" s="104"/>
    </row>
    <row r="748" spans="1:69" ht="12.75">
      <c r="A748" s="101"/>
      <c r="B748" s="1"/>
      <c r="F748" s="102"/>
      <c r="G748" s="1"/>
      <c r="K748" s="100"/>
      <c r="L748" s="103"/>
      <c r="M748" s="103"/>
      <c r="N748" s="103"/>
      <c r="O748" s="103"/>
      <c r="P748" s="100"/>
      <c r="U748" s="100"/>
      <c r="Z748" s="100"/>
      <c r="AE748" s="100"/>
      <c r="AJ748" s="100"/>
      <c r="AL748" s="78"/>
      <c r="AM748" s="78"/>
      <c r="AN748" s="100"/>
      <c r="AQ748" s="78"/>
      <c r="AR748" s="100"/>
      <c r="AT748" s="78"/>
      <c r="AU748" s="100"/>
      <c r="AX748" s="78"/>
      <c r="AY748" s="100"/>
      <c r="BC748" s="100"/>
      <c r="BF748" s="78"/>
      <c r="BG748" s="100"/>
      <c r="BJ748" s="78"/>
      <c r="BK748" s="100"/>
      <c r="BN748" s="100"/>
      <c r="BP748" s="104"/>
      <c r="BQ748" s="104"/>
    </row>
    <row r="749" spans="1:69" ht="12.75">
      <c r="A749" s="101"/>
      <c r="B749" s="1"/>
      <c r="F749" s="102"/>
      <c r="G749" s="1"/>
      <c r="K749" s="100"/>
      <c r="L749" s="103"/>
      <c r="M749" s="103"/>
      <c r="N749" s="103"/>
      <c r="O749" s="103"/>
      <c r="P749" s="100"/>
      <c r="U749" s="100"/>
      <c r="Z749" s="100"/>
      <c r="AE749" s="100"/>
      <c r="AJ749" s="100"/>
      <c r="AL749" s="78"/>
      <c r="AM749" s="78"/>
      <c r="AN749" s="100"/>
      <c r="AQ749" s="78"/>
      <c r="AR749" s="100"/>
      <c r="AT749" s="78"/>
      <c r="AU749" s="100"/>
      <c r="AX749" s="78"/>
      <c r="AY749" s="100"/>
      <c r="BC749" s="100"/>
      <c r="BF749" s="78"/>
      <c r="BG749" s="100"/>
      <c r="BJ749" s="78"/>
      <c r="BK749" s="100"/>
      <c r="BN749" s="100"/>
      <c r="BP749" s="104"/>
      <c r="BQ749" s="104"/>
    </row>
    <row r="750" spans="1:69" ht="12.75">
      <c r="A750" s="101"/>
      <c r="B750" s="1"/>
      <c r="F750" s="102"/>
      <c r="G750" s="1"/>
      <c r="K750" s="100"/>
      <c r="L750" s="103"/>
      <c r="M750" s="103"/>
      <c r="N750" s="103"/>
      <c r="O750" s="103"/>
      <c r="P750" s="100"/>
      <c r="U750" s="100"/>
      <c r="Z750" s="100"/>
      <c r="AE750" s="100"/>
      <c r="AJ750" s="100"/>
      <c r="AL750" s="78"/>
      <c r="AM750" s="78"/>
      <c r="AN750" s="100"/>
      <c r="AQ750" s="78"/>
      <c r="AR750" s="100"/>
      <c r="AT750" s="78"/>
      <c r="AU750" s="100"/>
      <c r="AX750" s="78"/>
      <c r="AY750" s="100"/>
      <c r="BC750" s="100"/>
      <c r="BF750" s="78"/>
      <c r="BG750" s="100"/>
      <c r="BJ750" s="78"/>
      <c r="BK750" s="100"/>
      <c r="BN750" s="100"/>
      <c r="BP750" s="104"/>
      <c r="BQ750" s="104"/>
    </row>
    <row r="751" spans="1:69" ht="12.75">
      <c r="A751" s="101"/>
      <c r="B751" s="1"/>
      <c r="F751" s="102"/>
      <c r="G751" s="1"/>
      <c r="K751" s="100"/>
      <c r="L751" s="103"/>
      <c r="M751" s="103"/>
      <c r="N751" s="103"/>
      <c r="O751" s="103"/>
      <c r="P751" s="100"/>
      <c r="U751" s="100"/>
      <c r="Z751" s="100"/>
      <c r="AE751" s="100"/>
      <c r="AJ751" s="100"/>
      <c r="AL751" s="78"/>
      <c r="AM751" s="78"/>
      <c r="AN751" s="100"/>
      <c r="AQ751" s="78"/>
      <c r="AR751" s="100"/>
      <c r="AT751" s="78"/>
      <c r="AU751" s="100"/>
      <c r="AX751" s="78"/>
      <c r="AY751" s="100"/>
      <c r="BC751" s="100"/>
      <c r="BF751" s="78"/>
      <c r="BG751" s="100"/>
      <c r="BJ751" s="78"/>
      <c r="BK751" s="100"/>
      <c r="BN751" s="100"/>
      <c r="BP751" s="104"/>
      <c r="BQ751" s="104"/>
    </row>
    <row r="752" spans="1:69" ht="12.75">
      <c r="A752" s="101"/>
      <c r="B752" s="1"/>
      <c r="F752" s="102"/>
      <c r="G752" s="1"/>
      <c r="K752" s="100"/>
      <c r="L752" s="103"/>
      <c r="M752" s="103"/>
      <c r="N752" s="103"/>
      <c r="O752" s="103"/>
      <c r="P752" s="100"/>
      <c r="U752" s="100"/>
      <c r="Z752" s="100"/>
      <c r="AE752" s="100"/>
      <c r="AJ752" s="100"/>
      <c r="AL752" s="78"/>
      <c r="AM752" s="78"/>
      <c r="AN752" s="100"/>
      <c r="AQ752" s="78"/>
      <c r="AR752" s="100"/>
      <c r="AT752" s="78"/>
      <c r="AU752" s="100"/>
      <c r="AX752" s="78"/>
      <c r="AY752" s="100"/>
      <c r="BC752" s="100"/>
      <c r="BF752" s="78"/>
      <c r="BG752" s="100"/>
      <c r="BJ752" s="78"/>
      <c r="BK752" s="100"/>
      <c r="BN752" s="100"/>
      <c r="BP752" s="104"/>
      <c r="BQ752" s="104"/>
    </row>
    <row r="753" spans="1:69" ht="12.75">
      <c r="A753" s="101"/>
      <c r="B753" s="1"/>
      <c r="F753" s="102"/>
      <c r="G753" s="1"/>
      <c r="K753" s="100"/>
      <c r="L753" s="103"/>
      <c r="M753" s="103"/>
      <c r="N753" s="103"/>
      <c r="O753" s="103"/>
      <c r="P753" s="100"/>
      <c r="U753" s="100"/>
      <c r="Z753" s="100"/>
      <c r="AE753" s="100"/>
      <c r="AJ753" s="100"/>
      <c r="AL753" s="78"/>
      <c r="AM753" s="78"/>
      <c r="AN753" s="100"/>
      <c r="AQ753" s="78"/>
      <c r="AR753" s="100"/>
      <c r="AT753" s="78"/>
      <c r="AU753" s="100"/>
      <c r="AX753" s="78"/>
      <c r="AY753" s="100"/>
      <c r="BC753" s="100"/>
      <c r="BF753" s="78"/>
      <c r="BG753" s="100"/>
      <c r="BJ753" s="78"/>
      <c r="BK753" s="100"/>
      <c r="BN753" s="100"/>
      <c r="BP753" s="104"/>
      <c r="BQ753" s="104"/>
    </row>
    <row r="754" spans="1:69" ht="12.75">
      <c r="A754" s="101"/>
      <c r="B754" s="1"/>
      <c r="F754" s="102"/>
      <c r="G754" s="1"/>
      <c r="K754" s="100"/>
      <c r="L754" s="103"/>
      <c r="M754" s="103"/>
      <c r="N754" s="103"/>
      <c r="O754" s="103"/>
      <c r="P754" s="100"/>
      <c r="U754" s="100"/>
      <c r="Z754" s="100"/>
      <c r="AE754" s="100"/>
      <c r="AJ754" s="100"/>
      <c r="AL754" s="78"/>
      <c r="AM754" s="78"/>
      <c r="AN754" s="100"/>
      <c r="AQ754" s="78"/>
      <c r="AR754" s="100"/>
      <c r="AT754" s="78"/>
      <c r="AU754" s="100"/>
      <c r="AX754" s="78"/>
      <c r="AY754" s="100"/>
      <c r="BC754" s="100"/>
      <c r="BF754" s="78"/>
      <c r="BG754" s="100"/>
      <c r="BJ754" s="78"/>
      <c r="BK754" s="100"/>
      <c r="BN754" s="100"/>
      <c r="BP754" s="104"/>
      <c r="BQ754" s="104"/>
    </row>
    <row r="755" spans="1:69" ht="12.75">
      <c r="A755" s="101"/>
      <c r="B755" s="1"/>
      <c r="F755" s="102"/>
      <c r="G755" s="1"/>
      <c r="K755" s="100"/>
      <c r="L755" s="103"/>
      <c r="M755" s="103"/>
      <c r="N755" s="103"/>
      <c r="O755" s="103"/>
      <c r="P755" s="100"/>
      <c r="U755" s="100"/>
      <c r="Z755" s="100"/>
      <c r="AE755" s="100"/>
      <c r="AJ755" s="100"/>
      <c r="AL755" s="78"/>
      <c r="AM755" s="78"/>
      <c r="AN755" s="100"/>
      <c r="AQ755" s="78"/>
      <c r="AR755" s="100"/>
      <c r="AT755" s="78"/>
      <c r="AU755" s="100"/>
      <c r="AX755" s="78"/>
      <c r="AY755" s="100"/>
      <c r="BC755" s="100"/>
      <c r="BF755" s="78"/>
      <c r="BG755" s="100"/>
      <c r="BJ755" s="78"/>
      <c r="BK755" s="100"/>
      <c r="BN755" s="100"/>
      <c r="BP755" s="104"/>
      <c r="BQ755" s="104"/>
    </row>
    <row r="756" spans="1:69" ht="12.75">
      <c r="A756" s="101"/>
      <c r="B756" s="1"/>
      <c r="F756" s="102"/>
      <c r="G756" s="1"/>
      <c r="K756" s="100"/>
      <c r="L756" s="103"/>
      <c r="M756" s="103"/>
      <c r="N756" s="103"/>
      <c r="O756" s="103"/>
      <c r="P756" s="100"/>
      <c r="U756" s="100"/>
      <c r="Z756" s="100"/>
      <c r="AE756" s="100"/>
      <c r="AJ756" s="100"/>
      <c r="AL756" s="78"/>
      <c r="AM756" s="78"/>
      <c r="AN756" s="100"/>
      <c r="AQ756" s="78"/>
      <c r="AR756" s="100"/>
      <c r="AT756" s="78"/>
      <c r="AU756" s="100"/>
      <c r="AX756" s="78"/>
      <c r="AY756" s="100"/>
      <c r="BC756" s="100"/>
      <c r="BF756" s="78"/>
      <c r="BG756" s="100"/>
      <c r="BJ756" s="78"/>
      <c r="BK756" s="100"/>
      <c r="BN756" s="100"/>
      <c r="BP756" s="104"/>
      <c r="BQ756" s="104"/>
    </row>
    <row r="757" spans="1:69" ht="12.75">
      <c r="A757" s="101"/>
      <c r="B757" s="1"/>
      <c r="F757" s="102"/>
      <c r="G757" s="1"/>
      <c r="K757" s="100"/>
      <c r="L757" s="103"/>
      <c r="M757" s="103"/>
      <c r="N757" s="103"/>
      <c r="O757" s="103"/>
      <c r="P757" s="100"/>
      <c r="U757" s="100"/>
      <c r="Z757" s="100"/>
      <c r="AE757" s="100"/>
      <c r="AJ757" s="100"/>
      <c r="AL757" s="78"/>
      <c r="AM757" s="78"/>
      <c r="AN757" s="100"/>
      <c r="AQ757" s="78"/>
      <c r="AR757" s="100"/>
      <c r="AT757" s="78"/>
      <c r="AU757" s="100"/>
      <c r="AX757" s="78"/>
      <c r="AY757" s="100"/>
      <c r="BC757" s="100"/>
      <c r="BF757" s="78"/>
      <c r="BG757" s="100"/>
      <c r="BJ757" s="78"/>
      <c r="BK757" s="100"/>
      <c r="BN757" s="100"/>
      <c r="BP757" s="104"/>
      <c r="BQ757" s="104"/>
    </row>
    <row r="758" spans="1:69" ht="12.75">
      <c r="A758" s="101"/>
      <c r="B758" s="1"/>
      <c r="F758" s="102"/>
      <c r="G758" s="1"/>
      <c r="K758" s="100"/>
      <c r="L758" s="103"/>
      <c r="M758" s="103"/>
      <c r="N758" s="103"/>
      <c r="O758" s="103"/>
      <c r="P758" s="100"/>
      <c r="U758" s="100"/>
      <c r="Z758" s="100"/>
      <c r="AE758" s="100"/>
      <c r="AJ758" s="100"/>
      <c r="AL758" s="78"/>
      <c r="AM758" s="78"/>
      <c r="AN758" s="100"/>
      <c r="AQ758" s="78"/>
      <c r="AR758" s="100"/>
      <c r="AT758" s="78"/>
      <c r="AU758" s="100"/>
      <c r="AX758" s="78"/>
      <c r="AY758" s="100"/>
      <c r="BC758" s="100"/>
      <c r="BF758" s="78"/>
      <c r="BG758" s="100"/>
      <c r="BJ758" s="78"/>
      <c r="BK758" s="100"/>
      <c r="BN758" s="100"/>
      <c r="BP758" s="104"/>
      <c r="BQ758" s="104"/>
    </row>
    <row r="759" spans="1:69" ht="12.75">
      <c r="A759" s="101"/>
      <c r="B759" s="1"/>
      <c r="F759" s="102"/>
      <c r="G759" s="1"/>
      <c r="K759" s="100"/>
      <c r="L759" s="103"/>
      <c r="M759" s="103"/>
      <c r="N759" s="103"/>
      <c r="O759" s="103"/>
      <c r="P759" s="100"/>
      <c r="U759" s="100"/>
      <c r="Z759" s="100"/>
      <c r="AE759" s="100"/>
      <c r="AJ759" s="100"/>
      <c r="AL759" s="78"/>
      <c r="AM759" s="78"/>
      <c r="AN759" s="100"/>
      <c r="AQ759" s="78"/>
      <c r="AR759" s="100"/>
      <c r="AT759" s="78"/>
      <c r="AU759" s="100"/>
      <c r="AX759" s="78"/>
      <c r="AY759" s="100"/>
      <c r="BC759" s="100"/>
      <c r="BF759" s="78"/>
      <c r="BG759" s="100"/>
      <c r="BJ759" s="78"/>
      <c r="BK759" s="100"/>
      <c r="BN759" s="100"/>
      <c r="BP759" s="104"/>
      <c r="BQ759" s="104"/>
    </row>
    <row r="760" spans="1:69" ht="12.75">
      <c r="A760" s="101"/>
      <c r="B760" s="1"/>
      <c r="F760" s="102"/>
      <c r="G760" s="1"/>
      <c r="K760" s="100"/>
      <c r="L760" s="103"/>
      <c r="M760" s="103"/>
      <c r="N760" s="103"/>
      <c r="O760" s="103"/>
      <c r="P760" s="100"/>
      <c r="U760" s="100"/>
      <c r="Z760" s="100"/>
      <c r="AE760" s="100"/>
      <c r="AJ760" s="100"/>
      <c r="AL760" s="78"/>
      <c r="AM760" s="78"/>
      <c r="AN760" s="100"/>
      <c r="AQ760" s="78"/>
      <c r="AR760" s="100"/>
      <c r="AT760" s="78"/>
      <c r="AU760" s="100"/>
      <c r="AX760" s="78"/>
      <c r="AY760" s="100"/>
      <c r="BC760" s="100"/>
      <c r="BF760" s="78"/>
      <c r="BG760" s="100"/>
      <c r="BJ760" s="78"/>
      <c r="BK760" s="100"/>
      <c r="BN760" s="100"/>
      <c r="BP760" s="104"/>
      <c r="BQ760" s="104"/>
    </row>
    <row r="761" spans="1:69" ht="12.75">
      <c r="A761" s="101"/>
      <c r="B761" s="1"/>
      <c r="F761" s="102"/>
      <c r="G761" s="1"/>
      <c r="K761" s="100"/>
      <c r="L761" s="103"/>
      <c r="M761" s="103"/>
      <c r="N761" s="103"/>
      <c r="O761" s="103"/>
      <c r="P761" s="100"/>
      <c r="U761" s="100"/>
      <c r="Z761" s="100"/>
      <c r="AE761" s="100"/>
      <c r="AJ761" s="100"/>
      <c r="AL761" s="78"/>
      <c r="AM761" s="78"/>
      <c r="AN761" s="100"/>
      <c r="AQ761" s="78"/>
      <c r="AR761" s="100"/>
      <c r="AT761" s="78"/>
      <c r="AU761" s="100"/>
      <c r="AX761" s="78"/>
      <c r="AY761" s="100"/>
      <c r="BC761" s="100"/>
      <c r="BF761" s="78"/>
      <c r="BG761" s="100"/>
      <c r="BJ761" s="78"/>
      <c r="BK761" s="100"/>
      <c r="BN761" s="100"/>
      <c r="BP761" s="104"/>
      <c r="BQ761" s="104"/>
    </row>
    <row r="762" spans="1:69" ht="12.75">
      <c r="A762" s="101"/>
      <c r="B762" s="1"/>
      <c r="F762" s="102"/>
      <c r="G762" s="1"/>
      <c r="K762" s="100"/>
      <c r="L762" s="103"/>
      <c r="M762" s="103"/>
      <c r="N762" s="103"/>
      <c r="O762" s="103"/>
      <c r="P762" s="100"/>
      <c r="U762" s="100"/>
      <c r="Z762" s="100"/>
      <c r="AE762" s="100"/>
      <c r="AJ762" s="100"/>
      <c r="AL762" s="78"/>
      <c r="AM762" s="78"/>
      <c r="AN762" s="100"/>
      <c r="AQ762" s="78"/>
      <c r="AR762" s="100"/>
      <c r="AT762" s="78"/>
      <c r="AU762" s="100"/>
      <c r="AX762" s="78"/>
      <c r="AY762" s="100"/>
      <c r="BC762" s="100"/>
      <c r="BF762" s="78"/>
      <c r="BG762" s="100"/>
      <c r="BJ762" s="78"/>
      <c r="BK762" s="100"/>
      <c r="BN762" s="100"/>
      <c r="BP762" s="104"/>
      <c r="BQ762" s="104"/>
    </row>
    <row r="763" spans="1:69" ht="12.75">
      <c r="A763" s="101"/>
      <c r="B763" s="1"/>
      <c r="F763" s="102"/>
      <c r="G763" s="1"/>
      <c r="K763" s="100"/>
      <c r="L763" s="103"/>
      <c r="M763" s="103"/>
      <c r="N763" s="103"/>
      <c r="O763" s="103"/>
      <c r="P763" s="100"/>
      <c r="U763" s="100"/>
      <c r="Z763" s="100"/>
      <c r="AE763" s="100"/>
      <c r="AJ763" s="100"/>
      <c r="AL763" s="78"/>
      <c r="AM763" s="78"/>
      <c r="AN763" s="100"/>
      <c r="AQ763" s="78"/>
      <c r="AR763" s="100"/>
      <c r="AT763" s="78"/>
      <c r="AU763" s="100"/>
      <c r="AX763" s="78"/>
      <c r="AY763" s="100"/>
      <c r="BC763" s="100"/>
      <c r="BF763" s="78"/>
      <c r="BG763" s="100"/>
      <c r="BJ763" s="78"/>
      <c r="BK763" s="100"/>
      <c r="BN763" s="100"/>
      <c r="BP763" s="104"/>
      <c r="BQ763" s="104"/>
    </row>
    <row r="764" spans="1:69" ht="12.75">
      <c r="A764" s="101"/>
      <c r="B764" s="1"/>
      <c r="F764" s="102"/>
      <c r="G764" s="1"/>
      <c r="K764" s="100"/>
      <c r="L764" s="103"/>
      <c r="M764" s="103"/>
      <c r="N764" s="103"/>
      <c r="O764" s="103"/>
      <c r="P764" s="100"/>
      <c r="U764" s="100"/>
      <c r="Z764" s="100"/>
      <c r="AE764" s="100"/>
      <c r="AJ764" s="100"/>
      <c r="AL764" s="78"/>
      <c r="AM764" s="78"/>
      <c r="AN764" s="100"/>
      <c r="AQ764" s="78"/>
      <c r="AR764" s="100"/>
      <c r="AT764" s="78"/>
      <c r="AU764" s="100"/>
      <c r="AX764" s="78"/>
      <c r="AY764" s="100"/>
      <c r="BC764" s="100"/>
      <c r="BF764" s="78"/>
      <c r="BG764" s="100"/>
      <c r="BJ764" s="78"/>
      <c r="BK764" s="100"/>
      <c r="BN764" s="100"/>
      <c r="BP764" s="104"/>
      <c r="BQ764" s="104"/>
    </row>
    <row r="765" spans="1:69" ht="12.75">
      <c r="A765" s="101"/>
      <c r="B765" s="1"/>
      <c r="F765" s="102"/>
      <c r="G765" s="1"/>
      <c r="K765" s="100"/>
      <c r="L765" s="103"/>
      <c r="M765" s="103"/>
      <c r="N765" s="103"/>
      <c r="O765" s="103"/>
      <c r="P765" s="100"/>
      <c r="U765" s="100"/>
      <c r="Z765" s="100"/>
      <c r="AE765" s="100"/>
      <c r="AJ765" s="100"/>
      <c r="AL765" s="78"/>
      <c r="AM765" s="78"/>
      <c r="AN765" s="100"/>
      <c r="AQ765" s="78"/>
      <c r="AR765" s="100"/>
      <c r="AT765" s="78"/>
      <c r="AU765" s="100"/>
      <c r="AX765" s="78"/>
      <c r="AY765" s="100"/>
      <c r="BC765" s="100"/>
      <c r="BF765" s="78"/>
      <c r="BG765" s="100"/>
      <c r="BJ765" s="78"/>
      <c r="BK765" s="100"/>
      <c r="BN765" s="100"/>
      <c r="BP765" s="104"/>
      <c r="BQ765" s="104"/>
    </row>
    <row r="766" spans="1:69" ht="12.75">
      <c r="A766" s="101"/>
      <c r="B766" s="1"/>
      <c r="F766" s="102"/>
      <c r="G766" s="1"/>
      <c r="K766" s="100"/>
      <c r="L766" s="103"/>
      <c r="M766" s="103"/>
      <c r="N766" s="103"/>
      <c r="O766" s="103"/>
      <c r="P766" s="100"/>
      <c r="U766" s="100"/>
      <c r="Z766" s="100"/>
      <c r="AE766" s="100"/>
      <c r="AJ766" s="100"/>
      <c r="AL766" s="78"/>
      <c r="AM766" s="78"/>
      <c r="AN766" s="100"/>
      <c r="AQ766" s="78"/>
      <c r="AR766" s="100"/>
      <c r="AT766" s="78"/>
      <c r="AU766" s="100"/>
      <c r="AX766" s="78"/>
      <c r="AY766" s="100"/>
      <c r="BC766" s="100"/>
      <c r="BF766" s="78"/>
      <c r="BG766" s="100"/>
      <c r="BJ766" s="78"/>
      <c r="BK766" s="100"/>
      <c r="BN766" s="100"/>
      <c r="BP766" s="104"/>
      <c r="BQ766" s="104"/>
    </row>
    <row r="767" spans="1:69" ht="12.75">
      <c r="A767" s="101"/>
      <c r="B767" s="1"/>
      <c r="F767" s="102"/>
      <c r="G767" s="1"/>
      <c r="K767" s="100"/>
      <c r="L767" s="103"/>
      <c r="M767" s="103"/>
      <c r="N767" s="103"/>
      <c r="O767" s="103"/>
      <c r="P767" s="100"/>
      <c r="U767" s="100"/>
      <c r="Z767" s="100"/>
      <c r="AE767" s="100"/>
      <c r="AJ767" s="100"/>
      <c r="AL767" s="78"/>
      <c r="AM767" s="78"/>
      <c r="AN767" s="100"/>
      <c r="AQ767" s="78"/>
      <c r="AR767" s="100"/>
      <c r="AT767" s="78"/>
      <c r="AU767" s="100"/>
      <c r="AX767" s="78"/>
      <c r="AY767" s="100"/>
      <c r="BC767" s="100"/>
      <c r="BF767" s="78"/>
      <c r="BG767" s="100"/>
      <c r="BJ767" s="78"/>
      <c r="BK767" s="100"/>
      <c r="BN767" s="100"/>
      <c r="BP767" s="104"/>
      <c r="BQ767" s="104"/>
    </row>
    <row r="768" spans="1:69" ht="12.75">
      <c r="A768" s="101"/>
      <c r="B768" s="1"/>
      <c r="F768" s="102"/>
      <c r="G768" s="1"/>
      <c r="K768" s="100"/>
      <c r="L768" s="103"/>
      <c r="M768" s="103"/>
      <c r="N768" s="103"/>
      <c r="O768" s="103"/>
      <c r="P768" s="100"/>
      <c r="U768" s="100"/>
      <c r="Z768" s="100"/>
      <c r="AE768" s="100"/>
      <c r="AJ768" s="100"/>
      <c r="AL768" s="78"/>
      <c r="AM768" s="78"/>
      <c r="AN768" s="100"/>
      <c r="AQ768" s="78"/>
      <c r="AR768" s="100"/>
      <c r="AT768" s="78"/>
      <c r="AU768" s="100"/>
      <c r="AX768" s="78"/>
      <c r="AY768" s="100"/>
      <c r="BC768" s="100"/>
      <c r="BF768" s="78"/>
      <c r="BG768" s="100"/>
      <c r="BJ768" s="78"/>
      <c r="BK768" s="100"/>
      <c r="BN768" s="100"/>
      <c r="BP768" s="104"/>
      <c r="BQ768" s="104"/>
    </row>
    <row r="769" spans="1:69" ht="12.75">
      <c r="A769" s="101"/>
      <c r="B769" s="1"/>
      <c r="F769" s="102"/>
      <c r="G769" s="1"/>
      <c r="K769" s="100"/>
      <c r="L769" s="103"/>
      <c r="M769" s="103"/>
      <c r="N769" s="103"/>
      <c r="O769" s="103"/>
      <c r="P769" s="100"/>
      <c r="U769" s="100"/>
      <c r="Z769" s="100"/>
      <c r="AE769" s="100"/>
      <c r="AJ769" s="100"/>
      <c r="AL769" s="78"/>
      <c r="AM769" s="78"/>
      <c r="AN769" s="100"/>
      <c r="AQ769" s="78"/>
      <c r="AR769" s="100"/>
      <c r="AT769" s="78"/>
      <c r="AU769" s="100"/>
      <c r="AX769" s="78"/>
      <c r="AY769" s="100"/>
      <c r="BC769" s="100"/>
      <c r="BF769" s="78"/>
      <c r="BG769" s="100"/>
      <c r="BJ769" s="78"/>
      <c r="BK769" s="100"/>
      <c r="BN769" s="100"/>
      <c r="BP769" s="104"/>
      <c r="BQ769" s="104"/>
    </row>
    <row r="770" spans="1:69" ht="12.75">
      <c r="A770" s="101"/>
      <c r="B770" s="1"/>
      <c r="F770" s="102"/>
      <c r="G770" s="1"/>
      <c r="K770" s="100"/>
      <c r="L770" s="103"/>
      <c r="M770" s="103"/>
      <c r="N770" s="103"/>
      <c r="O770" s="103"/>
      <c r="P770" s="100"/>
      <c r="U770" s="100"/>
      <c r="Z770" s="100"/>
      <c r="AE770" s="100"/>
      <c r="AJ770" s="100"/>
      <c r="AL770" s="78"/>
      <c r="AM770" s="78"/>
      <c r="AN770" s="100"/>
      <c r="AQ770" s="78"/>
      <c r="AR770" s="100"/>
      <c r="AT770" s="78"/>
      <c r="AU770" s="100"/>
      <c r="AX770" s="78"/>
      <c r="AY770" s="100"/>
      <c r="BC770" s="100"/>
      <c r="BF770" s="78"/>
      <c r="BG770" s="100"/>
      <c r="BJ770" s="78"/>
      <c r="BK770" s="100"/>
      <c r="BN770" s="100"/>
      <c r="BP770" s="104"/>
      <c r="BQ770" s="104"/>
    </row>
    <row r="771" spans="1:69" ht="12.75">
      <c r="A771" s="101"/>
      <c r="B771" s="1"/>
      <c r="F771" s="102"/>
      <c r="G771" s="1"/>
      <c r="K771" s="100"/>
      <c r="L771" s="103"/>
      <c r="M771" s="103"/>
      <c r="N771" s="103"/>
      <c r="O771" s="103"/>
      <c r="P771" s="100"/>
      <c r="U771" s="100"/>
      <c r="Z771" s="100"/>
      <c r="AE771" s="100"/>
      <c r="AJ771" s="100"/>
      <c r="AL771" s="78"/>
      <c r="AM771" s="78"/>
      <c r="AN771" s="100"/>
      <c r="AQ771" s="78"/>
      <c r="AR771" s="100"/>
      <c r="AT771" s="78"/>
      <c r="AU771" s="100"/>
      <c r="AX771" s="78"/>
      <c r="AY771" s="100"/>
      <c r="BC771" s="100"/>
      <c r="BF771" s="78"/>
      <c r="BG771" s="100"/>
      <c r="BJ771" s="78"/>
      <c r="BK771" s="100"/>
      <c r="BN771" s="100"/>
      <c r="BP771" s="104"/>
      <c r="BQ771" s="104"/>
    </row>
    <row r="772" spans="1:69" ht="12.75">
      <c r="A772" s="101"/>
      <c r="B772" s="1"/>
      <c r="F772" s="102"/>
      <c r="G772" s="1"/>
      <c r="K772" s="100"/>
      <c r="L772" s="103"/>
      <c r="M772" s="103"/>
      <c r="N772" s="103"/>
      <c r="O772" s="103"/>
      <c r="P772" s="100"/>
      <c r="U772" s="100"/>
      <c r="Z772" s="100"/>
      <c r="AE772" s="100"/>
      <c r="AJ772" s="100"/>
      <c r="AL772" s="78"/>
      <c r="AM772" s="78"/>
      <c r="AN772" s="100"/>
      <c r="AQ772" s="78"/>
      <c r="AR772" s="100"/>
      <c r="AT772" s="78"/>
      <c r="AU772" s="100"/>
      <c r="AX772" s="78"/>
      <c r="AY772" s="100"/>
      <c r="BC772" s="100"/>
      <c r="BF772" s="78"/>
      <c r="BG772" s="100"/>
      <c r="BJ772" s="78"/>
      <c r="BK772" s="100"/>
      <c r="BN772" s="100"/>
      <c r="BP772" s="104"/>
      <c r="BQ772" s="104"/>
    </row>
    <row r="773" spans="1:69" ht="12.75">
      <c r="A773" s="101"/>
      <c r="B773" s="1"/>
      <c r="F773" s="102"/>
      <c r="G773" s="1"/>
      <c r="K773" s="100"/>
      <c r="L773" s="103"/>
      <c r="M773" s="103"/>
      <c r="N773" s="103"/>
      <c r="O773" s="103"/>
      <c r="P773" s="100"/>
      <c r="U773" s="100"/>
      <c r="Z773" s="100"/>
      <c r="AE773" s="100"/>
      <c r="AJ773" s="100"/>
      <c r="AL773" s="78"/>
      <c r="AM773" s="78"/>
      <c r="AN773" s="100"/>
      <c r="AQ773" s="78"/>
      <c r="AR773" s="100"/>
      <c r="AT773" s="78"/>
      <c r="AU773" s="100"/>
      <c r="AX773" s="78"/>
      <c r="AY773" s="100"/>
      <c r="BC773" s="100"/>
      <c r="BF773" s="78"/>
      <c r="BG773" s="100"/>
      <c r="BJ773" s="78"/>
      <c r="BK773" s="100"/>
      <c r="BN773" s="100"/>
      <c r="BP773" s="104"/>
      <c r="BQ773" s="104"/>
    </row>
    <row r="774" spans="1:69" ht="12.75">
      <c r="A774" s="101"/>
      <c r="B774" s="1"/>
      <c r="F774" s="102"/>
      <c r="G774" s="1"/>
      <c r="K774" s="100"/>
      <c r="L774" s="103"/>
      <c r="M774" s="103"/>
      <c r="N774" s="103"/>
      <c r="O774" s="103"/>
      <c r="P774" s="100"/>
      <c r="U774" s="100"/>
      <c r="Z774" s="100"/>
      <c r="AE774" s="100"/>
      <c r="AJ774" s="100"/>
      <c r="AL774" s="78"/>
      <c r="AM774" s="78"/>
      <c r="AN774" s="100"/>
      <c r="AQ774" s="78"/>
      <c r="AR774" s="100"/>
      <c r="AT774" s="78"/>
      <c r="AU774" s="100"/>
      <c r="AX774" s="78"/>
      <c r="AY774" s="100"/>
      <c r="BC774" s="100"/>
      <c r="BF774" s="78"/>
      <c r="BG774" s="100"/>
      <c r="BJ774" s="78"/>
      <c r="BK774" s="100"/>
      <c r="BN774" s="100"/>
      <c r="BP774" s="104"/>
      <c r="BQ774" s="104"/>
    </row>
    <row r="775" spans="1:69" ht="12.75">
      <c r="A775" s="101"/>
      <c r="B775" s="1"/>
      <c r="F775" s="102"/>
      <c r="G775" s="1"/>
      <c r="K775" s="100"/>
      <c r="L775" s="103"/>
      <c r="M775" s="103"/>
      <c r="N775" s="103"/>
      <c r="O775" s="103"/>
      <c r="P775" s="100"/>
      <c r="U775" s="100"/>
      <c r="Z775" s="100"/>
      <c r="AE775" s="100"/>
      <c r="AJ775" s="100"/>
      <c r="AL775" s="78"/>
      <c r="AM775" s="78"/>
      <c r="AN775" s="100"/>
      <c r="AQ775" s="78"/>
      <c r="AR775" s="100"/>
      <c r="AT775" s="78"/>
      <c r="AU775" s="100"/>
      <c r="AX775" s="78"/>
      <c r="AY775" s="100"/>
      <c r="BC775" s="100"/>
      <c r="BF775" s="78"/>
      <c r="BG775" s="100"/>
      <c r="BJ775" s="78"/>
      <c r="BK775" s="100"/>
      <c r="BN775" s="100"/>
      <c r="BP775" s="104"/>
      <c r="BQ775" s="104"/>
    </row>
    <row r="776" spans="1:69" ht="12.75">
      <c r="A776" s="101"/>
      <c r="B776" s="1"/>
      <c r="F776" s="102"/>
      <c r="G776" s="1"/>
      <c r="K776" s="100"/>
      <c r="L776" s="103"/>
      <c r="M776" s="103"/>
      <c r="N776" s="103"/>
      <c r="O776" s="103"/>
      <c r="P776" s="100"/>
      <c r="U776" s="100"/>
      <c r="Z776" s="100"/>
      <c r="AE776" s="100"/>
      <c r="AJ776" s="100"/>
      <c r="AL776" s="78"/>
      <c r="AM776" s="78"/>
      <c r="AN776" s="100"/>
      <c r="AQ776" s="78"/>
      <c r="AR776" s="100"/>
      <c r="AT776" s="78"/>
      <c r="AU776" s="100"/>
      <c r="AX776" s="78"/>
      <c r="AY776" s="100"/>
      <c r="BC776" s="100"/>
      <c r="BF776" s="78"/>
      <c r="BG776" s="100"/>
      <c r="BJ776" s="78"/>
      <c r="BK776" s="100"/>
      <c r="BN776" s="100"/>
      <c r="BP776" s="104"/>
      <c r="BQ776" s="104"/>
    </row>
    <row r="777" spans="1:69" ht="12.75">
      <c r="A777" s="101"/>
      <c r="B777" s="1"/>
      <c r="F777" s="102"/>
      <c r="G777" s="1"/>
      <c r="K777" s="100"/>
      <c r="L777" s="103"/>
      <c r="M777" s="103"/>
      <c r="N777" s="103"/>
      <c r="O777" s="103"/>
      <c r="P777" s="100"/>
      <c r="U777" s="100"/>
      <c r="Z777" s="100"/>
      <c r="AE777" s="100"/>
      <c r="AJ777" s="100"/>
      <c r="AL777" s="78"/>
      <c r="AM777" s="78"/>
      <c r="AN777" s="100"/>
      <c r="AQ777" s="78"/>
      <c r="AR777" s="100"/>
      <c r="AT777" s="78"/>
      <c r="AU777" s="100"/>
      <c r="AX777" s="78"/>
      <c r="AY777" s="100"/>
      <c r="BC777" s="100"/>
      <c r="BF777" s="78"/>
      <c r="BG777" s="100"/>
      <c r="BJ777" s="78"/>
      <c r="BK777" s="100"/>
      <c r="BN777" s="100"/>
      <c r="BP777" s="104"/>
      <c r="BQ777" s="104"/>
    </row>
    <row r="778" spans="1:69" ht="12.75">
      <c r="A778" s="101"/>
      <c r="B778" s="1"/>
      <c r="F778" s="102"/>
      <c r="G778" s="1"/>
      <c r="K778" s="100"/>
      <c r="L778" s="103"/>
      <c r="M778" s="103"/>
      <c r="N778" s="103"/>
      <c r="O778" s="103"/>
      <c r="P778" s="100"/>
      <c r="U778" s="100"/>
      <c r="Z778" s="100"/>
      <c r="AE778" s="100"/>
      <c r="AJ778" s="100"/>
      <c r="AL778" s="78"/>
      <c r="AM778" s="78"/>
      <c r="AN778" s="100"/>
      <c r="AQ778" s="78"/>
      <c r="AR778" s="100"/>
      <c r="AT778" s="78"/>
      <c r="AU778" s="100"/>
      <c r="AX778" s="78"/>
      <c r="AY778" s="100"/>
      <c r="BC778" s="100"/>
      <c r="BF778" s="78"/>
      <c r="BG778" s="100"/>
      <c r="BJ778" s="78"/>
      <c r="BK778" s="100"/>
      <c r="BN778" s="100"/>
      <c r="BP778" s="104"/>
      <c r="BQ778" s="104"/>
    </row>
    <row r="779" spans="1:69" ht="12.75">
      <c r="A779" s="101"/>
      <c r="B779" s="1"/>
      <c r="F779" s="102"/>
      <c r="G779" s="1"/>
      <c r="K779" s="100"/>
      <c r="L779" s="103"/>
      <c r="M779" s="103"/>
      <c r="N779" s="103"/>
      <c r="O779" s="103"/>
      <c r="P779" s="100"/>
      <c r="U779" s="100"/>
      <c r="Z779" s="100"/>
      <c r="AE779" s="100"/>
      <c r="AJ779" s="100"/>
      <c r="AL779" s="78"/>
      <c r="AM779" s="78"/>
      <c r="AN779" s="100"/>
      <c r="AQ779" s="78"/>
      <c r="AR779" s="100"/>
      <c r="AT779" s="78"/>
      <c r="AU779" s="100"/>
      <c r="AX779" s="78"/>
      <c r="AY779" s="100"/>
      <c r="BC779" s="100"/>
      <c r="BF779" s="78"/>
      <c r="BG779" s="100"/>
      <c r="BJ779" s="78"/>
      <c r="BK779" s="100"/>
      <c r="BN779" s="100"/>
      <c r="BP779" s="104"/>
      <c r="BQ779" s="104"/>
    </row>
    <row r="780" spans="1:69" ht="12.75">
      <c r="A780" s="101"/>
      <c r="B780" s="1"/>
      <c r="F780" s="102"/>
      <c r="G780" s="1"/>
      <c r="K780" s="100"/>
      <c r="L780" s="103"/>
      <c r="M780" s="103"/>
      <c r="N780" s="103"/>
      <c r="O780" s="103"/>
      <c r="P780" s="100"/>
      <c r="U780" s="100"/>
      <c r="Z780" s="100"/>
      <c r="AE780" s="100"/>
      <c r="AJ780" s="100"/>
      <c r="AL780" s="78"/>
      <c r="AM780" s="78"/>
      <c r="AN780" s="100"/>
      <c r="AQ780" s="78"/>
      <c r="AR780" s="100"/>
      <c r="AT780" s="78"/>
      <c r="AU780" s="100"/>
      <c r="AX780" s="78"/>
      <c r="AY780" s="100"/>
      <c r="BC780" s="100"/>
      <c r="BF780" s="78"/>
      <c r="BG780" s="100"/>
      <c r="BJ780" s="78"/>
      <c r="BK780" s="100"/>
      <c r="BN780" s="100"/>
      <c r="BP780" s="104"/>
      <c r="BQ780" s="104"/>
    </row>
    <row r="781" spans="1:69" ht="12.75">
      <c r="A781" s="101"/>
      <c r="B781" s="1"/>
      <c r="F781" s="102"/>
      <c r="G781" s="1"/>
      <c r="K781" s="100"/>
      <c r="L781" s="103"/>
      <c r="M781" s="103"/>
      <c r="N781" s="103"/>
      <c r="O781" s="103"/>
      <c r="P781" s="100"/>
      <c r="U781" s="100"/>
      <c r="Z781" s="100"/>
      <c r="AE781" s="100"/>
      <c r="AJ781" s="100"/>
      <c r="AL781" s="78"/>
      <c r="AM781" s="78"/>
      <c r="AN781" s="100"/>
      <c r="AQ781" s="78"/>
      <c r="AR781" s="100"/>
      <c r="AT781" s="78"/>
      <c r="AU781" s="100"/>
      <c r="AX781" s="78"/>
      <c r="AY781" s="100"/>
      <c r="BC781" s="100"/>
      <c r="BF781" s="78"/>
      <c r="BG781" s="100"/>
      <c r="BJ781" s="78"/>
      <c r="BK781" s="100"/>
      <c r="BN781" s="100"/>
      <c r="BP781" s="104"/>
      <c r="BQ781" s="104"/>
    </row>
    <row r="782" spans="1:69" ht="12.75">
      <c r="A782" s="101"/>
      <c r="B782" s="1"/>
      <c r="F782" s="102"/>
      <c r="G782" s="1"/>
      <c r="K782" s="100"/>
      <c r="L782" s="103"/>
      <c r="M782" s="103"/>
      <c r="N782" s="103"/>
      <c r="O782" s="103"/>
      <c r="P782" s="100"/>
      <c r="U782" s="100"/>
      <c r="Z782" s="100"/>
      <c r="AE782" s="100"/>
      <c r="AJ782" s="100"/>
      <c r="AL782" s="78"/>
      <c r="AM782" s="78"/>
      <c r="AN782" s="100"/>
      <c r="AQ782" s="78"/>
      <c r="AR782" s="100"/>
      <c r="AT782" s="78"/>
      <c r="AU782" s="100"/>
      <c r="AX782" s="78"/>
      <c r="AY782" s="100"/>
      <c r="BC782" s="100"/>
      <c r="BF782" s="78"/>
      <c r="BG782" s="100"/>
      <c r="BJ782" s="78"/>
      <c r="BK782" s="100"/>
      <c r="BN782" s="100"/>
      <c r="BP782" s="104"/>
      <c r="BQ782" s="104"/>
    </row>
    <row r="783" spans="1:69" ht="12.75">
      <c r="A783" s="101"/>
      <c r="B783" s="1"/>
      <c r="F783" s="102"/>
      <c r="G783" s="1"/>
      <c r="K783" s="100"/>
      <c r="L783" s="103"/>
      <c r="M783" s="103"/>
      <c r="N783" s="103"/>
      <c r="O783" s="103"/>
      <c r="P783" s="100"/>
      <c r="U783" s="100"/>
      <c r="Z783" s="100"/>
      <c r="AE783" s="100"/>
      <c r="AJ783" s="100"/>
      <c r="AL783" s="78"/>
      <c r="AM783" s="78"/>
      <c r="AN783" s="100"/>
      <c r="AQ783" s="78"/>
      <c r="AR783" s="100"/>
      <c r="AT783" s="78"/>
      <c r="AU783" s="100"/>
      <c r="AX783" s="78"/>
      <c r="AY783" s="100"/>
      <c r="BC783" s="100"/>
      <c r="BF783" s="78"/>
      <c r="BG783" s="100"/>
      <c r="BJ783" s="78"/>
      <c r="BK783" s="100"/>
      <c r="BN783" s="100"/>
      <c r="BP783" s="104"/>
      <c r="BQ783" s="104"/>
    </row>
    <row r="784" spans="1:69" ht="12.75">
      <c r="A784" s="101"/>
      <c r="B784" s="1"/>
      <c r="F784" s="102"/>
      <c r="G784" s="1"/>
      <c r="K784" s="100"/>
      <c r="L784" s="103"/>
      <c r="M784" s="103"/>
      <c r="N784" s="103"/>
      <c r="O784" s="103"/>
      <c r="P784" s="100"/>
      <c r="U784" s="100"/>
      <c r="Z784" s="100"/>
      <c r="AE784" s="100"/>
      <c r="AJ784" s="100"/>
      <c r="AL784" s="78"/>
      <c r="AM784" s="78"/>
      <c r="AN784" s="100"/>
      <c r="AQ784" s="78"/>
      <c r="AR784" s="100"/>
      <c r="AT784" s="78"/>
      <c r="AU784" s="100"/>
      <c r="AX784" s="78"/>
      <c r="AY784" s="100"/>
      <c r="BC784" s="100"/>
      <c r="BF784" s="78"/>
      <c r="BG784" s="100"/>
      <c r="BJ784" s="78"/>
      <c r="BK784" s="100"/>
      <c r="BN784" s="100"/>
      <c r="BP784" s="104"/>
      <c r="BQ784" s="104"/>
    </row>
    <row r="785" spans="1:69" ht="12.75">
      <c r="A785" s="101"/>
      <c r="B785" s="1"/>
      <c r="F785" s="102"/>
      <c r="G785" s="1"/>
      <c r="K785" s="100"/>
      <c r="L785" s="103"/>
      <c r="M785" s="103"/>
      <c r="N785" s="103"/>
      <c r="O785" s="103"/>
      <c r="P785" s="100"/>
      <c r="U785" s="100"/>
      <c r="Z785" s="100"/>
      <c r="AE785" s="100"/>
      <c r="AJ785" s="100"/>
      <c r="AL785" s="78"/>
      <c r="AM785" s="78"/>
      <c r="AN785" s="100"/>
      <c r="AQ785" s="78"/>
      <c r="AR785" s="100"/>
      <c r="AT785" s="78"/>
      <c r="AU785" s="100"/>
      <c r="AX785" s="78"/>
      <c r="AY785" s="100"/>
      <c r="BC785" s="100"/>
      <c r="BF785" s="78"/>
      <c r="BG785" s="100"/>
      <c r="BJ785" s="78"/>
      <c r="BK785" s="100"/>
      <c r="BN785" s="100"/>
      <c r="BP785" s="104"/>
      <c r="BQ785" s="104"/>
    </row>
    <row r="786" spans="1:69" ht="12.75">
      <c r="A786" s="101"/>
      <c r="B786" s="1"/>
      <c r="F786" s="102"/>
      <c r="G786" s="1"/>
      <c r="K786" s="100"/>
      <c r="L786" s="103"/>
      <c r="M786" s="103"/>
      <c r="N786" s="103"/>
      <c r="O786" s="103"/>
      <c r="P786" s="100"/>
      <c r="U786" s="100"/>
      <c r="Z786" s="100"/>
      <c r="AE786" s="100"/>
      <c r="AJ786" s="100"/>
      <c r="AL786" s="78"/>
      <c r="AM786" s="78"/>
      <c r="AN786" s="100"/>
      <c r="AQ786" s="78"/>
      <c r="AR786" s="100"/>
      <c r="AT786" s="78"/>
      <c r="AU786" s="100"/>
      <c r="AX786" s="78"/>
      <c r="AY786" s="100"/>
      <c r="BC786" s="100"/>
      <c r="BF786" s="78"/>
      <c r="BG786" s="100"/>
      <c r="BJ786" s="78"/>
      <c r="BK786" s="100"/>
      <c r="BN786" s="100"/>
      <c r="BP786" s="104"/>
      <c r="BQ786" s="104"/>
    </row>
    <row r="787" spans="1:69" ht="12.75">
      <c r="A787" s="101"/>
      <c r="B787" s="1"/>
      <c r="F787" s="102"/>
      <c r="G787" s="1"/>
      <c r="K787" s="100"/>
      <c r="L787" s="103"/>
      <c r="M787" s="103"/>
      <c r="N787" s="103"/>
      <c r="O787" s="103"/>
      <c r="P787" s="100"/>
      <c r="U787" s="100"/>
      <c r="Z787" s="100"/>
      <c r="AE787" s="100"/>
      <c r="AJ787" s="100"/>
      <c r="AL787" s="78"/>
      <c r="AM787" s="78"/>
      <c r="AN787" s="100"/>
      <c r="AQ787" s="78"/>
      <c r="AR787" s="100"/>
      <c r="AT787" s="78"/>
      <c r="AU787" s="100"/>
      <c r="AX787" s="78"/>
      <c r="AY787" s="100"/>
      <c r="BC787" s="100"/>
      <c r="BF787" s="78"/>
      <c r="BG787" s="100"/>
      <c r="BJ787" s="78"/>
      <c r="BK787" s="100"/>
      <c r="BN787" s="100"/>
      <c r="BP787" s="104"/>
      <c r="BQ787" s="104"/>
    </row>
    <row r="788" spans="1:69" ht="12.75">
      <c r="A788" s="101"/>
      <c r="B788" s="1"/>
      <c r="F788" s="102"/>
      <c r="G788" s="1"/>
      <c r="K788" s="100"/>
      <c r="L788" s="103"/>
      <c r="M788" s="103"/>
      <c r="N788" s="103"/>
      <c r="O788" s="103"/>
      <c r="P788" s="100"/>
      <c r="U788" s="100"/>
      <c r="Z788" s="100"/>
      <c r="AE788" s="100"/>
      <c r="AJ788" s="100"/>
      <c r="AL788" s="78"/>
      <c r="AM788" s="78"/>
      <c r="AN788" s="100"/>
      <c r="AQ788" s="78"/>
      <c r="AR788" s="100"/>
      <c r="AT788" s="78"/>
      <c r="AU788" s="100"/>
      <c r="AX788" s="78"/>
      <c r="AY788" s="100"/>
      <c r="BC788" s="100"/>
      <c r="BF788" s="78"/>
      <c r="BG788" s="100"/>
      <c r="BJ788" s="78"/>
      <c r="BK788" s="100"/>
      <c r="BN788" s="100"/>
      <c r="BP788" s="104"/>
      <c r="BQ788" s="104"/>
    </row>
    <row r="789" spans="1:69" ht="12.75">
      <c r="A789" s="101"/>
      <c r="B789" s="1"/>
      <c r="F789" s="102"/>
      <c r="G789" s="1"/>
      <c r="K789" s="100"/>
      <c r="L789" s="103"/>
      <c r="M789" s="103"/>
      <c r="N789" s="103"/>
      <c r="O789" s="103"/>
      <c r="P789" s="100"/>
      <c r="U789" s="100"/>
      <c r="Z789" s="100"/>
      <c r="AE789" s="100"/>
      <c r="AJ789" s="100"/>
      <c r="AL789" s="78"/>
      <c r="AM789" s="78"/>
      <c r="AN789" s="100"/>
      <c r="AQ789" s="78"/>
      <c r="AR789" s="100"/>
      <c r="AT789" s="78"/>
      <c r="AU789" s="100"/>
      <c r="AX789" s="78"/>
      <c r="AY789" s="100"/>
      <c r="BC789" s="100"/>
      <c r="BF789" s="78"/>
      <c r="BG789" s="100"/>
      <c r="BJ789" s="78"/>
      <c r="BK789" s="100"/>
      <c r="BN789" s="100"/>
      <c r="BP789" s="104"/>
      <c r="BQ789" s="104"/>
    </row>
    <row r="790" spans="1:69" ht="12.75">
      <c r="A790" s="101"/>
      <c r="B790" s="1"/>
      <c r="F790" s="102"/>
      <c r="G790" s="1"/>
      <c r="K790" s="100"/>
      <c r="L790" s="103"/>
      <c r="M790" s="103"/>
      <c r="N790" s="103"/>
      <c r="O790" s="103"/>
      <c r="P790" s="100"/>
      <c r="U790" s="100"/>
      <c r="Z790" s="100"/>
      <c r="AE790" s="100"/>
      <c r="AJ790" s="100"/>
      <c r="AL790" s="78"/>
      <c r="AM790" s="78"/>
      <c r="AN790" s="100"/>
      <c r="AQ790" s="78"/>
      <c r="AR790" s="100"/>
      <c r="AT790" s="78"/>
      <c r="AU790" s="100"/>
      <c r="AX790" s="78"/>
      <c r="AY790" s="100"/>
      <c r="BC790" s="100"/>
      <c r="BF790" s="78"/>
      <c r="BG790" s="100"/>
      <c r="BJ790" s="78"/>
      <c r="BK790" s="100"/>
      <c r="BN790" s="100"/>
      <c r="BP790" s="104"/>
      <c r="BQ790" s="104"/>
    </row>
    <row r="791" spans="1:69" ht="12.75">
      <c r="A791" s="101"/>
      <c r="B791" s="1"/>
      <c r="F791" s="102"/>
      <c r="G791" s="1"/>
      <c r="K791" s="100"/>
      <c r="L791" s="103"/>
      <c r="M791" s="103"/>
      <c r="N791" s="103"/>
      <c r="O791" s="103"/>
      <c r="P791" s="100"/>
      <c r="U791" s="100"/>
      <c r="Z791" s="100"/>
      <c r="AE791" s="100"/>
      <c r="AJ791" s="100"/>
      <c r="AL791" s="78"/>
      <c r="AM791" s="78"/>
      <c r="AN791" s="100"/>
      <c r="AQ791" s="78"/>
      <c r="AR791" s="100"/>
      <c r="AT791" s="78"/>
      <c r="AU791" s="100"/>
      <c r="AX791" s="78"/>
      <c r="AY791" s="100"/>
      <c r="BC791" s="100"/>
      <c r="BF791" s="78"/>
      <c r="BG791" s="100"/>
      <c r="BJ791" s="78"/>
      <c r="BK791" s="100"/>
      <c r="BN791" s="100"/>
      <c r="BP791" s="104"/>
      <c r="BQ791" s="104"/>
    </row>
    <row r="792" spans="1:69" ht="12.75">
      <c r="A792" s="101"/>
      <c r="B792" s="1"/>
      <c r="F792" s="102"/>
      <c r="G792" s="1"/>
      <c r="K792" s="100"/>
      <c r="L792" s="103"/>
      <c r="M792" s="103"/>
      <c r="N792" s="103"/>
      <c r="O792" s="103"/>
      <c r="P792" s="100"/>
      <c r="U792" s="100"/>
      <c r="Z792" s="100"/>
      <c r="AE792" s="100"/>
      <c r="AJ792" s="100"/>
      <c r="AL792" s="78"/>
      <c r="AM792" s="78"/>
      <c r="AN792" s="100"/>
      <c r="AQ792" s="78"/>
      <c r="AR792" s="100"/>
      <c r="AT792" s="78"/>
      <c r="AU792" s="100"/>
      <c r="AX792" s="78"/>
      <c r="AY792" s="100"/>
      <c r="BC792" s="100"/>
      <c r="BF792" s="78"/>
      <c r="BG792" s="100"/>
      <c r="BJ792" s="78"/>
      <c r="BK792" s="100"/>
      <c r="BN792" s="100"/>
      <c r="BP792" s="104"/>
      <c r="BQ792" s="104"/>
    </row>
    <row r="793" spans="1:69" ht="12.75">
      <c r="A793" s="101"/>
      <c r="B793" s="1"/>
      <c r="F793" s="102"/>
      <c r="G793" s="1"/>
      <c r="K793" s="100"/>
      <c r="L793" s="103"/>
      <c r="M793" s="103"/>
      <c r="N793" s="103"/>
      <c r="O793" s="103"/>
      <c r="P793" s="100"/>
      <c r="U793" s="100"/>
      <c r="Z793" s="100"/>
      <c r="AE793" s="100"/>
      <c r="AJ793" s="100"/>
      <c r="AL793" s="78"/>
      <c r="AM793" s="78"/>
      <c r="AN793" s="100"/>
      <c r="AQ793" s="78"/>
      <c r="AR793" s="100"/>
      <c r="AT793" s="78"/>
      <c r="AU793" s="100"/>
      <c r="AX793" s="78"/>
      <c r="AY793" s="100"/>
      <c r="BC793" s="100"/>
      <c r="BF793" s="78"/>
      <c r="BG793" s="100"/>
      <c r="BJ793" s="78"/>
      <c r="BK793" s="100"/>
      <c r="BN793" s="100"/>
      <c r="BP793" s="104"/>
      <c r="BQ793" s="104"/>
    </row>
    <row r="794" spans="1:69" ht="12.75">
      <c r="A794" s="101"/>
      <c r="B794" s="1"/>
      <c r="F794" s="102"/>
      <c r="G794" s="1"/>
      <c r="K794" s="100"/>
      <c r="L794" s="103"/>
      <c r="M794" s="103"/>
      <c r="N794" s="103"/>
      <c r="O794" s="103"/>
      <c r="P794" s="100"/>
      <c r="U794" s="100"/>
      <c r="Z794" s="100"/>
      <c r="AE794" s="100"/>
      <c r="AJ794" s="100"/>
      <c r="AL794" s="78"/>
      <c r="AM794" s="78"/>
      <c r="AN794" s="100"/>
      <c r="AQ794" s="78"/>
      <c r="AR794" s="100"/>
      <c r="AT794" s="78"/>
      <c r="AU794" s="100"/>
      <c r="AX794" s="78"/>
      <c r="AY794" s="100"/>
      <c r="BC794" s="100"/>
      <c r="BF794" s="78"/>
      <c r="BG794" s="100"/>
      <c r="BJ794" s="78"/>
      <c r="BK794" s="100"/>
      <c r="BN794" s="100"/>
      <c r="BP794" s="104"/>
      <c r="BQ794" s="104"/>
    </row>
    <row r="795" spans="1:69" ht="12.75">
      <c r="A795" s="101"/>
      <c r="B795" s="1"/>
      <c r="F795" s="102"/>
      <c r="G795" s="1"/>
      <c r="K795" s="100"/>
      <c r="L795" s="103"/>
      <c r="M795" s="103"/>
      <c r="N795" s="103"/>
      <c r="O795" s="103"/>
      <c r="P795" s="100"/>
      <c r="U795" s="100"/>
      <c r="Z795" s="100"/>
      <c r="AE795" s="100"/>
      <c r="AJ795" s="100"/>
      <c r="AL795" s="78"/>
      <c r="AM795" s="78"/>
      <c r="AN795" s="100"/>
      <c r="AQ795" s="78"/>
      <c r="AR795" s="100"/>
      <c r="AT795" s="78"/>
      <c r="AU795" s="100"/>
      <c r="AX795" s="78"/>
      <c r="AY795" s="100"/>
      <c r="BC795" s="100"/>
      <c r="BF795" s="78"/>
      <c r="BG795" s="100"/>
      <c r="BJ795" s="78"/>
      <c r="BK795" s="100"/>
      <c r="BN795" s="100"/>
      <c r="BP795" s="104"/>
      <c r="BQ795" s="104"/>
    </row>
    <row r="796" spans="1:69" ht="12.75">
      <c r="A796" s="101"/>
      <c r="B796" s="1"/>
      <c r="F796" s="102"/>
      <c r="G796" s="1"/>
      <c r="K796" s="100"/>
      <c r="L796" s="103"/>
      <c r="M796" s="103"/>
      <c r="N796" s="103"/>
      <c r="O796" s="103"/>
      <c r="P796" s="100"/>
      <c r="U796" s="100"/>
      <c r="Z796" s="100"/>
      <c r="AE796" s="100"/>
      <c r="AJ796" s="100"/>
      <c r="AL796" s="78"/>
      <c r="AM796" s="78"/>
      <c r="AN796" s="100"/>
      <c r="AQ796" s="78"/>
      <c r="AR796" s="100"/>
      <c r="AT796" s="78"/>
      <c r="AU796" s="100"/>
      <c r="AX796" s="78"/>
      <c r="AY796" s="100"/>
      <c r="BC796" s="100"/>
      <c r="BF796" s="78"/>
      <c r="BG796" s="100"/>
      <c r="BJ796" s="78"/>
      <c r="BK796" s="100"/>
      <c r="BN796" s="100"/>
      <c r="BP796" s="104"/>
      <c r="BQ796" s="104"/>
    </row>
    <row r="797" spans="1:69" ht="12.75">
      <c r="A797" s="101"/>
      <c r="B797" s="1"/>
      <c r="F797" s="102"/>
      <c r="G797" s="1"/>
      <c r="K797" s="100"/>
      <c r="L797" s="103"/>
      <c r="M797" s="103"/>
      <c r="N797" s="103"/>
      <c r="O797" s="103"/>
      <c r="P797" s="100"/>
      <c r="U797" s="100"/>
      <c r="Z797" s="100"/>
      <c r="AE797" s="100"/>
      <c r="AJ797" s="100"/>
      <c r="AL797" s="78"/>
      <c r="AM797" s="78"/>
      <c r="AN797" s="100"/>
      <c r="AQ797" s="78"/>
      <c r="AR797" s="100"/>
      <c r="AT797" s="78"/>
      <c r="AU797" s="100"/>
      <c r="AX797" s="78"/>
      <c r="AY797" s="100"/>
      <c r="BC797" s="100"/>
      <c r="BF797" s="78"/>
      <c r="BG797" s="100"/>
      <c r="BJ797" s="78"/>
      <c r="BK797" s="100"/>
      <c r="BN797" s="100"/>
      <c r="BP797" s="104"/>
      <c r="BQ797" s="104"/>
    </row>
    <row r="798" spans="1:69" ht="12.75">
      <c r="A798" s="101"/>
      <c r="B798" s="1"/>
      <c r="F798" s="102"/>
      <c r="G798" s="1"/>
      <c r="K798" s="100"/>
      <c r="L798" s="103"/>
      <c r="M798" s="103"/>
      <c r="N798" s="103"/>
      <c r="O798" s="103"/>
      <c r="P798" s="100"/>
      <c r="U798" s="100"/>
      <c r="Z798" s="100"/>
      <c r="AE798" s="100"/>
      <c r="AJ798" s="100"/>
      <c r="AL798" s="78"/>
      <c r="AM798" s="78"/>
      <c r="AN798" s="100"/>
      <c r="AQ798" s="78"/>
      <c r="AR798" s="100"/>
      <c r="AT798" s="78"/>
      <c r="AU798" s="100"/>
      <c r="AX798" s="78"/>
      <c r="AY798" s="100"/>
      <c r="BC798" s="100"/>
      <c r="BF798" s="78"/>
      <c r="BG798" s="100"/>
      <c r="BJ798" s="78"/>
      <c r="BK798" s="100"/>
      <c r="BN798" s="100"/>
      <c r="BP798" s="104"/>
      <c r="BQ798" s="104"/>
    </row>
    <row r="799" spans="1:69" ht="12.75">
      <c r="A799" s="101"/>
      <c r="B799" s="1"/>
      <c r="F799" s="102"/>
      <c r="G799" s="1"/>
      <c r="K799" s="100"/>
      <c r="L799" s="103"/>
      <c r="M799" s="103"/>
      <c r="N799" s="103"/>
      <c r="O799" s="103"/>
      <c r="P799" s="100"/>
      <c r="U799" s="100"/>
      <c r="Z799" s="100"/>
      <c r="AE799" s="100"/>
      <c r="AJ799" s="100"/>
      <c r="AL799" s="78"/>
      <c r="AM799" s="78"/>
      <c r="AN799" s="100"/>
      <c r="AQ799" s="78"/>
      <c r="AR799" s="100"/>
      <c r="AT799" s="78"/>
      <c r="AU799" s="100"/>
      <c r="AX799" s="78"/>
      <c r="AY799" s="100"/>
      <c r="BC799" s="100"/>
      <c r="BF799" s="78"/>
      <c r="BG799" s="100"/>
      <c r="BJ799" s="78"/>
      <c r="BK799" s="100"/>
      <c r="BN799" s="100"/>
      <c r="BP799" s="104"/>
      <c r="BQ799" s="104"/>
    </row>
    <row r="800" spans="1:69" ht="12.75">
      <c r="A800" s="101"/>
      <c r="B800" s="1"/>
      <c r="F800" s="102"/>
      <c r="G800" s="1"/>
      <c r="K800" s="100"/>
      <c r="L800" s="103"/>
      <c r="M800" s="103"/>
      <c r="N800" s="103"/>
      <c r="O800" s="103"/>
      <c r="P800" s="100"/>
      <c r="U800" s="100"/>
      <c r="Z800" s="100"/>
      <c r="AE800" s="100"/>
      <c r="AJ800" s="100"/>
      <c r="AL800" s="78"/>
      <c r="AM800" s="78"/>
      <c r="AN800" s="100"/>
      <c r="AQ800" s="78"/>
      <c r="AR800" s="100"/>
      <c r="AT800" s="78"/>
      <c r="AU800" s="100"/>
      <c r="AX800" s="78"/>
      <c r="AY800" s="100"/>
      <c r="BC800" s="100"/>
      <c r="BF800" s="78"/>
      <c r="BG800" s="100"/>
      <c r="BJ800" s="78"/>
      <c r="BK800" s="100"/>
      <c r="BN800" s="100"/>
      <c r="BP800" s="104"/>
      <c r="BQ800" s="104"/>
    </row>
    <row r="801" spans="1:69" ht="12.75">
      <c r="A801" s="101"/>
      <c r="B801" s="1"/>
      <c r="F801" s="102"/>
      <c r="G801" s="1"/>
      <c r="K801" s="100"/>
      <c r="L801" s="103"/>
      <c r="M801" s="103"/>
      <c r="N801" s="103"/>
      <c r="O801" s="103"/>
      <c r="P801" s="100"/>
      <c r="U801" s="100"/>
      <c r="Z801" s="100"/>
      <c r="AE801" s="100"/>
      <c r="AJ801" s="100"/>
      <c r="AL801" s="78"/>
      <c r="AM801" s="78"/>
      <c r="AN801" s="100"/>
      <c r="AQ801" s="78"/>
      <c r="AR801" s="100"/>
      <c r="AT801" s="78"/>
      <c r="AU801" s="100"/>
      <c r="AX801" s="78"/>
      <c r="AY801" s="100"/>
      <c r="BC801" s="100"/>
      <c r="BF801" s="78"/>
      <c r="BG801" s="100"/>
      <c r="BJ801" s="78"/>
      <c r="BK801" s="100"/>
      <c r="BN801" s="100"/>
      <c r="BP801" s="104"/>
      <c r="BQ801" s="104"/>
    </row>
    <row r="802" spans="1:69" ht="12.75">
      <c r="A802" s="101"/>
      <c r="B802" s="1"/>
      <c r="F802" s="102"/>
      <c r="G802" s="1"/>
      <c r="K802" s="100"/>
      <c r="L802" s="103"/>
      <c r="M802" s="103"/>
      <c r="N802" s="103"/>
      <c r="O802" s="103"/>
      <c r="P802" s="100"/>
      <c r="U802" s="100"/>
      <c r="Z802" s="100"/>
      <c r="AE802" s="100"/>
      <c r="AJ802" s="100"/>
      <c r="AL802" s="78"/>
      <c r="AM802" s="78"/>
      <c r="AN802" s="100"/>
      <c r="AQ802" s="78"/>
      <c r="AR802" s="100"/>
      <c r="AT802" s="78"/>
      <c r="AU802" s="100"/>
      <c r="AX802" s="78"/>
      <c r="AY802" s="100"/>
      <c r="BC802" s="100"/>
      <c r="BF802" s="78"/>
      <c r="BG802" s="100"/>
      <c r="BJ802" s="78"/>
      <c r="BK802" s="100"/>
      <c r="BN802" s="100"/>
      <c r="BP802" s="104"/>
      <c r="BQ802" s="104"/>
    </row>
    <row r="803" spans="1:69" ht="12.75">
      <c r="A803" s="101"/>
      <c r="B803" s="1"/>
      <c r="F803" s="102"/>
      <c r="G803" s="1"/>
      <c r="K803" s="100"/>
      <c r="L803" s="103"/>
      <c r="M803" s="103"/>
      <c r="N803" s="103"/>
      <c r="O803" s="103"/>
      <c r="P803" s="100"/>
      <c r="U803" s="100"/>
      <c r="Z803" s="100"/>
      <c r="AE803" s="100"/>
      <c r="AJ803" s="100"/>
      <c r="AL803" s="78"/>
      <c r="AM803" s="78"/>
      <c r="AN803" s="100"/>
      <c r="AQ803" s="78"/>
      <c r="AR803" s="100"/>
      <c r="AT803" s="78"/>
      <c r="AU803" s="100"/>
      <c r="AX803" s="78"/>
      <c r="AY803" s="100"/>
      <c r="BC803" s="100"/>
      <c r="BF803" s="78"/>
      <c r="BG803" s="100"/>
      <c r="BJ803" s="78"/>
      <c r="BK803" s="100"/>
      <c r="BN803" s="100"/>
      <c r="BP803" s="104"/>
      <c r="BQ803" s="104"/>
    </row>
    <row r="804" spans="1:69" ht="12.75">
      <c r="A804" s="101"/>
      <c r="B804" s="1"/>
      <c r="F804" s="102"/>
      <c r="G804" s="1"/>
      <c r="K804" s="100"/>
      <c r="L804" s="103"/>
      <c r="M804" s="103"/>
      <c r="N804" s="103"/>
      <c r="O804" s="103"/>
      <c r="P804" s="100"/>
      <c r="U804" s="100"/>
      <c r="Z804" s="100"/>
      <c r="AE804" s="100"/>
      <c r="AJ804" s="100"/>
      <c r="AL804" s="78"/>
      <c r="AM804" s="78"/>
      <c r="AN804" s="100"/>
      <c r="AQ804" s="78"/>
      <c r="AR804" s="100"/>
      <c r="AT804" s="78"/>
      <c r="AU804" s="100"/>
      <c r="AX804" s="78"/>
      <c r="AY804" s="100"/>
      <c r="BC804" s="100"/>
      <c r="BF804" s="78"/>
      <c r="BG804" s="100"/>
      <c r="BJ804" s="78"/>
      <c r="BK804" s="100"/>
      <c r="BN804" s="100"/>
      <c r="BP804" s="104"/>
      <c r="BQ804" s="104"/>
    </row>
    <row r="805" spans="1:69" ht="12.75">
      <c r="A805" s="101"/>
      <c r="B805" s="1"/>
      <c r="F805" s="102"/>
      <c r="G805" s="1"/>
      <c r="K805" s="100"/>
      <c r="L805" s="103"/>
      <c r="M805" s="103"/>
      <c r="N805" s="103"/>
      <c r="O805" s="103"/>
      <c r="P805" s="100"/>
      <c r="U805" s="100"/>
      <c r="Z805" s="100"/>
      <c r="AE805" s="100"/>
      <c r="AJ805" s="100"/>
      <c r="AL805" s="78"/>
      <c r="AM805" s="78"/>
      <c r="AN805" s="100"/>
      <c r="AQ805" s="78"/>
      <c r="AR805" s="100"/>
      <c r="AT805" s="78"/>
      <c r="AU805" s="100"/>
      <c r="AX805" s="78"/>
      <c r="AY805" s="100"/>
      <c r="BC805" s="100"/>
      <c r="BF805" s="78"/>
      <c r="BG805" s="100"/>
      <c r="BJ805" s="78"/>
      <c r="BK805" s="100"/>
      <c r="BN805" s="100"/>
      <c r="BP805" s="104"/>
      <c r="BQ805" s="104"/>
    </row>
    <row r="806" spans="1:69" ht="12.75">
      <c r="A806" s="101"/>
      <c r="B806" s="1"/>
      <c r="F806" s="102"/>
      <c r="G806" s="1"/>
      <c r="K806" s="100"/>
      <c r="L806" s="103"/>
      <c r="M806" s="103"/>
      <c r="N806" s="103"/>
      <c r="O806" s="103"/>
      <c r="P806" s="100"/>
      <c r="U806" s="100"/>
      <c r="Z806" s="100"/>
      <c r="AE806" s="100"/>
      <c r="AJ806" s="100"/>
      <c r="AL806" s="78"/>
      <c r="AM806" s="78"/>
      <c r="AN806" s="100"/>
      <c r="AQ806" s="78"/>
      <c r="AR806" s="100"/>
      <c r="AT806" s="78"/>
      <c r="AU806" s="100"/>
      <c r="AX806" s="78"/>
      <c r="AY806" s="100"/>
      <c r="BC806" s="100"/>
      <c r="BF806" s="78"/>
      <c r="BG806" s="100"/>
      <c r="BJ806" s="78"/>
      <c r="BK806" s="100"/>
      <c r="BN806" s="100"/>
      <c r="BP806" s="104"/>
      <c r="BQ806" s="104"/>
    </row>
    <row r="807" spans="1:69" ht="12.75">
      <c r="A807" s="101"/>
      <c r="B807" s="1"/>
      <c r="F807" s="102"/>
      <c r="G807" s="1"/>
      <c r="K807" s="100"/>
      <c r="L807" s="103"/>
      <c r="M807" s="103"/>
      <c r="N807" s="103"/>
      <c r="O807" s="103"/>
      <c r="P807" s="100"/>
      <c r="U807" s="100"/>
      <c r="Z807" s="100"/>
      <c r="AE807" s="100"/>
      <c r="AJ807" s="100"/>
      <c r="AL807" s="78"/>
      <c r="AM807" s="78"/>
      <c r="AN807" s="100"/>
      <c r="AQ807" s="78"/>
      <c r="AR807" s="100"/>
      <c r="AT807" s="78"/>
      <c r="AU807" s="100"/>
      <c r="AX807" s="78"/>
      <c r="AY807" s="100"/>
      <c r="BC807" s="100"/>
      <c r="BF807" s="78"/>
      <c r="BG807" s="100"/>
      <c r="BJ807" s="78"/>
      <c r="BK807" s="100"/>
      <c r="BN807" s="100"/>
      <c r="BP807" s="104"/>
      <c r="BQ807" s="104"/>
    </row>
    <row r="808" spans="1:69" ht="12.75">
      <c r="A808" s="101"/>
      <c r="B808" s="1"/>
      <c r="F808" s="102"/>
      <c r="G808" s="1"/>
      <c r="K808" s="100"/>
      <c r="L808" s="103"/>
      <c r="M808" s="103"/>
      <c r="N808" s="103"/>
      <c r="O808" s="103"/>
      <c r="P808" s="100"/>
      <c r="U808" s="100"/>
      <c r="Z808" s="100"/>
      <c r="AE808" s="100"/>
      <c r="AJ808" s="100"/>
      <c r="AL808" s="78"/>
      <c r="AM808" s="78"/>
      <c r="AN808" s="100"/>
      <c r="AQ808" s="78"/>
      <c r="AR808" s="100"/>
      <c r="AT808" s="78"/>
      <c r="AU808" s="100"/>
      <c r="AX808" s="78"/>
      <c r="AY808" s="100"/>
      <c r="BC808" s="100"/>
      <c r="BF808" s="78"/>
      <c r="BG808" s="100"/>
      <c r="BJ808" s="78"/>
      <c r="BK808" s="100"/>
      <c r="BN808" s="100"/>
      <c r="BP808" s="104"/>
      <c r="BQ808" s="104"/>
    </row>
    <row r="809" spans="1:69" ht="12.75">
      <c r="A809" s="101"/>
      <c r="B809" s="1"/>
      <c r="F809" s="102"/>
      <c r="G809" s="1"/>
      <c r="K809" s="100"/>
      <c r="L809" s="103"/>
      <c r="M809" s="103"/>
      <c r="N809" s="103"/>
      <c r="O809" s="103"/>
      <c r="P809" s="100"/>
      <c r="U809" s="100"/>
      <c r="Z809" s="100"/>
      <c r="AE809" s="100"/>
      <c r="AJ809" s="100"/>
      <c r="AL809" s="78"/>
      <c r="AM809" s="78"/>
      <c r="AN809" s="100"/>
      <c r="AQ809" s="78"/>
      <c r="AR809" s="100"/>
      <c r="AT809" s="78"/>
      <c r="AU809" s="100"/>
      <c r="AX809" s="78"/>
      <c r="AY809" s="100"/>
      <c r="BC809" s="100"/>
      <c r="BF809" s="78"/>
      <c r="BG809" s="100"/>
      <c r="BJ809" s="78"/>
      <c r="BK809" s="100"/>
      <c r="BN809" s="100"/>
      <c r="BP809" s="104"/>
      <c r="BQ809" s="104"/>
    </row>
    <row r="810" spans="1:69" ht="12.75">
      <c r="A810" s="101"/>
      <c r="B810" s="1"/>
      <c r="F810" s="102"/>
      <c r="G810" s="1"/>
      <c r="K810" s="100"/>
      <c r="L810" s="103"/>
      <c r="M810" s="103"/>
      <c r="N810" s="103"/>
      <c r="O810" s="103"/>
      <c r="P810" s="100"/>
      <c r="U810" s="100"/>
      <c r="Z810" s="100"/>
      <c r="AE810" s="100"/>
      <c r="AJ810" s="100"/>
      <c r="AL810" s="78"/>
      <c r="AM810" s="78"/>
      <c r="AN810" s="100"/>
      <c r="AQ810" s="78"/>
      <c r="AR810" s="100"/>
      <c r="AT810" s="78"/>
      <c r="AU810" s="100"/>
      <c r="AX810" s="78"/>
      <c r="AY810" s="100"/>
      <c r="BC810" s="100"/>
      <c r="BF810" s="78"/>
      <c r="BG810" s="100"/>
      <c r="BJ810" s="78"/>
      <c r="BK810" s="100"/>
      <c r="BN810" s="100"/>
      <c r="BP810" s="104"/>
      <c r="BQ810" s="104"/>
    </row>
    <row r="811" spans="1:69" ht="12.75">
      <c r="A811" s="101"/>
      <c r="B811" s="1"/>
      <c r="F811" s="102"/>
      <c r="G811" s="1"/>
      <c r="K811" s="100"/>
      <c r="L811" s="103"/>
      <c r="M811" s="103"/>
      <c r="N811" s="103"/>
      <c r="O811" s="103"/>
      <c r="P811" s="100"/>
      <c r="U811" s="100"/>
      <c r="Z811" s="100"/>
      <c r="AE811" s="100"/>
      <c r="AJ811" s="100"/>
      <c r="AL811" s="78"/>
      <c r="AM811" s="78"/>
      <c r="AN811" s="100"/>
      <c r="AQ811" s="78"/>
      <c r="AR811" s="100"/>
      <c r="AT811" s="78"/>
      <c r="AU811" s="100"/>
      <c r="AX811" s="78"/>
      <c r="AY811" s="100"/>
      <c r="BC811" s="100"/>
      <c r="BF811" s="78"/>
      <c r="BG811" s="100"/>
      <c r="BJ811" s="78"/>
      <c r="BK811" s="100"/>
      <c r="BN811" s="100"/>
      <c r="BP811" s="104"/>
      <c r="BQ811" s="104"/>
    </row>
    <row r="812" spans="1:69" ht="12.75">
      <c r="A812" s="101"/>
      <c r="B812" s="1"/>
      <c r="F812" s="102"/>
      <c r="G812" s="1"/>
      <c r="K812" s="100"/>
      <c r="L812" s="103"/>
      <c r="M812" s="103"/>
      <c r="N812" s="103"/>
      <c r="O812" s="103"/>
      <c r="P812" s="100"/>
      <c r="U812" s="100"/>
      <c r="Z812" s="100"/>
      <c r="AE812" s="100"/>
      <c r="AJ812" s="100"/>
      <c r="AL812" s="78"/>
      <c r="AM812" s="78"/>
      <c r="AN812" s="100"/>
      <c r="AQ812" s="78"/>
      <c r="AR812" s="100"/>
      <c r="AT812" s="78"/>
      <c r="AU812" s="100"/>
      <c r="AX812" s="78"/>
      <c r="AY812" s="100"/>
      <c r="BC812" s="100"/>
      <c r="BF812" s="78"/>
      <c r="BG812" s="100"/>
      <c r="BJ812" s="78"/>
      <c r="BK812" s="100"/>
      <c r="BN812" s="100"/>
      <c r="BP812" s="104"/>
      <c r="BQ812" s="104"/>
    </row>
    <row r="813" spans="1:69" ht="12.75">
      <c r="A813" s="101"/>
      <c r="B813" s="1"/>
      <c r="F813" s="102"/>
      <c r="G813" s="1"/>
      <c r="K813" s="100"/>
      <c r="L813" s="103"/>
      <c r="M813" s="103"/>
      <c r="N813" s="103"/>
      <c r="O813" s="103"/>
      <c r="P813" s="100"/>
      <c r="U813" s="100"/>
      <c r="Z813" s="100"/>
      <c r="AE813" s="100"/>
      <c r="AJ813" s="100"/>
      <c r="AL813" s="78"/>
      <c r="AM813" s="78"/>
      <c r="AN813" s="100"/>
      <c r="AQ813" s="78"/>
      <c r="AR813" s="100"/>
      <c r="AT813" s="78"/>
      <c r="AU813" s="100"/>
      <c r="AX813" s="78"/>
      <c r="AY813" s="100"/>
      <c r="BC813" s="100"/>
      <c r="BF813" s="78"/>
      <c r="BG813" s="100"/>
      <c r="BJ813" s="78"/>
      <c r="BK813" s="100"/>
      <c r="BN813" s="100"/>
      <c r="BP813" s="104"/>
      <c r="BQ813" s="104"/>
    </row>
    <row r="814" spans="1:69" ht="12.75">
      <c r="A814" s="101"/>
      <c r="B814" s="1"/>
      <c r="F814" s="102"/>
      <c r="G814" s="1"/>
      <c r="K814" s="100"/>
      <c r="L814" s="103"/>
      <c r="M814" s="103"/>
      <c r="N814" s="103"/>
      <c r="O814" s="103"/>
      <c r="P814" s="100"/>
      <c r="U814" s="100"/>
      <c r="Z814" s="100"/>
      <c r="AE814" s="100"/>
      <c r="AJ814" s="100"/>
      <c r="AL814" s="78"/>
      <c r="AM814" s="78"/>
      <c r="AN814" s="100"/>
      <c r="AQ814" s="78"/>
      <c r="AR814" s="100"/>
      <c r="AT814" s="78"/>
      <c r="AU814" s="100"/>
      <c r="AX814" s="78"/>
      <c r="AY814" s="100"/>
      <c r="BC814" s="100"/>
      <c r="BF814" s="78"/>
      <c r="BG814" s="100"/>
      <c r="BJ814" s="78"/>
      <c r="BK814" s="100"/>
      <c r="BN814" s="100"/>
      <c r="BP814" s="104"/>
      <c r="BQ814" s="104"/>
    </row>
    <row r="815" spans="1:69" ht="12.75">
      <c r="A815" s="101"/>
      <c r="B815" s="1"/>
      <c r="F815" s="102"/>
      <c r="G815" s="1"/>
      <c r="K815" s="100"/>
      <c r="L815" s="103"/>
      <c r="M815" s="103"/>
      <c r="N815" s="103"/>
      <c r="O815" s="103"/>
      <c r="P815" s="100"/>
      <c r="U815" s="100"/>
      <c r="Z815" s="100"/>
      <c r="AE815" s="100"/>
      <c r="AJ815" s="100"/>
      <c r="AL815" s="78"/>
      <c r="AM815" s="78"/>
      <c r="AN815" s="100"/>
      <c r="AQ815" s="78"/>
      <c r="AR815" s="100"/>
      <c r="AT815" s="78"/>
      <c r="AU815" s="100"/>
      <c r="AX815" s="78"/>
      <c r="AY815" s="100"/>
      <c r="BC815" s="100"/>
      <c r="BF815" s="78"/>
      <c r="BG815" s="100"/>
      <c r="BJ815" s="78"/>
      <c r="BK815" s="100"/>
      <c r="BN815" s="100"/>
      <c r="BP815" s="104"/>
      <c r="BQ815" s="104"/>
    </row>
    <row r="816" spans="1:69" ht="12.75">
      <c r="A816" s="101"/>
      <c r="B816" s="1"/>
      <c r="F816" s="102"/>
      <c r="G816" s="1"/>
      <c r="K816" s="100"/>
      <c r="L816" s="103"/>
      <c r="M816" s="103"/>
      <c r="N816" s="103"/>
      <c r="O816" s="103"/>
      <c r="P816" s="100"/>
      <c r="U816" s="100"/>
      <c r="Z816" s="100"/>
      <c r="AE816" s="100"/>
      <c r="AJ816" s="100"/>
      <c r="AL816" s="78"/>
      <c r="AM816" s="78"/>
      <c r="AN816" s="100"/>
      <c r="AQ816" s="78"/>
      <c r="AR816" s="100"/>
      <c r="AT816" s="78"/>
      <c r="AU816" s="100"/>
      <c r="AX816" s="78"/>
      <c r="AY816" s="100"/>
      <c r="BC816" s="100"/>
      <c r="BF816" s="78"/>
      <c r="BG816" s="100"/>
      <c r="BJ816" s="78"/>
      <c r="BK816" s="100"/>
      <c r="BN816" s="100"/>
      <c r="BP816" s="104"/>
      <c r="BQ816" s="104"/>
    </row>
    <row r="817" spans="1:69" ht="12.75">
      <c r="A817" s="101"/>
      <c r="B817" s="1"/>
      <c r="F817" s="102"/>
      <c r="G817" s="1"/>
      <c r="K817" s="100"/>
      <c r="L817" s="103"/>
      <c r="M817" s="103"/>
      <c r="N817" s="103"/>
      <c r="O817" s="103"/>
      <c r="P817" s="100"/>
      <c r="U817" s="100"/>
      <c r="Z817" s="100"/>
      <c r="AE817" s="100"/>
      <c r="AJ817" s="100"/>
      <c r="AL817" s="78"/>
      <c r="AM817" s="78"/>
      <c r="AN817" s="100"/>
      <c r="AQ817" s="78"/>
      <c r="AR817" s="100"/>
      <c r="AT817" s="78"/>
      <c r="AU817" s="100"/>
      <c r="AX817" s="78"/>
      <c r="AY817" s="100"/>
      <c r="BC817" s="100"/>
      <c r="BF817" s="78"/>
      <c r="BG817" s="100"/>
      <c r="BJ817" s="78"/>
      <c r="BK817" s="100"/>
      <c r="BN817" s="100"/>
      <c r="BP817" s="104"/>
      <c r="BQ817" s="104"/>
    </row>
    <row r="818" spans="1:69" ht="12.75">
      <c r="A818" s="101"/>
      <c r="B818" s="1"/>
      <c r="F818" s="102"/>
      <c r="G818" s="1"/>
      <c r="K818" s="100"/>
      <c r="L818" s="103"/>
      <c r="M818" s="103"/>
      <c r="N818" s="103"/>
      <c r="O818" s="103"/>
      <c r="P818" s="100"/>
      <c r="U818" s="100"/>
      <c r="Z818" s="100"/>
      <c r="AE818" s="100"/>
      <c r="AJ818" s="100"/>
      <c r="AL818" s="78"/>
      <c r="AM818" s="78"/>
      <c r="AN818" s="100"/>
      <c r="AQ818" s="78"/>
      <c r="AR818" s="100"/>
      <c r="AT818" s="78"/>
      <c r="AU818" s="100"/>
      <c r="AX818" s="78"/>
      <c r="AY818" s="100"/>
      <c r="BC818" s="100"/>
      <c r="BF818" s="78"/>
      <c r="BG818" s="100"/>
      <c r="BJ818" s="78"/>
      <c r="BK818" s="100"/>
      <c r="BN818" s="100"/>
      <c r="BP818" s="104"/>
      <c r="BQ818" s="104"/>
    </row>
    <row r="819" spans="1:69" ht="12.75">
      <c r="A819" s="101"/>
      <c r="B819" s="1"/>
      <c r="F819" s="102"/>
      <c r="G819" s="1"/>
      <c r="K819" s="100"/>
      <c r="L819" s="103"/>
      <c r="M819" s="103"/>
      <c r="N819" s="103"/>
      <c r="O819" s="103"/>
      <c r="P819" s="100"/>
      <c r="U819" s="100"/>
      <c r="Z819" s="100"/>
      <c r="AE819" s="100"/>
      <c r="AJ819" s="100"/>
      <c r="AL819" s="78"/>
      <c r="AM819" s="78"/>
      <c r="AN819" s="100"/>
      <c r="AQ819" s="78"/>
      <c r="AR819" s="100"/>
      <c r="AT819" s="78"/>
      <c r="AU819" s="100"/>
      <c r="AX819" s="78"/>
      <c r="AY819" s="100"/>
      <c r="BC819" s="100"/>
      <c r="BF819" s="78"/>
      <c r="BG819" s="100"/>
      <c r="BJ819" s="78"/>
      <c r="BK819" s="100"/>
      <c r="BN819" s="100"/>
      <c r="BP819" s="104"/>
      <c r="BQ819" s="104"/>
    </row>
    <row r="820" spans="1:69" ht="12.75">
      <c r="A820" s="101"/>
      <c r="B820" s="1"/>
      <c r="F820" s="102"/>
      <c r="G820" s="1"/>
      <c r="K820" s="100"/>
      <c r="L820" s="103"/>
      <c r="M820" s="103"/>
      <c r="N820" s="103"/>
      <c r="O820" s="103"/>
      <c r="P820" s="100"/>
      <c r="U820" s="100"/>
      <c r="Z820" s="100"/>
      <c r="AE820" s="100"/>
      <c r="AJ820" s="100"/>
      <c r="AL820" s="78"/>
      <c r="AM820" s="78"/>
      <c r="AN820" s="100"/>
      <c r="AQ820" s="78"/>
      <c r="AR820" s="100"/>
      <c r="AT820" s="78"/>
      <c r="AU820" s="100"/>
      <c r="AX820" s="78"/>
      <c r="AY820" s="100"/>
      <c r="BC820" s="100"/>
      <c r="BF820" s="78"/>
      <c r="BG820" s="100"/>
      <c r="BJ820" s="78"/>
      <c r="BK820" s="100"/>
      <c r="BN820" s="100"/>
      <c r="BP820" s="104"/>
      <c r="BQ820" s="104"/>
    </row>
    <row r="821" spans="1:69" ht="12.75">
      <c r="A821" s="101"/>
      <c r="B821" s="1"/>
      <c r="F821" s="102"/>
      <c r="G821" s="1"/>
      <c r="K821" s="100"/>
      <c r="L821" s="103"/>
      <c r="M821" s="103"/>
      <c r="N821" s="103"/>
      <c r="O821" s="103"/>
      <c r="P821" s="100"/>
      <c r="U821" s="100"/>
      <c r="Z821" s="100"/>
      <c r="AE821" s="100"/>
      <c r="AJ821" s="100"/>
      <c r="AL821" s="78"/>
      <c r="AM821" s="78"/>
      <c r="AN821" s="100"/>
      <c r="AQ821" s="78"/>
      <c r="AR821" s="100"/>
      <c r="AT821" s="78"/>
      <c r="AU821" s="100"/>
      <c r="AX821" s="78"/>
      <c r="AY821" s="100"/>
      <c r="BC821" s="100"/>
      <c r="BF821" s="78"/>
      <c r="BG821" s="100"/>
      <c r="BJ821" s="78"/>
      <c r="BK821" s="100"/>
      <c r="BN821" s="100"/>
      <c r="BP821" s="104"/>
      <c r="BQ821" s="104"/>
    </row>
    <row r="822" spans="1:69" ht="12.75">
      <c r="A822" s="101"/>
      <c r="B822" s="1"/>
      <c r="F822" s="102"/>
      <c r="G822" s="1"/>
      <c r="K822" s="100"/>
      <c r="L822" s="103"/>
      <c r="M822" s="103"/>
      <c r="N822" s="103"/>
      <c r="O822" s="103"/>
      <c r="P822" s="100"/>
      <c r="U822" s="100"/>
      <c r="Z822" s="100"/>
      <c r="AE822" s="100"/>
      <c r="AJ822" s="100"/>
      <c r="AL822" s="78"/>
      <c r="AM822" s="78"/>
      <c r="AN822" s="100"/>
      <c r="AQ822" s="78"/>
      <c r="AR822" s="100"/>
      <c r="AT822" s="78"/>
      <c r="AU822" s="100"/>
      <c r="AX822" s="78"/>
      <c r="AY822" s="100"/>
      <c r="BC822" s="100"/>
      <c r="BF822" s="78"/>
      <c r="BG822" s="100"/>
      <c r="BJ822" s="78"/>
      <c r="BK822" s="100"/>
      <c r="BN822" s="100"/>
      <c r="BP822" s="104"/>
      <c r="BQ822" s="104"/>
    </row>
    <row r="823" spans="1:69" ht="12.75">
      <c r="A823" s="101"/>
      <c r="B823" s="1"/>
      <c r="F823" s="102"/>
      <c r="G823" s="1"/>
      <c r="K823" s="100"/>
      <c r="L823" s="103"/>
      <c r="M823" s="103"/>
      <c r="N823" s="103"/>
      <c r="O823" s="103"/>
      <c r="P823" s="100"/>
      <c r="U823" s="100"/>
      <c r="Z823" s="100"/>
      <c r="AE823" s="100"/>
      <c r="AJ823" s="100"/>
      <c r="AL823" s="78"/>
      <c r="AM823" s="78"/>
      <c r="AN823" s="100"/>
      <c r="AQ823" s="78"/>
      <c r="AR823" s="100"/>
      <c r="AT823" s="78"/>
      <c r="AU823" s="100"/>
      <c r="AX823" s="78"/>
      <c r="AY823" s="100"/>
      <c r="BC823" s="100"/>
      <c r="BF823" s="78"/>
      <c r="BG823" s="100"/>
      <c r="BJ823" s="78"/>
      <c r="BK823" s="100"/>
      <c r="BN823" s="100"/>
      <c r="BP823" s="104"/>
      <c r="BQ823" s="104"/>
    </row>
    <row r="824" spans="1:69" ht="12.75">
      <c r="A824" s="101"/>
      <c r="B824" s="1"/>
      <c r="F824" s="102"/>
      <c r="G824" s="1"/>
      <c r="K824" s="100"/>
      <c r="L824" s="103"/>
      <c r="M824" s="103"/>
      <c r="N824" s="103"/>
      <c r="O824" s="103"/>
      <c r="P824" s="100"/>
      <c r="U824" s="100"/>
      <c r="Z824" s="100"/>
      <c r="AE824" s="100"/>
      <c r="AJ824" s="100"/>
      <c r="AL824" s="78"/>
      <c r="AM824" s="78"/>
      <c r="AN824" s="100"/>
      <c r="AQ824" s="78"/>
      <c r="AR824" s="100"/>
      <c r="AT824" s="78"/>
      <c r="AU824" s="100"/>
      <c r="AX824" s="78"/>
      <c r="AY824" s="100"/>
      <c r="BC824" s="100"/>
      <c r="BF824" s="78"/>
      <c r="BG824" s="100"/>
      <c r="BJ824" s="78"/>
      <c r="BK824" s="100"/>
      <c r="BN824" s="100"/>
      <c r="BP824" s="104"/>
      <c r="BQ824" s="104"/>
    </row>
    <row r="825" spans="1:69" ht="12.75">
      <c r="A825" s="101"/>
      <c r="B825" s="1"/>
      <c r="F825" s="102"/>
      <c r="G825" s="1"/>
      <c r="K825" s="100"/>
      <c r="L825" s="103"/>
      <c r="M825" s="103"/>
      <c r="N825" s="103"/>
      <c r="O825" s="103"/>
      <c r="P825" s="100"/>
      <c r="U825" s="100"/>
      <c r="Z825" s="100"/>
      <c r="AE825" s="100"/>
      <c r="AJ825" s="100"/>
      <c r="AL825" s="78"/>
      <c r="AM825" s="78"/>
      <c r="AN825" s="100"/>
      <c r="AQ825" s="78"/>
      <c r="AR825" s="100"/>
      <c r="AT825" s="78"/>
      <c r="AU825" s="100"/>
      <c r="AX825" s="78"/>
      <c r="AY825" s="100"/>
      <c r="BC825" s="100"/>
      <c r="BF825" s="78"/>
      <c r="BG825" s="100"/>
      <c r="BJ825" s="78"/>
      <c r="BK825" s="100"/>
      <c r="BN825" s="100"/>
      <c r="BP825" s="104"/>
      <c r="BQ825" s="104"/>
    </row>
    <row r="826" spans="1:69" ht="12.75">
      <c r="A826" s="101"/>
      <c r="B826" s="1"/>
      <c r="F826" s="102"/>
      <c r="G826" s="1"/>
      <c r="K826" s="100"/>
      <c r="L826" s="103"/>
      <c r="M826" s="103"/>
      <c r="N826" s="103"/>
      <c r="O826" s="103"/>
      <c r="P826" s="100"/>
      <c r="U826" s="100"/>
      <c r="Z826" s="100"/>
      <c r="AE826" s="100"/>
      <c r="AJ826" s="100"/>
      <c r="AL826" s="78"/>
      <c r="AM826" s="78"/>
      <c r="AN826" s="100"/>
      <c r="AQ826" s="78"/>
      <c r="AR826" s="100"/>
      <c r="AT826" s="78"/>
      <c r="AU826" s="100"/>
      <c r="AX826" s="78"/>
      <c r="AY826" s="100"/>
      <c r="BC826" s="100"/>
      <c r="BF826" s="78"/>
      <c r="BG826" s="100"/>
      <c r="BJ826" s="78"/>
      <c r="BK826" s="100"/>
      <c r="BN826" s="100"/>
      <c r="BP826" s="104"/>
      <c r="BQ826" s="104"/>
    </row>
    <row r="827" spans="1:69" ht="12.75">
      <c r="A827" s="101"/>
      <c r="B827" s="1"/>
      <c r="F827" s="102"/>
      <c r="G827" s="1"/>
      <c r="K827" s="100"/>
      <c r="L827" s="103"/>
      <c r="M827" s="103"/>
      <c r="N827" s="103"/>
      <c r="O827" s="103"/>
      <c r="P827" s="100"/>
      <c r="U827" s="100"/>
      <c r="Z827" s="100"/>
      <c r="AE827" s="100"/>
      <c r="AJ827" s="100"/>
      <c r="AL827" s="78"/>
      <c r="AM827" s="78"/>
      <c r="AN827" s="100"/>
      <c r="AQ827" s="78"/>
      <c r="AR827" s="100"/>
      <c r="AT827" s="78"/>
      <c r="AU827" s="100"/>
      <c r="AX827" s="78"/>
      <c r="AY827" s="100"/>
      <c r="BC827" s="100"/>
      <c r="BF827" s="78"/>
      <c r="BG827" s="100"/>
      <c r="BJ827" s="78"/>
      <c r="BK827" s="100"/>
      <c r="BN827" s="100"/>
      <c r="BP827" s="104"/>
      <c r="BQ827" s="104"/>
    </row>
    <row r="828" spans="1:69" ht="12.75">
      <c r="A828" s="101"/>
      <c r="B828" s="1"/>
      <c r="F828" s="102"/>
      <c r="G828" s="1"/>
      <c r="K828" s="100"/>
      <c r="L828" s="103"/>
      <c r="M828" s="103"/>
      <c r="N828" s="103"/>
      <c r="O828" s="103"/>
      <c r="P828" s="100"/>
      <c r="U828" s="100"/>
      <c r="Z828" s="100"/>
      <c r="AE828" s="100"/>
      <c r="AJ828" s="100"/>
      <c r="AL828" s="78"/>
      <c r="AM828" s="78"/>
      <c r="AN828" s="100"/>
      <c r="AQ828" s="78"/>
      <c r="AR828" s="100"/>
      <c r="AT828" s="78"/>
      <c r="AU828" s="100"/>
      <c r="AX828" s="78"/>
      <c r="AY828" s="100"/>
      <c r="BC828" s="100"/>
      <c r="BF828" s="78"/>
      <c r="BG828" s="100"/>
      <c r="BJ828" s="78"/>
      <c r="BK828" s="100"/>
      <c r="BN828" s="100"/>
      <c r="BP828" s="104"/>
      <c r="BQ828" s="104"/>
    </row>
    <row r="829" spans="1:69" ht="12.75">
      <c r="A829" s="101"/>
      <c r="B829" s="1"/>
      <c r="F829" s="102"/>
      <c r="G829" s="1"/>
      <c r="K829" s="100"/>
      <c r="L829" s="103"/>
      <c r="M829" s="103"/>
      <c r="N829" s="103"/>
      <c r="O829" s="103"/>
      <c r="P829" s="100"/>
      <c r="U829" s="100"/>
      <c r="Z829" s="100"/>
      <c r="AE829" s="100"/>
      <c r="AJ829" s="100"/>
      <c r="AL829" s="78"/>
      <c r="AM829" s="78"/>
      <c r="AN829" s="100"/>
      <c r="AQ829" s="78"/>
      <c r="AR829" s="100"/>
      <c r="AT829" s="78"/>
      <c r="AU829" s="100"/>
      <c r="AX829" s="78"/>
      <c r="AY829" s="100"/>
      <c r="BC829" s="100"/>
      <c r="BF829" s="78"/>
      <c r="BG829" s="100"/>
      <c r="BJ829" s="78"/>
      <c r="BK829" s="100"/>
      <c r="BN829" s="100"/>
      <c r="BP829" s="104"/>
      <c r="BQ829" s="104"/>
    </row>
    <row r="830" spans="1:69" ht="12.75">
      <c r="A830" s="101"/>
      <c r="B830" s="1"/>
      <c r="F830" s="102"/>
      <c r="G830" s="1"/>
      <c r="K830" s="100"/>
      <c r="L830" s="103"/>
      <c r="M830" s="103"/>
      <c r="N830" s="103"/>
      <c r="O830" s="103"/>
      <c r="P830" s="100"/>
      <c r="U830" s="100"/>
      <c r="Z830" s="100"/>
      <c r="AE830" s="100"/>
      <c r="AJ830" s="100"/>
      <c r="AL830" s="78"/>
      <c r="AM830" s="78"/>
      <c r="AN830" s="100"/>
      <c r="AQ830" s="78"/>
      <c r="AR830" s="100"/>
      <c r="AT830" s="78"/>
      <c r="AU830" s="100"/>
      <c r="AX830" s="78"/>
      <c r="AY830" s="100"/>
      <c r="BC830" s="100"/>
      <c r="BF830" s="78"/>
      <c r="BG830" s="100"/>
      <c r="BJ830" s="78"/>
      <c r="BK830" s="100"/>
      <c r="BN830" s="100"/>
      <c r="BP830" s="104"/>
      <c r="BQ830" s="104"/>
    </row>
    <row r="831" spans="1:69" ht="12.75">
      <c r="A831" s="101"/>
      <c r="B831" s="1"/>
      <c r="F831" s="102"/>
      <c r="G831" s="1"/>
      <c r="K831" s="100"/>
      <c r="L831" s="103"/>
      <c r="M831" s="103"/>
      <c r="N831" s="103"/>
      <c r="O831" s="103"/>
      <c r="P831" s="100"/>
      <c r="U831" s="100"/>
      <c r="Z831" s="100"/>
      <c r="AE831" s="100"/>
      <c r="AJ831" s="100"/>
      <c r="AL831" s="78"/>
      <c r="AM831" s="78"/>
      <c r="AN831" s="100"/>
      <c r="AQ831" s="78"/>
      <c r="AR831" s="100"/>
      <c r="AT831" s="78"/>
      <c r="AU831" s="100"/>
      <c r="AX831" s="78"/>
      <c r="AY831" s="100"/>
      <c r="BC831" s="100"/>
      <c r="BF831" s="78"/>
      <c r="BG831" s="100"/>
      <c r="BJ831" s="78"/>
      <c r="BK831" s="100"/>
      <c r="BN831" s="100"/>
      <c r="BP831" s="104"/>
      <c r="BQ831" s="104"/>
    </row>
    <row r="832" spans="1:69" ht="12.75">
      <c r="A832" s="101"/>
      <c r="B832" s="1"/>
      <c r="F832" s="102"/>
      <c r="G832" s="1"/>
      <c r="K832" s="100"/>
      <c r="L832" s="103"/>
      <c r="M832" s="103"/>
      <c r="N832" s="103"/>
      <c r="O832" s="103"/>
      <c r="P832" s="100"/>
      <c r="U832" s="100"/>
      <c r="Z832" s="100"/>
      <c r="AE832" s="100"/>
      <c r="AJ832" s="100"/>
      <c r="AL832" s="78"/>
      <c r="AM832" s="78"/>
      <c r="AN832" s="100"/>
      <c r="AQ832" s="78"/>
      <c r="AR832" s="100"/>
      <c r="AT832" s="78"/>
      <c r="AU832" s="100"/>
      <c r="AX832" s="78"/>
      <c r="AY832" s="100"/>
      <c r="BC832" s="100"/>
      <c r="BF832" s="78"/>
      <c r="BG832" s="100"/>
      <c r="BJ832" s="78"/>
      <c r="BK832" s="100"/>
      <c r="BN832" s="100"/>
      <c r="BP832" s="104"/>
      <c r="BQ832" s="104"/>
    </row>
    <row r="833" spans="1:69" ht="12.75">
      <c r="A833" s="101"/>
      <c r="B833" s="1"/>
      <c r="F833" s="102"/>
      <c r="G833" s="1"/>
      <c r="K833" s="100"/>
      <c r="L833" s="103"/>
      <c r="M833" s="103"/>
      <c r="N833" s="103"/>
      <c r="O833" s="103"/>
      <c r="P833" s="100"/>
      <c r="U833" s="100"/>
      <c r="Z833" s="100"/>
      <c r="AE833" s="100"/>
      <c r="AJ833" s="100"/>
      <c r="AL833" s="78"/>
      <c r="AM833" s="78"/>
      <c r="AN833" s="100"/>
      <c r="AQ833" s="78"/>
      <c r="AR833" s="100"/>
      <c r="AT833" s="78"/>
      <c r="AU833" s="100"/>
      <c r="AX833" s="78"/>
      <c r="AY833" s="100"/>
      <c r="BC833" s="100"/>
      <c r="BF833" s="78"/>
      <c r="BG833" s="100"/>
      <c r="BJ833" s="78"/>
      <c r="BK833" s="100"/>
      <c r="BN833" s="100"/>
      <c r="BP833" s="104"/>
      <c r="BQ833" s="104"/>
    </row>
    <row r="834" spans="1:69" ht="12.75">
      <c r="A834" s="101"/>
      <c r="B834" s="1"/>
      <c r="F834" s="102"/>
      <c r="G834" s="1"/>
      <c r="K834" s="100"/>
      <c r="L834" s="103"/>
      <c r="M834" s="103"/>
      <c r="N834" s="103"/>
      <c r="O834" s="103"/>
      <c r="P834" s="100"/>
      <c r="U834" s="100"/>
      <c r="Z834" s="100"/>
      <c r="AE834" s="100"/>
      <c r="AJ834" s="100"/>
      <c r="AL834" s="78"/>
      <c r="AM834" s="78"/>
      <c r="AN834" s="100"/>
      <c r="AQ834" s="78"/>
      <c r="AR834" s="100"/>
      <c r="AT834" s="78"/>
      <c r="AU834" s="100"/>
      <c r="AX834" s="78"/>
      <c r="AY834" s="100"/>
      <c r="BC834" s="100"/>
      <c r="BF834" s="78"/>
      <c r="BG834" s="100"/>
      <c r="BJ834" s="78"/>
      <c r="BK834" s="100"/>
      <c r="BN834" s="100"/>
      <c r="BP834" s="104"/>
      <c r="BQ834" s="104"/>
    </row>
    <row r="835" spans="1:69" ht="12.75">
      <c r="A835" s="101"/>
      <c r="B835" s="1"/>
      <c r="F835" s="102"/>
      <c r="G835" s="1"/>
      <c r="K835" s="100"/>
      <c r="L835" s="103"/>
      <c r="M835" s="103"/>
      <c r="N835" s="103"/>
      <c r="O835" s="103"/>
      <c r="P835" s="100"/>
      <c r="U835" s="100"/>
      <c r="Z835" s="100"/>
      <c r="AE835" s="100"/>
      <c r="AJ835" s="100"/>
      <c r="AL835" s="78"/>
      <c r="AM835" s="78"/>
      <c r="AN835" s="100"/>
      <c r="AQ835" s="78"/>
      <c r="AR835" s="100"/>
      <c r="AT835" s="78"/>
      <c r="AU835" s="100"/>
      <c r="AX835" s="78"/>
      <c r="AY835" s="100"/>
      <c r="BC835" s="100"/>
      <c r="BF835" s="78"/>
      <c r="BG835" s="100"/>
      <c r="BJ835" s="78"/>
      <c r="BK835" s="100"/>
      <c r="BN835" s="100"/>
      <c r="BP835" s="104"/>
      <c r="BQ835" s="104"/>
    </row>
    <row r="836" spans="1:69" ht="12.75">
      <c r="A836" s="101"/>
      <c r="B836" s="1"/>
      <c r="F836" s="102"/>
      <c r="G836" s="1"/>
      <c r="K836" s="100"/>
      <c r="L836" s="103"/>
      <c r="M836" s="103"/>
      <c r="N836" s="103"/>
      <c r="O836" s="103"/>
      <c r="P836" s="100"/>
      <c r="U836" s="100"/>
      <c r="Z836" s="100"/>
      <c r="AE836" s="100"/>
      <c r="AJ836" s="100"/>
      <c r="AL836" s="78"/>
      <c r="AM836" s="78"/>
      <c r="AN836" s="100"/>
      <c r="AQ836" s="78"/>
      <c r="AR836" s="100"/>
      <c r="AT836" s="78"/>
      <c r="AU836" s="100"/>
      <c r="AX836" s="78"/>
      <c r="AY836" s="100"/>
      <c r="BC836" s="100"/>
      <c r="BF836" s="78"/>
      <c r="BG836" s="100"/>
      <c r="BJ836" s="78"/>
      <c r="BK836" s="100"/>
      <c r="BN836" s="100"/>
      <c r="BP836" s="104"/>
      <c r="BQ836" s="104"/>
    </row>
    <row r="837" spans="1:69" ht="12.75">
      <c r="A837" s="101"/>
      <c r="B837" s="1"/>
      <c r="F837" s="102"/>
      <c r="G837" s="1"/>
      <c r="K837" s="100"/>
      <c r="L837" s="103"/>
      <c r="M837" s="103"/>
      <c r="N837" s="103"/>
      <c r="O837" s="103"/>
      <c r="P837" s="100"/>
      <c r="U837" s="100"/>
      <c r="Z837" s="100"/>
      <c r="AE837" s="100"/>
      <c r="AJ837" s="100"/>
      <c r="AL837" s="78"/>
      <c r="AM837" s="78"/>
      <c r="AN837" s="100"/>
      <c r="AQ837" s="78"/>
      <c r="AR837" s="100"/>
      <c r="AT837" s="78"/>
      <c r="AU837" s="100"/>
      <c r="AX837" s="78"/>
      <c r="AY837" s="100"/>
      <c r="BC837" s="100"/>
      <c r="BF837" s="78"/>
      <c r="BG837" s="100"/>
      <c r="BJ837" s="78"/>
      <c r="BK837" s="100"/>
      <c r="BN837" s="100"/>
      <c r="BP837" s="104"/>
      <c r="BQ837" s="104"/>
    </row>
    <row r="838" spans="1:69" ht="12.75">
      <c r="A838" s="101"/>
      <c r="B838" s="1"/>
      <c r="F838" s="102"/>
      <c r="G838" s="1"/>
      <c r="K838" s="100"/>
      <c r="L838" s="103"/>
      <c r="M838" s="103"/>
      <c r="N838" s="103"/>
      <c r="O838" s="103"/>
      <c r="P838" s="100"/>
      <c r="U838" s="100"/>
      <c r="Z838" s="100"/>
      <c r="AE838" s="100"/>
      <c r="AJ838" s="100"/>
      <c r="AL838" s="78"/>
      <c r="AM838" s="78"/>
      <c r="AN838" s="100"/>
      <c r="AQ838" s="78"/>
      <c r="AR838" s="100"/>
      <c r="AT838" s="78"/>
      <c r="AU838" s="100"/>
      <c r="AX838" s="78"/>
      <c r="AY838" s="100"/>
      <c r="BC838" s="100"/>
      <c r="BF838" s="78"/>
      <c r="BG838" s="100"/>
      <c r="BJ838" s="78"/>
      <c r="BK838" s="100"/>
      <c r="BN838" s="100"/>
      <c r="BP838" s="104"/>
      <c r="BQ838" s="104"/>
    </row>
    <row r="839" spans="1:69" ht="12.75">
      <c r="A839" s="101"/>
      <c r="B839" s="1"/>
      <c r="F839" s="102"/>
      <c r="G839" s="1"/>
      <c r="K839" s="100"/>
      <c r="L839" s="103"/>
      <c r="M839" s="103"/>
      <c r="N839" s="103"/>
      <c r="O839" s="103"/>
      <c r="P839" s="100"/>
      <c r="U839" s="100"/>
      <c r="Z839" s="100"/>
      <c r="AE839" s="100"/>
      <c r="AJ839" s="100"/>
      <c r="AL839" s="78"/>
      <c r="AM839" s="78"/>
      <c r="AN839" s="100"/>
      <c r="AQ839" s="78"/>
      <c r="AR839" s="100"/>
      <c r="AT839" s="78"/>
      <c r="AU839" s="100"/>
      <c r="AX839" s="78"/>
      <c r="AY839" s="100"/>
      <c r="BC839" s="100"/>
      <c r="BF839" s="78"/>
      <c r="BG839" s="100"/>
      <c r="BJ839" s="78"/>
      <c r="BK839" s="100"/>
      <c r="BN839" s="100"/>
      <c r="BP839" s="104"/>
      <c r="BQ839" s="104"/>
    </row>
    <row r="840" spans="1:69" ht="12.75">
      <c r="A840" s="101"/>
      <c r="B840" s="1"/>
      <c r="F840" s="102"/>
      <c r="G840" s="1"/>
      <c r="K840" s="100"/>
      <c r="L840" s="103"/>
      <c r="M840" s="103"/>
      <c r="N840" s="103"/>
      <c r="O840" s="103"/>
      <c r="P840" s="100"/>
      <c r="U840" s="100"/>
      <c r="Z840" s="100"/>
      <c r="AE840" s="100"/>
      <c r="AJ840" s="100"/>
      <c r="AL840" s="78"/>
      <c r="AM840" s="78"/>
      <c r="AN840" s="100"/>
      <c r="AQ840" s="78"/>
      <c r="AR840" s="100"/>
      <c r="AT840" s="78"/>
      <c r="AU840" s="100"/>
      <c r="AX840" s="78"/>
      <c r="AY840" s="100"/>
      <c r="BC840" s="100"/>
      <c r="BF840" s="78"/>
      <c r="BG840" s="100"/>
      <c r="BJ840" s="78"/>
      <c r="BK840" s="100"/>
      <c r="BN840" s="100"/>
      <c r="BP840" s="104"/>
      <c r="BQ840" s="104"/>
    </row>
    <row r="841" spans="1:69" ht="12.75">
      <c r="A841" s="101"/>
      <c r="B841" s="1"/>
      <c r="F841" s="102"/>
      <c r="G841" s="1"/>
      <c r="K841" s="100"/>
      <c r="L841" s="103"/>
      <c r="M841" s="103"/>
      <c r="N841" s="103"/>
      <c r="O841" s="103"/>
      <c r="P841" s="100"/>
      <c r="U841" s="100"/>
      <c r="Z841" s="100"/>
      <c r="AE841" s="100"/>
      <c r="AJ841" s="100"/>
      <c r="AL841" s="78"/>
      <c r="AM841" s="78"/>
      <c r="AN841" s="100"/>
      <c r="AQ841" s="78"/>
      <c r="AR841" s="100"/>
      <c r="AT841" s="78"/>
      <c r="AU841" s="100"/>
      <c r="AX841" s="78"/>
      <c r="AY841" s="100"/>
      <c r="BC841" s="100"/>
      <c r="BF841" s="78"/>
      <c r="BG841" s="100"/>
      <c r="BJ841" s="78"/>
      <c r="BK841" s="100"/>
      <c r="BN841" s="100"/>
      <c r="BP841" s="104"/>
      <c r="BQ841" s="104"/>
    </row>
    <row r="842" spans="1:69" ht="12.75">
      <c r="A842" s="101"/>
      <c r="B842" s="1"/>
      <c r="F842" s="102"/>
      <c r="G842" s="1"/>
      <c r="K842" s="100"/>
      <c r="L842" s="103"/>
      <c r="M842" s="103"/>
      <c r="N842" s="103"/>
      <c r="O842" s="103"/>
      <c r="P842" s="100"/>
      <c r="U842" s="100"/>
      <c r="Z842" s="100"/>
      <c r="AE842" s="100"/>
      <c r="AJ842" s="100"/>
      <c r="AL842" s="78"/>
      <c r="AM842" s="78"/>
      <c r="AN842" s="100"/>
      <c r="AQ842" s="78"/>
      <c r="AR842" s="100"/>
      <c r="AT842" s="78"/>
      <c r="AU842" s="100"/>
      <c r="AX842" s="78"/>
      <c r="AY842" s="100"/>
      <c r="BC842" s="100"/>
      <c r="BF842" s="78"/>
      <c r="BG842" s="100"/>
      <c r="BJ842" s="78"/>
      <c r="BK842" s="100"/>
      <c r="BN842" s="100"/>
      <c r="BP842" s="104"/>
      <c r="BQ842" s="104"/>
    </row>
    <row r="843" spans="1:69" ht="12.75">
      <c r="A843" s="101"/>
      <c r="B843" s="1"/>
      <c r="F843" s="102"/>
      <c r="G843" s="1"/>
      <c r="K843" s="100"/>
      <c r="L843" s="103"/>
      <c r="M843" s="103"/>
      <c r="N843" s="103"/>
      <c r="O843" s="103"/>
      <c r="P843" s="100"/>
      <c r="U843" s="100"/>
      <c r="Z843" s="100"/>
      <c r="AE843" s="100"/>
      <c r="AJ843" s="100"/>
      <c r="AL843" s="78"/>
      <c r="AM843" s="78"/>
      <c r="AN843" s="100"/>
      <c r="AQ843" s="78"/>
      <c r="AR843" s="100"/>
      <c r="AT843" s="78"/>
      <c r="AU843" s="100"/>
      <c r="AX843" s="78"/>
      <c r="AY843" s="100"/>
      <c r="BC843" s="100"/>
      <c r="BF843" s="78"/>
      <c r="BG843" s="100"/>
      <c r="BJ843" s="78"/>
      <c r="BK843" s="100"/>
      <c r="BN843" s="100"/>
      <c r="BP843" s="104"/>
      <c r="BQ843" s="104"/>
    </row>
    <row r="844" spans="1:69" ht="12.75">
      <c r="A844" s="101"/>
      <c r="B844" s="1"/>
      <c r="F844" s="102"/>
      <c r="G844" s="1"/>
      <c r="K844" s="100"/>
      <c r="L844" s="103"/>
      <c r="M844" s="103"/>
      <c r="N844" s="103"/>
      <c r="O844" s="103"/>
      <c r="P844" s="100"/>
      <c r="U844" s="100"/>
      <c r="Z844" s="100"/>
      <c r="AE844" s="100"/>
      <c r="AJ844" s="100"/>
      <c r="AL844" s="78"/>
      <c r="AM844" s="78"/>
      <c r="AN844" s="100"/>
      <c r="AQ844" s="78"/>
      <c r="AR844" s="100"/>
      <c r="AT844" s="78"/>
      <c r="AU844" s="100"/>
      <c r="AX844" s="78"/>
      <c r="AY844" s="100"/>
      <c r="BC844" s="100"/>
      <c r="BF844" s="78"/>
      <c r="BG844" s="100"/>
      <c r="BJ844" s="78"/>
      <c r="BK844" s="100"/>
      <c r="BN844" s="100"/>
      <c r="BP844" s="104"/>
      <c r="BQ844" s="104"/>
    </row>
    <row r="845" spans="1:69" ht="12.75">
      <c r="A845" s="101"/>
      <c r="B845" s="1"/>
      <c r="F845" s="102"/>
      <c r="G845" s="1"/>
      <c r="K845" s="100"/>
      <c r="L845" s="103"/>
      <c r="M845" s="103"/>
      <c r="N845" s="103"/>
      <c r="O845" s="103"/>
      <c r="P845" s="100"/>
      <c r="U845" s="100"/>
      <c r="Z845" s="100"/>
      <c r="AE845" s="100"/>
      <c r="AJ845" s="100"/>
      <c r="AL845" s="78"/>
      <c r="AM845" s="78"/>
      <c r="AN845" s="100"/>
      <c r="AQ845" s="78"/>
      <c r="AR845" s="100"/>
      <c r="AT845" s="78"/>
      <c r="AU845" s="100"/>
      <c r="AX845" s="78"/>
      <c r="AY845" s="100"/>
      <c r="BC845" s="100"/>
      <c r="BF845" s="78"/>
      <c r="BG845" s="100"/>
      <c r="BJ845" s="78"/>
      <c r="BK845" s="100"/>
      <c r="BN845" s="100"/>
      <c r="BP845" s="104"/>
      <c r="BQ845" s="104"/>
    </row>
    <row r="846" spans="1:69" ht="12.75">
      <c r="A846" s="101"/>
      <c r="B846" s="1"/>
      <c r="F846" s="102"/>
      <c r="G846" s="1"/>
      <c r="K846" s="100"/>
      <c r="L846" s="103"/>
      <c r="M846" s="103"/>
      <c r="N846" s="103"/>
      <c r="O846" s="103"/>
      <c r="P846" s="100"/>
      <c r="U846" s="100"/>
      <c r="Z846" s="100"/>
      <c r="AE846" s="100"/>
      <c r="AJ846" s="100"/>
      <c r="AL846" s="78"/>
      <c r="AM846" s="78"/>
      <c r="AN846" s="100"/>
      <c r="AQ846" s="78"/>
      <c r="AR846" s="100"/>
      <c r="AT846" s="78"/>
      <c r="AU846" s="100"/>
      <c r="AX846" s="78"/>
      <c r="AY846" s="100"/>
      <c r="BC846" s="100"/>
      <c r="BF846" s="78"/>
      <c r="BG846" s="100"/>
      <c r="BJ846" s="78"/>
      <c r="BK846" s="100"/>
      <c r="BN846" s="100"/>
      <c r="BP846" s="104"/>
      <c r="BQ846" s="104"/>
    </row>
    <row r="847" spans="1:69" ht="12.75">
      <c r="A847" s="101"/>
      <c r="B847" s="1"/>
      <c r="F847" s="102"/>
      <c r="G847" s="1"/>
      <c r="K847" s="100"/>
      <c r="L847" s="103"/>
      <c r="M847" s="103"/>
      <c r="N847" s="103"/>
      <c r="O847" s="103"/>
      <c r="P847" s="100"/>
      <c r="U847" s="100"/>
      <c r="Z847" s="100"/>
      <c r="AE847" s="100"/>
      <c r="AJ847" s="100"/>
      <c r="AL847" s="78"/>
      <c r="AM847" s="78"/>
      <c r="AN847" s="100"/>
      <c r="AQ847" s="78"/>
      <c r="AR847" s="100"/>
      <c r="AT847" s="78"/>
      <c r="AU847" s="100"/>
      <c r="AX847" s="78"/>
      <c r="AY847" s="100"/>
      <c r="BC847" s="100"/>
      <c r="BF847" s="78"/>
      <c r="BG847" s="100"/>
      <c r="BJ847" s="78"/>
      <c r="BK847" s="100"/>
      <c r="BN847" s="100"/>
      <c r="BP847" s="104"/>
      <c r="BQ847" s="104"/>
    </row>
    <row r="848" spans="1:69" ht="12.75">
      <c r="A848" s="101"/>
      <c r="B848" s="1"/>
      <c r="F848" s="102"/>
      <c r="G848" s="1"/>
      <c r="K848" s="100"/>
      <c r="L848" s="103"/>
      <c r="M848" s="103"/>
      <c r="N848" s="103"/>
      <c r="O848" s="103"/>
      <c r="P848" s="100"/>
      <c r="U848" s="100"/>
      <c r="Z848" s="100"/>
      <c r="AE848" s="100"/>
      <c r="AJ848" s="100"/>
      <c r="AL848" s="78"/>
      <c r="AM848" s="78"/>
      <c r="AN848" s="100"/>
      <c r="AQ848" s="78"/>
      <c r="AR848" s="100"/>
      <c r="AT848" s="78"/>
      <c r="AU848" s="100"/>
      <c r="AX848" s="78"/>
      <c r="AY848" s="100"/>
      <c r="BC848" s="100"/>
      <c r="BF848" s="78"/>
      <c r="BG848" s="100"/>
      <c r="BJ848" s="78"/>
      <c r="BK848" s="100"/>
      <c r="BN848" s="100"/>
      <c r="BP848" s="104"/>
      <c r="BQ848" s="104"/>
    </row>
    <row r="849" spans="1:69" ht="12.75">
      <c r="A849" s="101"/>
      <c r="B849" s="1"/>
      <c r="F849" s="102"/>
      <c r="G849" s="1"/>
      <c r="K849" s="100"/>
      <c r="L849" s="103"/>
      <c r="M849" s="103"/>
      <c r="N849" s="103"/>
      <c r="O849" s="103"/>
      <c r="P849" s="100"/>
      <c r="U849" s="100"/>
      <c r="Z849" s="100"/>
      <c r="AE849" s="100"/>
      <c r="AJ849" s="100"/>
      <c r="AL849" s="78"/>
      <c r="AM849" s="78"/>
      <c r="AN849" s="100"/>
      <c r="AQ849" s="78"/>
      <c r="AR849" s="100"/>
      <c r="AT849" s="78"/>
      <c r="AU849" s="100"/>
      <c r="AX849" s="78"/>
      <c r="AY849" s="100"/>
      <c r="BC849" s="100"/>
      <c r="BF849" s="78"/>
      <c r="BG849" s="100"/>
      <c r="BJ849" s="78"/>
      <c r="BK849" s="100"/>
      <c r="BN849" s="100"/>
      <c r="BP849" s="104"/>
      <c r="BQ849" s="104"/>
    </row>
    <row r="850" spans="1:69" ht="12.75">
      <c r="A850" s="101"/>
      <c r="B850" s="1"/>
      <c r="F850" s="102"/>
      <c r="G850" s="1"/>
      <c r="K850" s="100"/>
      <c r="L850" s="103"/>
      <c r="M850" s="103"/>
      <c r="N850" s="103"/>
      <c r="O850" s="103"/>
      <c r="P850" s="100"/>
      <c r="U850" s="100"/>
      <c r="Z850" s="100"/>
      <c r="AE850" s="100"/>
      <c r="AJ850" s="100"/>
      <c r="AL850" s="78"/>
      <c r="AM850" s="78"/>
      <c r="AN850" s="100"/>
      <c r="AQ850" s="78"/>
      <c r="AR850" s="100"/>
      <c r="AT850" s="78"/>
      <c r="AU850" s="100"/>
      <c r="AX850" s="78"/>
      <c r="AY850" s="100"/>
      <c r="BC850" s="100"/>
      <c r="BF850" s="78"/>
      <c r="BG850" s="100"/>
      <c r="BJ850" s="78"/>
      <c r="BK850" s="100"/>
      <c r="BN850" s="100"/>
      <c r="BP850" s="104"/>
      <c r="BQ850" s="104"/>
    </row>
    <row r="851" spans="1:69" ht="12.75">
      <c r="A851" s="101"/>
      <c r="B851" s="1"/>
      <c r="F851" s="102"/>
      <c r="G851" s="1"/>
      <c r="K851" s="100"/>
      <c r="L851" s="103"/>
      <c r="M851" s="103"/>
      <c r="N851" s="103"/>
      <c r="O851" s="103"/>
      <c r="P851" s="100"/>
      <c r="U851" s="100"/>
      <c r="Z851" s="100"/>
      <c r="AE851" s="100"/>
      <c r="AJ851" s="100"/>
      <c r="AL851" s="78"/>
      <c r="AM851" s="78"/>
      <c r="AN851" s="100"/>
      <c r="AQ851" s="78"/>
      <c r="AR851" s="100"/>
      <c r="AT851" s="78"/>
      <c r="AU851" s="100"/>
      <c r="AX851" s="78"/>
      <c r="AY851" s="100"/>
      <c r="BC851" s="100"/>
      <c r="BF851" s="78"/>
      <c r="BG851" s="100"/>
      <c r="BJ851" s="78"/>
      <c r="BK851" s="100"/>
      <c r="BN851" s="100"/>
      <c r="BP851" s="104"/>
      <c r="BQ851" s="104"/>
    </row>
    <row r="852" spans="1:69" ht="12.75">
      <c r="A852" s="101"/>
      <c r="B852" s="1"/>
      <c r="F852" s="102"/>
      <c r="G852" s="1"/>
      <c r="K852" s="100"/>
      <c r="L852" s="103"/>
      <c r="M852" s="103"/>
      <c r="N852" s="103"/>
      <c r="O852" s="103"/>
      <c r="P852" s="100"/>
      <c r="U852" s="100"/>
      <c r="Z852" s="100"/>
      <c r="AE852" s="100"/>
      <c r="AJ852" s="100"/>
      <c r="AL852" s="78"/>
      <c r="AM852" s="78"/>
      <c r="AN852" s="100"/>
      <c r="AQ852" s="78"/>
      <c r="AR852" s="100"/>
      <c r="AT852" s="78"/>
      <c r="AU852" s="100"/>
      <c r="AX852" s="78"/>
      <c r="AY852" s="100"/>
      <c r="BC852" s="100"/>
      <c r="BF852" s="78"/>
      <c r="BG852" s="100"/>
      <c r="BJ852" s="78"/>
      <c r="BK852" s="100"/>
      <c r="BN852" s="100"/>
      <c r="BP852" s="104"/>
      <c r="BQ852" s="104"/>
    </row>
    <row r="853" spans="1:69" ht="12.75">
      <c r="A853" s="101"/>
      <c r="B853" s="1"/>
      <c r="F853" s="102"/>
      <c r="G853" s="1"/>
      <c r="K853" s="100"/>
      <c r="L853" s="103"/>
      <c r="M853" s="103"/>
      <c r="N853" s="103"/>
      <c r="O853" s="103"/>
      <c r="P853" s="100"/>
      <c r="U853" s="100"/>
      <c r="Z853" s="100"/>
      <c r="AE853" s="100"/>
      <c r="AJ853" s="100"/>
      <c r="AL853" s="78"/>
      <c r="AM853" s="78"/>
      <c r="AN853" s="100"/>
      <c r="AQ853" s="78"/>
      <c r="AR853" s="100"/>
      <c r="AT853" s="78"/>
      <c r="AU853" s="100"/>
      <c r="AX853" s="78"/>
      <c r="AY853" s="100"/>
      <c r="BC853" s="100"/>
      <c r="BF853" s="78"/>
      <c r="BG853" s="100"/>
      <c r="BJ853" s="78"/>
      <c r="BK853" s="100"/>
      <c r="BN853" s="100"/>
      <c r="BP853" s="104"/>
      <c r="BQ853" s="104"/>
    </row>
    <row r="854" spans="1:69" ht="12.75">
      <c r="A854" s="101"/>
      <c r="B854" s="1"/>
      <c r="F854" s="102"/>
      <c r="G854" s="1"/>
      <c r="K854" s="100"/>
      <c r="L854" s="103"/>
      <c r="M854" s="103"/>
      <c r="N854" s="103"/>
      <c r="O854" s="103"/>
      <c r="P854" s="100"/>
      <c r="U854" s="100"/>
      <c r="Z854" s="100"/>
      <c r="AE854" s="100"/>
      <c r="AJ854" s="100"/>
      <c r="AL854" s="78"/>
      <c r="AM854" s="78"/>
      <c r="AN854" s="100"/>
      <c r="AQ854" s="78"/>
      <c r="AR854" s="100"/>
      <c r="AT854" s="78"/>
      <c r="AU854" s="100"/>
      <c r="AX854" s="78"/>
      <c r="AY854" s="100"/>
      <c r="BC854" s="100"/>
      <c r="BF854" s="78"/>
      <c r="BG854" s="100"/>
      <c r="BJ854" s="78"/>
      <c r="BK854" s="100"/>
      <c r="BN854" s="100"/>
      <c r="BP854" s="104"/>
      <c r="BQ854" s="104"/>
    </row>
    <row r="855" spans="1:69" ht="12.75">
      <c r="A855" s="101"/>
      <c r="B855" s="1"/>
      <c r="F855" s="102"/>
      <c r="G855" s="1"/>
      <c r="K855" s="100"/>
      <c r="L855" s="103"/>
      <c r="M855" s="103"/>
      <c r="N855" s="103"/>
      <c r="O855" s="103"/>
      <c r="P855" s="100"/>
      <c r="U855" s="100"/>
      <c r="Z855" s="100"/>
      <c r="AE855" s="100"/>
      <c r="AJ855" s="100"/>
      <c r="AL855" s="78"/>
      <c r="AM855" s="78"/>
      <c r="AN855" s="100"/>
      <c r="AQ855" s="78"/>
      <c r="AR855" s="100"/>
      <c r="AT855" s="78"/>
      <c r="AU855" s="100"/>
      <c r="AX855" s="78"/>
      <c r="AY855" s="100"/>
      <c r="BC855" s="100"/>
      <c r="BF855" s="78"/>
      <c r="BG855" s="100"/>
      <c r="BJ855" s="78"/>
      <c r="BK855" s="100"/>
      <c r="BN855" s="100"/>
      <c r="BP855" s="104"/>
      <c r="BQ855" s="104"/>
    </row>
    <row r="856" spans="1:69" ht="12.75">
      <c r="A856" s="101"/>
      <c r="B856" s="1"/>
      <c r="F856" s="102"/>
      <c r="G856" s="1"/>
      <c r="K856" s="100"/>
      <c r="L856" s="103"/>
      <c r="M856" s="103"/>
      <c r="N856" s="103"/>
      <c r="O856" s="103"/>
      <c r="P856" s="100"/>
      <c r="U856" s="100"/>
      <c r="Z856" s="100"/>
      <c r="AE856" s="100"/>
      <c r="AJ856" s="100"/>
      <c r="AL856" s="78"/>
      <c r="AM856" s="78"/>
      <c r="AN856" s="100"/>
      <c r="AQ856" s="78"/>
      <c r="AR856" s="100"/>
      <c r="AT856" s="78"/>
      <c r="AU856" s="100"/>
      <c r="AX856" s="78"/>
      <c r="AY856" s="100"/>
      <c r="BC856" s="100"/>
      <c r="BF856" s="78"/>
      <c r="BG856" s="100"/>
      <c r="BJ856" s="78"/>
      <c r="BK856" s="100"/>
      <c r="BN856" s="100"/>
      <c r="BP856" s="104"/>
      <c r="BQ856" s="104"/>
    </row>
    <row r="857" spans="1:69" ht="12.75">
      <c r="A857" s="101"/>
      <c r="B857" s="1"/>
      <c r="F857" s="102"/>
      <c r="G857" s="1"/>
      <c r="K857" s="100"/>
      <c r="L857" s="103"/>
      <c r="M857" s="103"/>
      <c r="N857" s="103"/>
      <c r="O857" s="103"/>
      <c r="P857" s="100"/>
      <c r="U857" s="100"/>
      <c r="Z857" s="100"/>
      <c r="AE857" s="100"/>
      <c r="AJ857" s="100"/>
      <c r="AL857" s="78"/>
      <c r="AM857" s="78"/>
      <c r="AN857" s="100"/>
      <c r="AQ857" s="78"/>
      <c r="AR857" s="100"/>
      <c r="AT857" s="78"/>
      <c r="AU857" s="100"/>
      <c r="AX857" s="78"/>
      <c r="AY857" s="100"/>
      <c r="BC857" s="100"/>
      <c r="BF857" s="78"/>
      <c r="BG857" s="100"/>
      <c r="BJ857" s="78"/>
      <c r="BK857" s="100"/>
      <c r="BN857" s="100"/>
      <c r="BP857" s="104"/>
      <c r="BQ857" s="104"/>
    </row>
    <row r="858" spans="1:69" ht="12.75">
      <c r="A858" s="101"/>
      <c r="B858" s="1"/>
      <c r="F858" s="102"/>
      <c r="G858" s="1"/>
      <c r="K858" s="100"/>
      <c r="L858" s="103"/>
      <c r="M858" s="103"/>
      <c r="N858" s="103"/>
      <c r="O858" s="103"/>
      <c r="P858" s="100"/>
      <c r="U858" s="100"/>
      <c r="Z858" s="100"/>
      <c r="AE858" s="100"/>
      <c r="AJ858" s="100"/>
      <c r="AL858" s="78"/>
      <c r="AM858" s="78"/>
      <c r="AN858" s="100"/>
      <c r="AQ858" s="78"/>
      <c r="AR858" s="100"/>
      <c r="AT858" s="78"/>
      <c r="AU858" s="100"/>
      <c r="AX858" s="78"/>
      <c r="AY858" s="100"/>
      <c r="BC858" s="100"/>
      <c r="BF858" s="78"/>
      <c r="BG858" s="100"/>
      <c r="BJ858" s="78"/>
      <c r="BK858" s="100"/>
      <c r="BN858" s="100"/>
      <c r="BP858" s="104"/>
      <c r="BQ858" s="104"/>
    </row>
    <row r="859" spans="1:69" ht="12.75">
      <c r="A859" s="101"/>
      <c r="B859" s="1"/>
      <c r="F859" s="102"/>
      <c r="G859" s="1"/>
      <c r="K859" s="100"/>
      <c r="L859" s="103"/>
      <c r="M859" s="103"/>
      <c r="N859" s="103"/>
      <c r="O859" s="103"/>
      <c r="P859" s="100"/>
      <c r="U859" s="100"/>
      <c r="Z859" s="100"/>
      <c r="AE859" s="100"/>
      <c r="AJ859" s="100"/>
      <c r="AL859" s="78"/>
      <c r="AM859" s="78"/>
      <c r="AN859" s="100"/>
      <c r="AQ859" s="78"/>
      <c r="AR859" s="100"/>
      <c r="AT859" s="78"/>
      <c r="AU859" s="100"/>
      <c r="AX859" s="78"/>
      <c r="AY859" s="100"/>
      <c r="BC859" s="100"/>
      <c r="BF859" s="78"/>
      <c r="BG859" s="100"/>
      <c r="BJ859" s="78"/>
      <c r="BK859" s="100"/>
      <c r="BN859" s="100"/>
      <c r="BP859" s="104"/>
      <c r="BQ859" s="104"/>
    </row>
    <row r="860" spans="1:69" ht="12.75">
      <c r="A860" s="101"/>
      <c r="B860" s="1"/>
      <c r="F860" s="102"/>
      <c r="G860" s="1"/>
      <c r="K860" s="100"/>
      <c r="L860" s="103"/>
      <c r="M860" s="103"/>
      <c r="N860" s="103"/>
      <c r="O860" s="103"/>
      <c r="P860" s="100"/>
      <c r="U860" s="100"/>
      <c r="Z860" s="100"/>
      <c r="AE860" s="100"/>
      <c r="AJ860" s="100"/>
      <c r="AL860" s="78"/>
      <c r="AM860" s="78"/>
      <c r="AN860" s="100"/>
      <c r="AQ860" s="78"/>
      <c r="AR860" s="100"/>
      <c r="AT860" s="78"/>
      <c r="AU860" s="100"/>
      <c r="AX860" s="78"/>
      <c r="AY860" s="100"/>
      <c r="BC860" s="100"/>
      <c r="BF860" s="78"/>
      <c r="BG860" s="100"/>
      <c r="BJ860" s="78"/>
      <c r="BK860" s="100"/>
      <c r="BN860" s="100"/>
      <c r="BP860" s="104"/>
      <c r="BQ860" s="104"/>
    </row>
    <row r="861" spans="1:69" ht="12.75">
      <c r="A861" s="101"/>
      <c r="B861" s="1"/>
      <c r="F861" s="102"/>
      <c r="G861" s="1"/>
      <c r="K861" s="100"/>
      <c r="L861" s="103"/>
      <c r="M861" s="103"/>
      <c r="N861" s="103"/>
      <c r="O861" s="103"/>
      <c r="P861" s="100"/>
      <c r="U861" s="100"/>
      <c r="Z861" s="100"/>
      <c r="AE861" s="100"/>
      <c r="AJ861" s="100"/>
      <c r="AL861" s="78"/>
      <c r="AM861" s="78"/>
      <c r="AN861" s="100"/>
      <c r="AQ861" s="78"/>
      <c r="AR861" s="100"/>
      <c r="AT861" s="78"/>
      <c r="AU861" s="100"/>
      <c r="AX861" s="78"/>
      <c r="AY861" s="100"/>
      <c r="BC861" s="100"/>
      <c r="BF861" s="78"/>
      <c r="BG861" s="100"/>
      <c r="BJ861" s="78"/>
      <c r="BK861" s="100"/>
      <c r="BN861" s="100"/>
      <c r="BP861" s="104"/>
      <c r="BQ861" s="104"/>
    </row>
    <row r="862" spans="1:69" ht="12.75">
      <c r="A862" s="101"/>
      <c r="B862" s="1"/>
      <c r="F862" s="102"/>
      <c r="G862" s="1"/>
      <c r="K862" s="100"/>
      <c r="L862" s="103"/>
      <c r="M862" s="103"/>
      <c r="N862" s="103"/>
      <c r="O862" s="103"/>
      <c r="P862" s="100"/>
      <c r="U862" s="100"/>
      <c r="Z862" s="100"/>
      <c r="AE862" s="100"/>
      <c r="AJ862" s="100"/>
      <c r="AL862" s="78"/>
      <c r="AM862" s="78"/>
      <c r="AN862" s="100"/>
      <c r="AQ862" s="78"/>
      <c r="AR862" s="100"/>
      <c r="AT862" s="78"/>
      <c r="AU862" s="100"/>
      <c r="AX862" s="78"/>
      <c r="AY862" s="100"/>
      <c r="BC862" s="100"/>
      <c r="BF862" s="78"/>
      <c r="BG862" s="100"/>
      <c r="BJ862" s="78"/>
      <c r="BK862" s="100"/>
      <c r="BN862" s="100"/>
      <c r="BP862" s="104"/>
      <c r="BQ862" s="104"/>
    </row>
    <row r="863" spans="1:69" ht="12.75">
      <c r="A863" s="101"/>
      <c r="B863" s="1"/>
      <c r="F863" s="102"/>
      <c r="G863" s="1"/>
      <c r="K863" s="100"/>
      <c r="L863" s="103"/>
      <c r="M863" s="103"/>
      <c r="N863" s="103"/>
      <c r="O863" s="103"/>
      <c r="P863" s="100"/>
      <c r="U863" s="100"/>
      <c r="Z863" s="100"/>
      <c r="AE863" s="100"/>
      <c r="AJ863" s="100"/>
      <c r="AL863" s="78"/>
      <c r="AM863" s="78"/>
      <c r="AN863" s="100"/>
      <c r="AQ863" s="78"/>
      <c r="AR863" s="100"/>
      <c r="AT863" s="78"/>
      <c r="AU863" s="100"/>
      <c r="AX863" s="78"/>
      <c r="AY863" s="100"/>
      <c r="BC863" s="100"/>
      <c r="BF863" s="78"/>
      <c r="BG863" s="100"/>
      <c r="BJ863" s="78"/>
      <c r="BK863" s="100"/>
      <c r="BN863" s="100"/>
      <c r="BP863" s="104"/>
      <c r="BQ863" s="104"/>
    </row>
    <row r="864" spans="1:69" ht="12.75">
      <c r="A864" s="101"/>
      <c r="B864" s="1"/>
      <c r="F864" s="102"/>
      <c r="G864" s="1"/>
      <c r="K864" s="100"/>
      <c r="L864" s="103"/>
      <c r="M864" s="103"/>
      <c r="N864" s="103"/>
      <c r="O864" s="103"/>
      <c r="P864" s="100"/>
      <c r="U864" s="100"/>
      <c r="Z864" s="100"/>
      <c r="AE864" s="100"/>
      <c r="AJ864" s="100"/>
      <c r="AL864" s="78"/>
      <c r="AM864" s="78"/>
      <c r="AN864" s="100"/>
      <c r="AQ864" s="78"/>
      <c r="AR864" s="100"/>
      <c r="AT864" s="78"/>
      <c r="AU864" s="100"/>
      <c r="AX864" s="78"/>
      <c r="AY864" s="100"/>
      <c r="BC864" s="100"/>
      <c r="BF864" s="78"/>
      <c r="BG864" s="100"/>
      <c r="BJ864" s="78"/>
      <c r="BK864" s="100"/>
      <c r="BN864" s="100"/>
      <c r="BP864" s="104"/>
      <c r="BQ864" s="104"/>
    </row>
    <row r="865" spans="1:69" ht="12.75">
      <c r="A865" s="101"/>
      <c r="B865" s="1"/>
      <c r="F865" s="102"/>
      <c r="G865" s="1"/>
      <c r="K865" s="100"/>
      <c r="L865" s="103"/>
      <c r="M865" s="103"/>
      <c r="N865" s="103"/>
      <c r="O865" s="103"/>
      <c r="P865" s="100"/>
      <c r="U865" s="100"/>
      <c r="Z865" s="100"/>
      <c r="AE865" s="100"/>
      <c r="AJ865" s="100"/>
      <c r="AL865" s="78"/>
      <c r="AM865" s="78"/>
      <c r="AN865" s="100"/>
      <c r="AQ865" s="78"/>
      <c r="AR865" s="100"/>
      <c r="AT865" s="78"/>
      <c r="AU865" s="100"/>
      <c r="AX865" s="78"/>
      <c r="AY865" s="100"/>
      <c r="BC865" s="100"/>
      <c r="BF865" s="78"/>
      <c r="BG865" s="100"/>
      <c r="BJ865" s="78"/>
      <c r="BK865" s="100"/>
      <c r="BN865" s="100"/>
      <c r="BP865" s="104"/>
      <c r="BQ865" s="104"/>
    </row>
    <row r="866" spans="1:69" ht="12.75">
      <c r="A866" s="101"/>
      <c r="B866" s="1"/>
      <c r="F866" s="102"/>
      <c r="G866" s="1"/>
      <c r="K866" s="100"/>
      <c r="L866" s="103"/>
      <c r="M866" s="103"/>
      <c r="N866" s="103"/>
      <c r="O866" s="103"/>
      <c r="P866" s="100"/>
      <c r="U866" s="100"/>
      <c r="Z866" s="100"/>
      <c r="AE866" s="100"/>
      <c r="AJ866" s="100"/>
      <c r="AL866" s="78"/>
      <c r="AM866" s="78"/>
      <c r="AN866" s="100"/>
      <c r="AQ866" s="78"/>
      <c r="AR866" s="100"/>
      <c r="AT866" s="78"/>
      <c r="AU866" s="100"/>
      <c r="AX866" s="78"/>
      <c r="AY866" s="100"/>
      <c r="BC866" s="100"/>
      <c r="BF866" s="78"/>
      <c r="BG866" s="100"/>
      <c r="BJ866" s="78"/>
      <c r="BK866" s="100"/>
      <c r="BN866" s="100"/>
      <c r="BP866" s="104"/>
      <c r="BQ866" s="104"/>
    </row>
    <row r="867" spans="1:69" ht="12.75">
      <c r="A867" s="101"/>
      <c r="B867" s="1"/>
      <c r="F867" s="102"/>
      <c r="G867" s="1"/>
      <c r="K867" s="100"/>
      <c r="L867" s="103"/>
      <c r="M867" s="103"/>
      <c r="N867" s="103"/>
      <c r="O867" s="103"/>
      <c r="P867" s="100"/>
      <c r="U867" s="100"/>
      <c r="Z867" s="100"/>
      <c r="AE867" s="100"/>
      <c r="AJ867" s="100"/>
      <c r="AL867" s="78"/>
      <c r="AM867" s="78"/>
      <c r="AN867" s="100"/>
      <c r="AQ867" s="78"/>
      <c r="AR867" s="100"/>
      <c r="AT867" s="78"/>
      <c r="AU867" s="100"/>
      <c r="AX867" s="78"/>
      <c r="AY867" s="100"/>
      <c r="BC867" s="100"/>
      <c r="BF867" s="78"/>
      <c r="BG867" s="100"/>
      <c r="BJ867" s="78"/>
      <c r="BK867" s="100"/>
      <c r="BN867" s="100"/>
      <c r="BP867" s="104"/>
      <c r="BQ867" s="104"/>
    </row>
    <row r="868" spans="1:69" ht="12.75">
      <c r="A868" s="101"/>
      <c r="B868" s="1"/>
      <c r="F868" s="102"/>
      <c r="G868" s="1"/>
      <c r="K868" s="100"/>
      <c r="L868" s="103"/>
      <c r="M868" s="103"/>
      <c r="N868" s="103"/>
      <c r="O868" s="103"/>
      <c r="P868" s="100"/>
      <c r="U868" s="100"/>
      <c r="Z868" s="100"/>
      <c r="AE868" s="100"/>
      <c r="AJ868" s="100"/>
      <c r="AL868" s="78"/>
      <c r="AM868" s="78"/>
      <c r="AN868" s="100"/>
      <c r="AQ868" s="78"/>
      <c r="AR868" s="100"/>
      <c r="AT868" s="78"/>
      <c r="AU868" s="100"/>
      <c r="AX868" s="78"/>
      <c r="AY868" s="100"/>
      <c r="BC868" s="100"/>
      <c r="BF868" s="78"/>
      <c r="BG868" s="100"/>
      <c r="BJ868" s="78"/>
      <c r="BK868" s="100"/>
      <c r="BN868" s="100"/>
      <c r="BP868" s="104"/>
      <c r="BQ868" s="104"/>
    </row>
    <row r="869" spans="1:69" ht="12.75">
      <c r="A869" s="101"/>
      <c r="B869" s="1"/>
      <c r="F869" s="102"/>
      <c r="G869" s="1"/>
      <c r="K869" s="100"/>
      <c r="L869" s="103"/>
      <c r="M869" s="103"/>
      <c r="N869" s="103"/>
      <c r="O869" s="103"/>
      <c r="P869" s="100"/>
      <c r="U869" s="100"/>
      <c r="Z869" s="100"/>
      <c r="AE869" s="100"/>
      <c r="AJ869" s="100"/>
      <c r="AL869" s="78"/>
      <c r="AM869" s="78"/>
      <c r="AN869" s="100"/>
      <c r="AQ869" s="78"/>
      <c r="AR869" s="100"/>
      <c r="AT869" s="78"/>
      <c r="AU869" s="100"/>
      <c r="AX869" s="78"/>
      <c r="AY869" s="100"/>
      <c r="BC869" s="100"/>
      <c r="BF869" s="78"/>
      <c r="BG869" s="100"/>
      <c r="BJ869" s="78"/>
      <c r="BK869" s="100"/>
      <c r="BN869" s="100"/>
      <c r="BP869" s="104"/>
      <c r="BQ869" s="104"/>
    </row>
    <row r="870" spans="1:69" ht="12.75">
      <c r="A870" s="101"/>
      <c r="B870" s="1"/>
      <c r="F870" s="102"/>
      <c r="G870" s="1"/>
      <c r="K870" s="100"/>
      <c r="L870" s="103"/>
      <c r="M870" s="103"/>
      <c r="N870" s="103"/>
      <c r="O870" s="103"/>
      <c r="P870" s="100"/>
      <c r="U870" s="100"/>
      <c r="Z870" s="100"/>
      <c r="AE870" s="100"/>
      <c r="AJ870" s="100"/>
      <c r="AL870" s="78"/>
      <c r="AM870" s="78"/>
      <c r="AN870" s="100"/>
      <c r="AQ870" s="78"/>
      <c r="AR870" s="100"/>
      <c r="AT870" s="78"/>
      <c r="AU870" s="100"/>
      <c r="AX870" s="78"/>
      <c r="AY870" s="100"/>
      <c r="BC870" s="100"/>
      <c r="BF870" s="78"/>
      <c r="BG870" s="100"/>
      <c r="BJ870" s="78"/>
      <c r="BK870" s="100"/>
      <c r="BN870" s="100"/>
      <c r="BP870" s="104"/>
      <c r="BQ870" s="104"/>
    </row>
    <row r="871" spans="1:69" ht="12.75">
      <c r="A871" s="101"/>
      <c r="B871" s="1"/>
      <c r="F871" s="102"/>
      <c r="G871" s="1"/>
      <c r="K871" s="100"/>
      <c r="L871" s="103"/>
      <c r="M871" s="103"/>
      <c r="N871" s="103"/>
      <c r="O871" s="103"/>
      <c r="P871" s="100"/>
      <c r="U871" s="100"/>
      <c r="Z871" s="100"/>
      <c r="AE871" s="100"/>
      <c r="AJ871" s="100"/>
      <c r="AL871" s="78"/>
      <c r="AM871" s="78"/>
      <c r="AN871" s="100"/>
      <c r="AQ871" s="78"/>
      <c r="AR871" s="100"/>
      <c r="AT871" s="78"/>
      <c r="AU871" s="100"/>
      <c r="AX871" s="78"/>
      <c r="AY871" s="100"/>
      <c r="BC871" s="100"/>
      <c r="BF871" s="78"/>
      <c r="BG871" s="100"/>
      <c r="BJ871" s="78"/>
      <c r="BK871" s="100"/>
      <c r="BN871" s="100"/>
      <c r="BP871" s="104"/>
      <c r="BQ871" s="104"/>
    </row>
    <row r="872" spans="1:69" ht="12.75">
      <c r="A872" s="101"/>
      <c r="B872" s="1"/>
      <c r="F872" s="102"/>
      <c r="G872" s="1"/>
      <c r="K872" s="100"/>
      <c r="L872" s="103"/>
      <c r="M872" s="103"/>
      <c r="N872" s="103"/>
      <c r="O872" s="103"/>
      <c r="P872" s="100"/>
      <c r="U872" s="100"/>
      <c r="Z872" s="100"/>
      <c r="AE872" s="100"/>
      <c r="AJ872" s="100"/>
      <c r="AL872" s="78"/>
      <c r="AM872" s="78"/>
      <c r="AN872" s="100"/>
      <c r="AQ872" s="78"/>
      <c r="AR872" s="100"/>
      <c r="AT872" s="78"/>
      <c r="AU872" s="100"/>
      <c r="AX872" s="78"/>
      <c r="AY872" s="100"/>
      <c r="BC872" s="100"/>
      <c r="BF872" s="78"/>
      <c r="BG872" s="100"/>
      <c r="BJ872" s="78"/>
      <c r="BK872" s="100"/>
      <c r="BN872" s="100"/>
      <c r="BP872" s="104"/>
      <c r="BQ872" s="104"/>
    </row>
    <row r="873" spans="1:69" ht="12.75">
      <c r="A873" s="101"/>
      <c r="B873" s="1"/>
      <c r="F873" s="102"/>
      <c r="G873" s="1"/>
      <c r="K873" s="100"/>
      <c r="L873" s="103"/>
      <c r="M873" s="103"/>
      <c r="N873" s="103"/>
      <c r="O873" s="103"/>
      <c r="P873" s="100"/>
      <c r="U873" s="100"/>
      <c r="Z873" s="100"/>
      <c r="AE873" s="100"/>
      <c r="AJ873" s="100"/>
      <c r="AL873" s="78"/>
      <c r="AM873" s="78"/>
      <c r="AN873" s="100"/>
      <c r="AQ873" s="78"/>
      <c r="AR873" s="100"/>
      <c r="AT873" s="78"/>
      <c r="AU873" s="100"/>
      <c r="AX873" s="78"/>
      <c r="AY873" s="100"/>
      <c r="BC873" s="100"/>
      <c r="BF873" s="78"/>
      <c r="BG873" s="100"/>
      <c r="BJ873" s="78"/>
      <c r="BK873" s="100"/>
      <c r="BN873" s="100"/>
      <c r="BP873" s="104"/>
      <c r="BQ873" s="104"/>
    </row>
    <row r="874" spans="1:69" ht="12.75">
      <c r="A874" s="101"/>
      <c r="B874" s="1"/>
      <c r="F874" s="102"/>
      <c r="G874" s="1"/>
      <c r="K874" s="100"/>
      <c r="L874" s="103"/>
      <c r="M874" s="103"/>
      <c r="N874" s="103"/>
      <c r="O874" s="103"/>
      <c r="P874" s="100"/>
      <c r="U874" s="100"/>
      <c r="Z874" s="100"/>
      <c r="AE874" s="100"/>
      <c r="AJ874" s="100"/>
      <c r="AL874" s="78"/>
      <c r="AM874" s="78"/>
      <c r="AN874" s="100"/>
      <c r="AQ874" s="78"/>
      <c r="AR874" s="100"/>
      <c r="AT874" s="78"/>
      <c r="AU874" s="100"/>
      <c r="AX874" s="78"/>
      <c r="AY874" s="100"/>
      <c r="BC874" s="100"/>
      <c r="BF874" s="78"/>
      <c r="BG874" s="100"/>
      <c r="BJ874" s="78"/>
      <c r="BK874" s="100"/>
      <c r="BN874" s="100"/>
      <c r="BP874" s="104"/>
      <c r="BQ874" s="104"/>
    </row>
    <row r="875" spans="1:69" ht="12.75">
      <c r="A875" s="101"/>
      <c r="B875" s="1"/>
      <c r="F875" s="102"/>
      <c r="G875" s="1"/>
      <c r="K875" s="100"/>
      <c r="L875" s="103"/>
      <c r="M875" s="103"/>
      <c r="N875" s="103"/>
      <c r="O875" s="103"/>
      <c r="P875" s="100"/>
      <c r="U875" s="100"/>
      <c r="Z875" s="100"/>
      <c r="AE875" s="100"/>
      <c r="AJ875" s="100"/>
      <c r="AL875" s="78"/>
      <c r="AM875" s="78"/>
      <c r="AN875" s="100"/>
      <c r="AQ875" s="78"/>
      <c r="AR875" s="100"/>
      <c r="AT875" s="78"/>
      <c r="AU875" s="100"/>
      <c r="AX875" s="78"/>
      <c r="AY875" s="100"/>
      <c r="BC875" s="100"/>
      <c r="BF875" s="78"/>
      <c r="BG875" s="100"/>
      <c r="BJ875" s="78"/>
      <c r="BK875" s="100"/>
      <c r="BN875" s="100"/>
      <c r="BP875" s="104"/>
      <c r="BQ875" s="104"/>
    </row>
    <row r="876" spans="1:69" ht="12.75">
      <c r="A876" s="101"/>
      <c r="B876" s="1"/>
      <c r="F876" s="102"/>
      <c r="G876" s="1"/>
      <c r="K876" s="100"/>
      <c r="L876" s="103"/>
      <c r="M876" s="103"/>
      <c r="N876" s="103"/>
      <c r="O876" s="103"/>
      <c r="P876" s="100"/>
      <c r="U876" s="100"/>
      <c r="Z876" s="100"/>
      <c r="AE876" s="100"/>
      <c r="AJ876" s="100"/>
      <c r="AL876" s="78"/>
      <c r="AM876" s="78"/>
      <c r="AN876" s="100"/>
      <c r="AQ876" s="78"/>
      <c r="AR876" s="100"/>
      <c r="AT876" s="78"/>
      <c r="AU876" s="100"/>
      <c r="AX876" s="78"/>
      <c r="AY876" s="100"/>
      <c r="BC876" s="100"/>
      <c r="BF876" s="78"/>
      <c r="BG876" s="100"/>
      <c r="BJ876" s="78"/>
      <c r="BK876" s="100"/>
      <c r="BN876" s="100"/>
      <c r="BP876" s="104"/>
      <c r="BQ876" s="104"/>
    </row>
    <row r="877" spans="1:69" ht="12.75">
      <c r="A877" s="101"/>
      <c r="B877" s="1"/>
      <c r="F877" s="102"/>
      <c r="G877" s="1"/>
      <c r="K877" s="100"/>
      <c r="L877" s="103"/>
      <c r="M877" s="103"/>
      <c r="N877" s="103"/>
      <c r="O877" s="103"/>
      <c r="P877" s="100"/>
      <c r="U877" s="100"/>
      <c r="Z877" s="100"/>
      <c r="AE877" s="100"/>
      <c r="AJ877" s="100"/>
      <c r="AL877" s="78"/>
      <c r="AM877" s="78"/>
      <c r="AN877" s="100"/>
      <c r="AQ877" s="78"/>
      <c r="AR877" s="100"/>
      <c r="AT877" s="78"/>
      <c r="AU877" s="100"/>
      <c r="AX877" s="78"/>
      <c r="AY877" s="100"/>
      <c r="BC877" s="100"/>
      <c r="BF877" s="78"/>
      <c r="BG877" s="100"/>
      <c r="BJ877" s="78"/>
      <c r="BK877" s="100"/>
      <c r="BN877" s="100"/>
      <c r="BP877" s="104"/>
      <c r="BQ877" s="104"/>
    </row>
    <row r="878" spans="1:69" ht="12.75">
      <c r="A878" s="101"/>
      <c r="B878" s="1"/>
      <c r="F878" s="102"/>
      <c r="G878" s="1"/>
      <c r="K878" s="100"/>
      <c r="L878" s="103"/>
      <c r="M878" s="103"/>
      <c r="N878" s="103"/>
      <c r="O878" s="103"/>
      <c r="P878" s="100"/>
      <c r="U878" s="100"/>
      <c r="Z878" s="100"/>
      <c r="AE878" s="100"/>
      <c r="AJ878" s="100"/>
      <c r="AL878" s="78"/>
      <c r="AM878" s="78"/>
      <c r="AN878" s="100"/>
      <c r="AQ878" s="78"/>
      <c r="AR878" s="100"/>
      <c r="AT878" s="78"/>
      <c r="AU878" s="100"/>
      <c r="AX878" s="78"/>
      <c r="AY878" s="100"/>
      <c r="BC878" s="100"/>
      <c r="BF878" s="78"/>
      <c r="BG878" s="100"/>
      <c r="BJ878" s="78"/>
      <c r="BK878" s="100"/>
      <c r="BN878" s="100"/>
      <c r="BP878" s="104"/>
      <c r="BQ878" s="104"/>
    </row>
    <row r="879" spans="1:69" ht="12.75">
      <c r="A879" s="101"/>
      <c r="B879" s="1"/>
      <c r="F879" s="102"/>
      <c r="G879" s="1"/>
      <c r="K879" s="100"/>
      <c r="L879" s="103"/>
      <c r="M879" s="103"/>
      <c r="N879" s="103"/>
      <c r="O879" s="103"/>
      <c r="P879" s="100"/>
      <c r="U879" s="100"/>
      <c r="Z879" s="100"/>
      <c r="AE879" s="100"/>
      <c r="AJ879" s="100"/>
      <c r="AL879" s="78"/>
      <c r="AM879" s="78"/>
      <c r="AN879" s="100"/>
      <c r="AQ879" s="78"/>
      <c r="AR879" s="100"/>
      <c r="AT879" s="78"/>
      <c r="AU879" s="100"/>
      <c r="AX879" s="78"/>
      <c r="AY879" s="100"/>
      <c r="BC879" s="100"/>
      <c r="BF879" s="78"/>
      <c r="BG879" s="100"/>
      <c r="BJ879" s="78"/>
      <c r="BK879" s="100"/>
      <c r="BN879" s="100"/>
      <c r="BP879" s="104"/>
      <c r="BQ879" s="104"/>
    </row>
    <row r="880" spans="1:69" ht="12.75">
      <c r="A880" s="101"/>
      <c r="B880" s="1"/>
      <c r="F880" s="102"/>
      <c r="G880" s="1"/>
      <c r="K880" s="100"/>
      <c r="L880" s="103"/>
      <c r="M880" s="103"/>
      <c r="N880" s="103"/>
      <c r="O880" s="103"/>
      <c r="P880" s="100"/>
      <c r="U880" s="100"/>
      <c r="Z880" s="100"/>
      <c r="AE880" s="100"/>
      <c r="AJ880" s="100"/>
      <c r="AL880" s="78"/>
      <c r="AM880" s="78"/>
      <c r="AN880" s="100"/>
      <c r="AQ880" s="78"/>
      <c r="AR880" s="100"/>
      <c r="AT880" s="78"/>
      <c r="AU880" s="100"/>
      <c r="AX880" s="78"/>
      <c r="AY880" s="100"/>
      <c r="BC880" s="100"/>
      <c r="BF880" s="78"/>
      <c r="BG880" s="100"/>
      <c r="BJ880" s="78"/>
      <c r="BK880" s="100"/>
      <c r="BN880" s="100"/>
      <c r="BP880" s="104"/>
      <c r="BQ880" s="104"/>
    </row>
    <row r="881" spans="1:69" ht="12.75">
      <c r="A881" s="101"/>
      <c r="B881" s="1"/>
      <c r="F881" s="102"/>
      <c r="G881" s="1"/>
      <c r="K881" s="100"/>
      <c r="L881" s="103"/>
      <c r="M881" s="103"/>
      <c r="N881" s="103"/>
      <c r="O881" s="103"/>
      <c r="P881" s="100"/>
      <c r="U881" s="100"/>
      <c r="Z881" s="100"/>
      <c r="AE881" s="100"/>
      <c r="AJ881" s="100"/>
      <c r="AL881" s="78"/>
      <c r="AM881" s="78"/>
      <c r="AN881" s="100"/>
      <c r="AQ881" s="78"/>
      <c r="AR881" s="100"/>
      <c r="AT881" s="78"/>
      <c r="AU881" s="100"/>
      <c r="AX881" s="78"/>
      <c r="AY881" s="100"/>
      <c r="BC881" s="100"/>
      <c r="BF881" s="78"/>
      <c r="BG881" s="100"/>
      <c r="BJ881" s="78"/>
      <c r="BK881" s="100"/>
      <c r="BN881" s="100"/>
      <c r="BP881" s="104"/>
      <c r="BQ881" s="104"/>
    </row>
    <row r="882" spans="1:69" ht="12.75">
      <c r="A882" s="101"/>
      <c r="B882" s="1"/>
      <c r="F882" s="102"/>
      <c r="G882" s="1"/>
      <c r="K882" s="100"/>
      <c r="L882" s="103"/>
      <c r="M882" s="103"/>
      <c r="N882" s="103"/>
      <c r="O882" s="103"/>
      <c r="P882" s="100"/>
      <c r="U882" s="100"/>
      <c r="Z882" s="100"/>
      <c r="AE882" s="100"/>
      <c r="AJ882" s="100"/>
      <c r="AL882" s="78"/>
      <c r="AM882" s="78"/>
      <c r="AN882" s="100"/>
      <c r="AQ882" s="78"/>
      <c r="AR882" s="100"/>
      <c r="AT882" s="78"/>
      <c r="AU882" s="100"/>
      <c r="AX882" s="78"/>
      <c r="AY882" s="100"/>
      <c r="BC882" s="100"/>
      <c r="BF882" s="78"/>
      <c r="BG882" s="100"/>
      <c r="BJ882" s="78"/>
      <c r="BK882" s="100"/>
      <c r="BN882" s="100"/>
      <c r="BP882" s="104"/>
      <c r="BQ882" s="104"/>
    </row>
    <row r="883" spans="1:69" ht="12.75">
      <c r="A883" s="101"/>
      <c r="B883" s="1"/>
      <c r="F883" s="102"/>
      <c r="G883" s="1"/>
      <c r="K883" s="100"/>
      <c r="L883" s="103"/>
      <c r="M883" s="103"/>
      <c r="N883" s="103"/>
      <c r="O883" s="103"/>
      <c r="P883" s="100"/>
      <c r="U883" s="100"/>
      <c r="Z883" s="100"/>
      <c r="AE883" s="100"/>
      <c r="AJ883" s="100"/>
      <c r="AL883" s="78"/>
      <c r="AM883" s="78"/>
      <c r="AN883" s="100"/>
      <c r="AQ883" s="78"/>
      <c r="AR883" s="100"/>
      <c r="AT883" s="78"/>
      <c r="AU883" s="100"/>
      <c r="AX883" s="78"/>
      <c r="AY883" s="100"/>
      <c r="BC883" s="100"/>
      <c r="BF883" s="78"/>
      <c r="BG883" s="100"/>
      <c r="BJ883" s="78"/>
      <c r="BK883" s="100"/>
      <c r="BN883" s="100"/>
      <c r="BP883" s="104"/>
      <c r="BQ883" s="104"/>
    </row>
    <row r="884" spans="1:69" ht="12.75">
      <c r="A884" s="101"/>
      <c r="B884" s="1"/>
      <c r="F884" s="102"/>
      <c r="G884" s="1"/>
      <c r="K884" s="100"/>
      <c r="L884" s="103"/>
      <c r="M884" s="103"/>
      <c r="N884" s="103"/>
      <c r="O884" s="103"/>
      <c r="P884" s="100"/>
      <c r="U884" s="100"/>
      <c r="Z884" s="100"/>
      <c r="AE884" s="100"/>
      <c r="AJ884" s="100"/>
      <c r="AL884" s="78"/>
      <c r="AM884" s="78"/>
      <c r="AN884" s="100"/>
      <c r="AQ884" s="78"/>
      <c r="AR884" s="100"/>
      <c r="AT884" s="78"/>
      <c r="AU884" s="100"/>
      <c r="AX884" s="78"/>
      <c r="AY884" s="100"/>
      <c r="BC884" s="100"/>
      <c r="BF884" s="78"/>
      <c r="BG884" s="100"/>
      <c r="BJ884" s="78"/>
      <c r="BK884" s="100"/>
      <c r="BN884" s="100"/>
      <c r="BP884" s="104"/>
      <c r="BQ884" s="104"/>
    </row>
    <row r="885" spans="1:69" ht="12.75">
      <c r="A885" s="101"/>
      <c r="B885" s="1"/>
      <c r="F885" s="102"/>
      <c r="G885" s="1"/>
      <c r="K885" s="100"/>
      <c r="L885" s="103"/>
      <c r="M885" s="103"/>
      <c r="N885" s="103"/>
      <c r="O885" s="103"/>
      <c r="P885" s="100"/>
      <c r="U885" s="100"/>
      <c r="Z885" s="100"/>
      <c r="AE885" s="100"/>
      <c r="AJ885" s="100"/>
      <c r="AL885" s="78"/>
      <c r="AM885" s="78"/>
      <c r="AN885" s="100"/>
      <c r="AQ885" s="78"/>
      <c r="AR885" s="100"/>
      <c r="AT885" s="78"/>
      <c r="AU885" s="100"/>
      <c r="AX885" s="78"/>
      <c r="AY885" s="100"/>
      <c r="BC885" s="100"/>
      <c r="BF885" s="78"/>
      <c r="BG885" s="100"/>
      <c r="BJ885" s="78"/>
      <c r="BK885" s="100"/>
      <c r="BN885" s="100"/>
      <c r="BP885" s="104"/>
      <c r="BQ885" s="104"/>
    </row>
    <row r="886" spans="1:69" ht="12.75">
      <c r="A886" s="101"/>
      <c r="B886" s="1"/>
      <c r="F886" s="102"/>
      <c r="G886" s="1"/>
      <c r="K886" s="100"/>
      <c r="L886" s="103"/>
      <c r="M886" s="103"/>
      <c r="N886" s="103"/>
      <c r="O886" s="103"/>
      <c r="P886" s="100"/>
      <c r="U886" s="100"/>
      <c r="Z886" s="100"/>
      <c r="AE886" s="100"/>
      <c r="AJ886" s="100"/>
      <c r="AL886" s="78"/>
      <c r="AM886" s="78"/>
      <c r="AN886" s="100"/>
      <c r="AQ886" s="78"/>
      <c r="AR886" s="100"/>
      <c r="AT886" s="78"/>
      <c r="AU886" s="100"/>
      <c r="AX886" s="78"/>
      <c r="AY886" s="100"/>
      <c r="BC886" s="100"/>
      <c r="BF886" s="78"/>
      <c r="BG886" s="100"/>
      <c r="BJ886" s="78"/>
      <c r="BK886" s="100"/>
      <c r="BN886" s="100"/>
      <c r="BP886" s="104"/>
      <c r="BQ886" s="104"/>
    </row>
    <row r="887" spans="1:69" ht="12.75">
      <c r="A887" s="101"/>
      <c r="B887" s="1"/>
      <c r="F887" s="102"/>
      <c r="G887" s="1"/>
      <c r="K887" s="100"/>
      <c r="L887" s="103"/>
      <c r="M887" s="103"/>
      <c r="N887" s="103"/>
      <c r="O887" s="103"/>
      <c r="P887" s="100"/>
      <c r="U887" s="100"/>
      <c r="Z887" s="100"/>
      <c r="AE887" s="100"/>
      <c r="AJ887" s="100"/>
      <c r="AL887" s="78"/>
      <c r="AM887" s="78"/>
      <c r="AN887" s="100"/>
      <c r="AQ887" s="78"/>
      <c r="AR887" s="100"/>
      <c r="AT887" s="78"/>
      <c r="AU887" s="100"/>
      <c r="AX887" s="78"/>
      <c r="AY887" s="100"/>
      <c r="BC887" s="100"/>
      <c r="BF887" s="78"/>
      <c r="BG887" s="100"/>
      <c r="BJ887" s="78"/>
      <c r="BK887" s="100"/>
      <c r="BN887" s="100"/>
      <c r="BP887" s="104"/>
      <c r="BQ887" s="104"/>
    </row>
    <row r="888" spans="1:69" ht="12.75">
      <c r="A888" s="101"/>
      <c r="B888" s="1"/>
      <c r="F888" s="102"/>
      <c r="G888" s="1"/>
      <c r="K888" s="100"/>
      <c r="L888" s="103"/>
      <c r="M888" s="103"/>
      <c r="N888" s="103"/>
      <c r="O888" s="103"/>
      <c r="P888" s="100"/>
      <c r="U888" s="100"/>
      <c r="Z888" s="100"/>
      <c r="AE888" s="100"/>
      <c r="AJ888" s="100"/>
      <c r="AL888" s="78"/>
      <c r="AM888" s="78"/>
      <c r="AN888" s="100"/>
      <c r="AQ888" s="78"/>
      <c r="AR888" s="100"/>
      <c r="AT888" s="78"/>
      <c r="AU888" s="100"/>
      <c r="AX888" s="78"/>
      <c r="AY888" s="100"/>
      <c r="BC888" s="100"/>
      <c r="BF888" s="78"/>
      <c r="BG888" s="100"/>
      <c r="BJ888" s="78"/>
      <c r="BK888" s="100"/>
      <c r="BN888" s="100"/>
      <c r="BP888" s="104"/>
      <c r="BQ888" s="104"/>
    </row>
    <row r="889" spans="1:69" ht="12.75">
      <c r="A889" s="101"/>
      <c r="B889" s="1"/>
      <c r="F889" s="102"/>
      <c r="G889" s="1"/>
      <c r="K889" s="100"/>
      <c r="L889" s="103"/>
      <c r="M889" s="103"/>
      <c r="N889" s="103"/>
      <c r="O889" s="103"/>
      <c r="P889" s="100"/>
      <c r="U889" s="100"/>
      <c r="Z889" s="100"/>
      <c r="AE889" s="100"/>
      <c r="AJ889" s="100"/>
      <c r="AL889" s="78"/>
      <c r="AM889" s="78"/>
      <c r="AN889" s="100"/>
      <c r="AQ889" s="78"/>
      <c r="AR889" s="100"/>
      <c r="AT889" s="78"/>
      <c r="AU889" s="100"/>
      <c r="AX889" s="78"/>
      <c r="AY889" s="100"/>
      <c r="BC889" s="100"/>
      <c r="BF889" s="78"/>
      <c r="BG889" s="100"/>
      <c r="BJ889" s="78"/>
      <c r="BK889" s="100"/>
      <c r="BN889" s="100"/>
      <c r="BP889" s="104"/>
      <c r="BQ889" s="104"/>
    </row>
    <row r="890" spans="1:69" ht="12.75">
      <c r="A890" s="101"/>
      <c r="B890" s="1"/>
      <c r="F890" s="102"/>
      <c r="G890" s="1"/>
      <c r="K890" s="100"/>
      <c r="L890" s="103"/>
      <c r="M890" s="103"/>
      <c r="N890" s="103"/>
      <c r="O890" s="103"/>
      <c r="P890" s="100"/>
      <c r="U890" s="100"/>
      <c r="Z890" s="100"/>
      <c r="AE890" s="100"/>
      <c r="AJ890" s="100"/>
      <c r="AL890" s="78"/>
      <c r="AM890" s="78"/>
      <c r="AN890" s="100"/>
      <c r="AQ890" s="78"/>
      <c r="AR890" s="100"/>
      <c r="AT890" s="78"/>
      <c r="AU890" s="100"/>
      <c r="AX890" s="78"/>
      <c r="AY890" s="100"/>
      <c r="BC890" s="100"/>
      <c r="BF890" s="78"/>
      <c r="BG890" s="100"/>
      <c r="BJ890" s="78"/>
      <c r="BK890" s="100"/>
      <c r="BN890" s="100"/>
      <c r="BP890" s="104"/>
      <c r="BQ890" s="104"/>
    </row>
    <row r="891" spans="1:69" ht="12.75">
      <c r="A891" s="101"/>
      <c r="B891" s="1"/>
      <c r="F891" s="102"/>
      <c r="G891" s="1"/>
      <c r="K891" s="100"/>
      <c r="L891" s="103"/>
      <c r="M891" s="103"/>
      <c r="N891" s="103"/>
      <c r="O891" s="103"/>
      <c r="P891" s="100"/>
      <c r="U891" s="100"/>
      <c r="Z891" s="100"/>
      <c r="AE891" s="100"/>
      <c r="AJ891" s="100"/>
      <c r="AL891" s="78"/>
      <c r="AM891" s="78"/>
      <c r="AN891" s="100"/>
      <c r="AQ891" s="78"/>
      <c r="AR891" s="100"/>
      <c r="AT891" s="78"/>
      <c r="AU891" s="100"/>
      <c r="AX891" s="78"/>
      <c r="AY891" s="100"/>
      <c r="BC891" s="100"/>
      <c r="BF891" s="78"/>
      <c r="BG891" s="100"/>
      <c r="BJ891" s="78"/>
      <c r="BK891" s="100"/>
      <c r="BN891" s="100"/>
      <c r="BP891" s="104"/>
      <c r="BQ891" s="104"/>
    </row>
    <row r="892" spans="1:69" ht="12.75">
      <c r="A892" s="101"/>
      <c r="B892" s="1"/>
      <c r="F892" s="102"/>
      <c r="G892" s="1"/>
      <c r="K892" s="100"/>
      <c r="L892" s="103"/>
      <c r="M892" s="103"/>
      <c r="N892" s="103"/>
      <c r="O892" s="103"/>
      <c r="P892" s="100"/>
      <c r="U892" s="100"/>
      <c r="Z892" s="100"/>
      <c r="AE892" s="100"/>
      <c r="AJ892" s="100"/>
      <c r="AL892" s="78"/>
      <c r="AM892" s="78"/>
      <c r="AN892" s="100"/>
      <c r="AQ892" s="78"/>
      <c r="AR892" s="100"/>
      <c r="AT892" s="78"/>
      <c r="AU892" s="100"/>
      <c r="AX892" s="78"/>
      <c r="AY892" s="100"/>
      <c r="BC892" s="100"/>
      <c r="BF892" s="78"/>
      <c r="BG892" s="100"/>
      <c r="BJ892" s="78"/>
      <c r="BK892" s="100"/>
      <c r="BN892" s="100"/>
      <c r="BP892" s="104"/>
      <c r="BQ892" s="104"/>
    </row>
    <row r="893" spans="1:69" ht="12.75">
      <c r="A893" s="101"/>
      <c r="B893" s="1"/>
      <c r="F893" s="102"/>
      <c r="G893" s="1"/>
      <c r="K893" s="100"/>
      <c r="L893" s="103"/>
      <c r="M893" s="103"/>
      <c r="N893" s="103"/>
      <c r="O893" s="103"/>
      <c r="P893" s="100"/>
      <c r="U893" s="100"/>
      <c r="Z893" s="100"/>
      <c r="AE893" s="100"/>
      <c r="AJ893" s="100"/>
      <c r="AL893" s="78"/>
      <c r="AM893" s="78"/>
      <c r="AN893" s="100"/>
      <c r="AQ893" s="78"/>
      <c r="AR893" s="100"/>
      <c r="AT893" s="78"/>
      <c r="AU893" s="100"/>
      <c r="AX893" s="78"/>
      <c r="AY893" s="100"/>
      <c r="BC893" s="100"/>
      <c r="BF893" s="78"/>
      <c r="BG893" s="100"/>
      <c r="BJ893" s="78"/>
      <c r="BK893" s="100"/>
      <c r="BN893" s="100"/>
      <c r="BP893" s="104"/>
      <c r="BQ893" s="104"/>
    </row>
    <row r="894" spans="1:69" ht="12.75">
      <c r="A894" s="101"/>
      <c r="B894" s="1"/>
      <c r="F894" s="102"/>
      <c r="G894" s="1"/>
      <c r="K894" s="100"/>
      <c r="L894" s="103"/>
      <c r="M894" s="103"/>
      <c r="N894" s="103"/>
      <c r="O894" s="103"/>
      <c r="P894" s="100"/>
      <c r="U894" s="100"/>
      <c r="Z894" s="100"/>
      <c r="AE894" s="100"/>
      <c r="AJ894" s="100"/>
      <c r="AL894" s="78"/>
      <c r="AM894" s="78"/>
      <c r="AN894" s="100"/>
      <c r="AQ894" s="78"/>
      <c r="AR894" s="100"/>
      <c r="AT894" s="78"/>
      <c r="AU894" s="100"/>
      <c r="AX894" s="78"/>
      <c r="AY894" s="100"/>
      <c r="BC894" s="100"/>
      <c r="BF894" s="78"/>
      <c r="BG894" s="100"/>
      <c r="BJ894" s="78"/>
      <c r="BK894" s="100"/>
      <c r="BN894" s="100"/>
      <c r="BP894" s="104"/>
      <c r="BQ894" s="104"/>
    </row>
    <row r="895" spans="1:69" ht="12.75">
      <c r="A895" s="101"/>
      <c r="B895" s="1"/>
      <c r="F895" s="102"/>
      <c r="G895" s="1"/>
      <c r="K895" s="100"/>
      <c r="L895" s="103"/>
      <c r="M895" s="103"/>
      <c r="N895" s="103"/>
      <c r="O895" s="103"/>
      <c r="P895" s="100"/>
      <c r="U895" s="100"/>
      <c r="Z895" s="100"/>
      <c r="AE895" s="100"/>
      <c r="AJ895" s="100"/>
      <c r="AL895" s="78"/>
      <c r="AM895" s="78"/>
      <c r="AN895" s="100"/>
      <c r="AQ895" s="78"/>
      <c r="AR895" s="100"/>
      <c r="AT895" s="78"/>
      <c r="AU895" s="100"/>
      <c r="AX895" s="78"/>
      <c r="AY895" s="100"/>
      <c r="BC895" s="100"/>
      <c r="BF895" s="78"/>
      <c r="BG895" s="100"/>
      <c r="BJ895" s="78"/>
      <c r="BK895" s="100"/>
      <c r="BN895" s="100"/>
      <c r="BP895" s="104"/>
      <c r="BQ895" s="104"/>
    </row>
    <row r="896" spans="1:69" ht="12.75">
      <c r="A896" s="101"/>
      <c r="B896" s="1"/>
      <c r="F896" s="102"/>
      <c r="G896" s="1"/>
      <c r="K896" s="100"/>
      <c r="L896" s="103"/>
      <c r="M896" s="103"/>
      <c r="N896" s="103"/>
      <c r="O896" s="103"/>
      <c r="P896" s="100"/>
      <c r="U896" s="100"/>
      <c r="Z896" s="100"/>
      <c r="AE896" s="100"/>
      <c r="AJ896" s="100"/>
      <c r="AL896" s="78"/>
      <c r="AM896" s="78"/>
      <c r="AN896" s="100"/>
      <c r="AQ896" s="78"/>
      <c r="AR896" s="100"/>
      <c r="AT896" s="78"/>
      <c r="AU896" s="100"/>
      <c r="AX896" s="78"/>
      <c r="AY896" s="100"/>
      <c r="BC896" s="100"/>
      <c r="BF896" s="78"/>
      <c r="BG896" s="100"/>
      <c r="BJ896" s="78"/>
      <c r="BK896" s="100"/>
      <c r="BN896" s="100"/>
      <c r="BP896" s="104"/>
      <c r="BQ896" s="104"/>
    </row>
    <row r="897" spans="1:69" ht="12.75">
      <c r="A897" s="101"/>
      <c r="B897" s="1"/>
      <c r="F897" s="102"/>
      <c r="G897" s="1"/>
      <c r="K897" s="100"/>
      <c r="L897" s="103"/>
      <c r="M897" s="103"/>
      <c r="N897" s="103"/>
      <c r="O897" s="103"/>
      <c r="P897" s="100"/>
      <c r="U897" s="100"/>
      <c r="Z897" s="100"/>
      <c r="AE897" s="100"/>
      <c r="AJ897" s="100"/>
      <c r="AL897" s="78"/>
      <c r="AM897" s="78"/>
      <c r="AN897" s="100"/>
      <c r="AQ897" s="78"/>
      <c r="AR897" s="100"/>
      <c r="AT897" s="78"/>
      <c r="AU897" s="100"/>
      <c r="AX897" s="78"/>
      <c r="AY897" s="100"/>
      <c r="BC897" s="100"/>
      <c r="BF897" s="78"/>
      <c r="BG897" s="100"/>
      <c r="BJ897" s="78"/>
      <c r="BK897" s="100"/>
      <c r="BN897" s="100"/>
      <c r="BP897" s="104"/>
      <c r="BQ897" s="104"/>
    </row>
    <row r="898" spans="1:69" ht="12.75">
      <c r="A898" s="101"/>
      <c r="B898" s="1"/>
      <c r="F898" s="102"/>
      <c r="G898" s="1"/>
      <c r="K898" s="100"/>
      <c r="L898" s="103"/>
      <c r="M898" s="103"/>
      <c r="N898" s="103"/>
      <c r="O898" s="103"/>
      <c r="P898" s="100"/>
      <c r="U898" s="100"/>
      <c r="Z898" s="100"/>
      <c r="AE898" s="100"/>
      <c r="AJ898" s="100"/>
      <c r="AL898" s="78"/>
      <c r="AM898" s="78"/>
      <c r="AN898" s="100"/>
      <c r="AQ898" s="78"/>
      <c r="AR898" s="100"/>
      <c r="AT898" s="78"/>
      <c r="AU898" s="100"/>
      <c r="AX898" s="78"/>
      <c r="AY898" s="100"/>
      <c r="BC898" s="100"/>
      <c r="BF898" s="78"/>
      <c r="BG898" s="100"/>
      <c r="BJ898" s="78"/>
      <c r="BK898" s="100"/>
      <c r="BN898" s="100"/>
      <c r="BP898" s="104"/>
      <c r="BQ898" s="104"/>
    </row>
    <row r="899" spans="1:69" ht="12.75">
      <c r="A899" s="101"/>
      <c r="B899" s="1"/>
      <c r="F899" s="102"/>
      <c r="G899" s="1"/>
      <c r="K899" s="100"/>
      <c r="L899" s="103"/>
      <c r="M899" s="103"/>
      <c r="N899" s="103"/>
      <c r="O899" s="103"/>
      <c r="P899" s="100"/>
      <c r="U899" s="100"/>
      <c r="Z899" s="100"/>
      <c r="AE899" s="100"/>
      <c r="AJ899" s="100"/>
      <c r="AL899" s="78"/>
      <c r="AM899" s="78"/>
      <c r="AN899" s="100"/>
      <c r="AQ899" s="78"/>
      <c r="AR899" s="100"/>
      <c r="AT899" s="78"/>
      <c r="AU899" s="100"/>
      <c r="AX899" s="78"/>
      <c r="AY899" s="100"/>
      <c r="BC899" s="100"/>
      <c r="BF899" s="78"/>
      <c r="BG899" s="100"/>
      <c r="BJ899" s="78"/>
      <c r="BK899" s="100"/>
      <c r="BN899" s="100"/>
      <c r="BP899" s="104"/>
      <c r="BQ899" s="104"/>
    </row>
    <row r="900" spans="1:69" ht="12.75">
      <c r="A900" s="101"/>
      <c r="B900" s="1"/>
      <c r="F900" s="102"/>
      <c r="G900" s="1"/>
      <c r="K900" s="100"/>
      <c r="L900" s="103"/>
      <c r="M900" s="103"/>
      <c r="N900" s="103"/>
      <c r="O900" s="103"/>
      <c r="P900" s="100"/>
      <c r="U900" s="100"/>
      <c r="Z900" s="100"/>
      <c r="AE900" s="100"/>
      <c r="AJ900" s="100"/>
      <c r="AL900" s="78"/>
      <c r="AM900" s="78"/>
      <c r="AN900" s="100"/>
      <c r="AQ900" s="78"/>
      <c r="AR900" s="100"/>
      <c r="AT900" s="78"/>
      <c r="AU900" s="100"/>
      <c r="AX900" s="78"/>
      <c r="AY900" s="100"/>
      <c r="BC900" s="100"/>
      <c r="BF900" s="78"/>
      <c r="BG900" s="100"/>
      <c r="BJ900" s="78"/>
      <c r="BK900" s="100"/>
      <c r="BN900" s="100"/>
      <c r="BP900" s="104"/>
      <c r="BQ900" s="104"/>
    </row>
    <row r="901" spans="1:69" ht="12.75">
      <c r="A901" s="101"/>
      <c r="B901" s="1"/>
      <c r="F901" s="102"/>
      <c r="G901" s="1"/>
      <c r="K901" s="100"/>
      <c r="L901" s="103"/>
      <c r="M901" s="103"/>
      <c r="N901" s="103"/>
      <c r="O901" s="103"/>
      <c r="P901" s="100"/>
      <c r="U901" s="100"/>
      <c r="Z901" s="100"/>
      <c r="AE901" s="100"/>
      <c r="AJ901" s="100"/>
      <c r="AL901" s="78"/>
      <c r="AM901" s="78"/>
      <c r="AN901" s="100"/>
      <c r="AQ901" s="78"/>
      <c r="AR901" s="100"/>
      <c r="AT901" s="78"/>
      <c r="AU901" s="100"/>
      <c r="AX901" s="78"/>
      <c r="AY901" s="100"/>
      <c r="BC901" s="100"/>
      <c r="BF901" s="78"/>
      <c r="BG901" s="100"/>
      <c r="BJ901" s="78"/>
      <c r="BK901" s="100"/>
      <c r="BN901" s="100"/>
      <c r="BP901" s="104"/>
      <c r="BQ901" s="104"/>
    </row>
    <row r="902" spans="1:69" ht="12.75">
      <c r="A902" s="101"/>
      <c r="B902" s="1"/>
      <c r="F902" s="102"/>
      <c r="G902" s="1"/>
      <c r="K902" s="100"/>
      <c r="L902" s="103"/>
      <c r="M902" s="103"/>
      <c r="N902" s="103"/>
      <c r="O902" s="103"/>
      <c r="P902" s="100"/>
      <c r="U902" s="100"/>
      <c r="Z902" s="100"/>
      <c r="AE902" s="100"/>
      <c r="AJ902" s="100"/>
      <c r="AL902" s="78"/>
      <c r="AM902" s="78"/>
      <c r="AN902" s="100"/>
      <c r="AQ902" s="78"/>
      <c r="AR902" s="100"/>
      <c r="AT902" s="78"/>
      <c r="AU902" s="100"/>
      <c r="AX902" s="78"/>
      <c r="AY902" s="100"/>
      <c r="BC902" s="100"/>
      <c r="BF902" s="78"/>
      <c r="BG902" s="100"/>
      <c r="BJ902" s="78"/>
      <c r="BK902" s="100"/>
      <c r="BN902" s="100"/>
      <c r="BP902" s="104"/>
      <c r="BQ902" s="104"/>
    </row>
    <row r="903" spans="1:69" ht="12.75">
      <c r="A903" s="101"/>
      <c r="B903" s="1"/>
      <c r="F903" s="102"/>
      <c r="G903" s="1"/>
      <c r="K903" s="100"/>
      <c r="L903" s="103"/>
      <c r="M903" s="103"/>
      <c r="N903" s="103"/>
      <c r="O903" s="103"/>
      <c r="P903" s="100"/>
      <c r="U903" s="100"/>
      <c r="Z903" s="100"/>
      <c r="AE903" s="100"/>
      <c r="AJ903" s="100"/>
      <c r="AL903" s="78"/>
      <c r="AM903" s="78"/>
      <c r="AN903" s="100"/>
      <c r="AQ903" s="78"/>
      <c r="AR903" s="100"/>
      <c r="AT903" s="78"/>
      <c r="AU903" s="100"/>
      <c r="AX903" s="78"/>
      <c r="AY903" s="100"/>
      <c r="BC903" s="100"/>
      <c r="BF903" s="78"/>
      <c r="BG903" s="100"/>
      <c r="BJ903" s="78"/>
      <c r="BK903" s="100"/>
      <c r="BN903" s="100"/>
      <c r="BP903" s="104"/>
      <c r="BQ903" s="104"/>
    </row>
    <row r="904" spans="1:69" ht="12.75">
      <c r="A904" s="101"/>
      <c r="B904" s="1"/>
      <c r="F904" s="102"/>
      <c r="G904" s="1"/>
      <c r="K904" s="100"/>
      <c r="L904" s="103"/>
      <c r="M904" s="103"/>
      <c r="N904" s="103"/>
      <c r="O904" s="103"/>
      <c r="P904" s="100"/>
      <c r="U904" s="100"/>
      <c r="Z904" s="100"/>
      <c r="AE904" s="100"/>
      <c r="AJ904" s="100"/>
      <c r="AL904" s="78"/>
      <c r="AM904" s="78"/>
      <c r="AN904" s="100"/>
      <c r="AQ904" s="78"/>
      <c r="AR904" s="100"/>
      <c r="AT904" s="78"/>
      <c r="AU904" s="100"/>
      <c r="AX904" s="78"/>
      <c r="AY904" s="100"/>
      <c r="BC904" s="100"/>
      <c r="BF904" s="78"/>
      <c r="BG904" s="100"/>
      <c r="BJ904" s="78"/>
      <c r="BK904" s="100"/>
      <c r="BN904" s="100"/>
      <c r="BP904" s="104"/>
      <c r="BQ904" s="104"/>
    </row>
    <row r="905" spans="1:69" ht="12.75">
      <c r="A905" s="101"/>
      <c r="B905" s="1"/>
      <c r="F905" s="102"/>
      <c r="G905" s="1"/>
      <c r="K905" s="100"/>
      <c r="L905" s="103"/>
      <c r="M905" s="103"/>
      <c r="N905" s="103"/>
      <c r="O905" s="103"/>
      <c r="P905" s="100"/>
      <c r="U905" s="100"/>
      <c r="Z905" s="100"/>
      <c r="AE905" s="100"/>
      <c r="AJ905" s="100"/>
      <c r="AL905" s="78"/>
      <c r="AM905" s="78"/>
      <c r="AN905" s="100"/>
      <c r="AQ905" s="78"/>
      <c r="AR905" s="100"/>
      <c r="AT905" s="78"/>
      <c r="AU905" s="100"/>
      <c r="AX905" s="78"/>
      <c r="AY905" s="100"/>
      <c r="BC905" s="100"/>
      <c r="BF905" s="78"/>
      <c r="BG905" s="100"/>
      <c r="BJ905" s="78"/>
      <c r="BK905" s="100"/>
      <c r="BN905" s="100"/>
      <c r="BP905" s="104"/>
      <c r="BQ905" s="104"/>
    </row>
    <row r="906" spans="1:69" ht="12.75">
      <c r="A906" s="101"/>
      <c r="B906" s="1"/>
      <c r="F906" s="102"/>
      <c r="G906" s="1"/>
      <c r="K906" s="100"/>
      <c r="L906" s="103"/>
      <c r="M906" s="103"/>
      <c r="N906" s="103"/>
      <c r="O906" s="103"/>
      <c r="P906" s="100"/>
      <c r="U906" s="100"/>
      <c r="Z906" s="100"/>
      <c r="AE906" s="100"/>
      <c r="AJ906" s="100"/>
      <c r="AL906" s="78"/>
      <c r="AM906" s="78"/>
      <c r="AN906" s="100"/>
      <c r="AQ906" s="78"/>
      <c r="AR906" s="100"/>
      <c r="AT906" s="78"/>
      <c r="AU906" s="100"/>
      <c r="AX906" s="78"/>
      <c r="AY906" s="100"/>
      <c r="BC906" s="100"/>
      <c r="BF906" s="78"/>
      <c r="BG906" s="100"/>
      <c r="BJ906" s="78"/>
      <c r="BK906" s="100"/>
      <c r="BN906" s="100"/>
      <c r="BP906" s="104"/>
      <c r="BQ906" s="104"/>
    </row>
    <row r="907" spans="1:69" ht="12.75">
      <c r="A907" s="101"/>
      <c r="B907" s="1"/>
      <c r="F907" s="102"/>
      <c r="G907" s="1"/>
      <c r="K907" s="100"/>
      <c r="L907" s="103"/>
      <c r="M907" s="103"/>
      <c r="N907" s="103"/>
      <c r="O907" s="103"/>
      <c r="P907" s="100"/>
      <c r="U907" s="100"/>
      <c r="Z907" s="100"/>
      <c r="AE907" s="100"/>
      <c r="AJ907" s="100"/>
      <c r="AL907" s="78"/>
      <c r="AM907" s="78"/>
      <c r="AN907" s="100"/>
      <c r="AQ907" s="78"/>
      <c r="AR907" s="100"/>
      <c r="AT907" s="78"/>
      <c r="AU907" s="100"/>
      <c r="AX907" s="78"/>
      <c r="AY907" s="100"/>
      <c r="BC907" s="100"/>
      <c r="BF907" s="78"/>
      <c r="BG907" s="100"/>
      <c r="BJ907" s="78"/>
      <c r="BK907" s="100"/>
      <c r="BN907" s="100"/>
      <c r="BP907" s="104"/>
      <c r="BQ907" s="104"/>
    </row>
    <row r="908" spans="1:69" ht="12.75">
      <c r="A908" s="101"/>
      <c r="B908" s="1"/>
      <c r="F908" s="102"/>
      <c r="G908" s="1"/>
      <c r="K908" s="100"/>
      <c r="L908" s="103"/>
      <c r="M908" s="103"/>
      <c r="N908" s="103"/>
      <c r="O908" s="103"/>
      <c r="P908" s="100"/>
      <c r="U908" s="100"/>
      <c r="Z908" s="100"/>
      <c r="AE908" s="100"/>
      <c r="AJ908" s="100"/>
      <c r="AL908" s="78"/>
      <c r="AM908" s="78"/>
      <c r="AN908" s="100"/>
      <c r="AQ908" s="78"/>
      <c r="AR908" s="100"/>
      <c r="AT908" s="78"/>
      <c r="AU908" s="100"/>
      <c r="AX908" s="78"/>
      <c r="AY908" s="100"/>
      <c r="BC908" s="100"/>
      <c r="BF908" s="78"/>
      <c r="BG908" s="100"/>
      <c r="BJ908" s="78"/>
      <c r="BK908" s="100"/>
      <c r="BN908" s="100"/>
      <c r="BP908" s="104"/>
      <c r="BQ908" s="104"/>
    </row>
    <row r="909" spans="1:69" ht="12.75">
      <c r="A909" s="101"/>
      <c r="B909" s="1"/>
      <c r="F909" s="102"/>
      <c r="G909" s="1"/>
      <c r="K909" s="100"/>
      <c r="L909" s="103"/>
      <c r="M909" s="103"/>
      <c r="N909" s="103"/>
      <c r="O909" s="103"/>
      <c r="P909" s="100"/>
      <c r="U909" s="100"/>
      <c r="Z909" s="100"/>
      <c r="AE909" s="100"/>
      <c r="AJ909" s="100"/>
      <c r="AL909" s="78"/>
      <c r="AM909" s="78"/>
      <c r="AN909" s="100"/>
      <c r="AQ909" s="78"/>
      <c r="AR909" s="100"/>
      <c r="AT909" s="78"/>
      <c r="AU909" s="100"/>
      <c r="AX909" s="78"/>
      <c r="AY909" s="100"/>
      <c r="BC909" s="100"/>
      <c r="BF909" s="78"/>
      <c r="BG909" s="100"/>
      <c r="BJ909" s="78"/>
      <c r="BK909" s="100"/>
      <c r="BN909" s="100"/>
      <c r="BP909" s="104"/>
      <c r="BQ909" s="104"/>
    </row>
    <row r="910" spans="1:69" ht="12.75">
      <c r="A910" s="101"/>
      <c r="B910" s="1"/>
      <c r="F910" s="102"/>
      <c r="G910" s="1"/>
      <c r="K910" s="100"/>
      <c r="L910" s="103"/>
      <c r="M910" s="103"/>
      <c r="N910" s="103"/>
      <c r="O910" s="103"/>
      <c r="P910" s="100"/>
      <c r="U910" s="100"/>
      <c r="Z910" s="100"/>
      <c r="AE910" s="100"/>
      <c r="AJ910" s="100"/>
      <c r="AL910" s="78"/>
      <c r="AM910" s="78"/>
      <c r="AN910" s="100"/>
      <c r="AQ910" s="78"/>
      <c r="AR910" s="100"/>
      <c r="AT910" s="78"/>
      <c r="AU910" s="100"/>
      <c r="AX910" s="78"/>
      <c r="AY910" s="100"/>
      <c r="BC910" s="100"/>
      <c r="BF910" s="78"/>
      <c r="BG910" s="100"/>
      <c r="BJ910" s="78"/>
      <c r="BK910" s="100"/>
      <c r="BN910" s="100"/>
      <c r="BP910" s="104"/>
      <c r="BQ910" s="104"/>
    </row>
    <row r="911" spans="1:69" ht="12.75">
      <c r="A911" s="101"/>
      <c r="B911" s="1"/>
      <c r="F911" s="102"/>
      <c r="G911" s="1"/>
      <c r="K911" s="100"/>
      <c r="L911" s="103"/>
      <c r="M911" s="103"/>
      <c r="N911" s="103"/>
      <c r="O911" s="103"/>
      <c r="P911" s="100"/>
      <c r="U911" s="100"/>
      <c r="Z911" s="100"/>
      <c r="AE911" s="100"/>
      <c r="AJ911" s="100"/>
      <c r="AL911" s="78"/>
      <c r="AM911" s="78"/>
      <c r="AN911" s="100"/>
      <c r="AQ911" s="78"/>
      <c r="AR911" s="100"/>
      <c r="AT911" s="78"/>
      <c r="AU911" s="100"/>
      <c r="AX911" s="78"/>
      <c r="AY911" s="100"/>
      <c r="BC911" s="100"/>
      <c r="BF911" s="78"/>
      <c r="BG911" s="100"/>
      <c r="BJ911" s="78"/>
      <c r="BK911" s="100"/>
      <c r="BN911" s="100"/>
      <c r="BP911" s="104"/>
      <c r="BQ911" s="104"/>
    </row>
    <row r="912" spans="1:69" ht="12.75">
      <c r="A912" s="101"/>
      <c r="B912" s="1"/>
      <c r="F912" s="102"/>
      <c r="G912" s="1"/>
      <c r="K912" s="100"/>
      <c r="L912" s="103"/>
      <c r="M912" s="103"/>
      <c r="N912" s="103"/>
      <c r="O912" s="103"/>
      <c r="P912" s="100"/>
      <c r="U912" s="100"/>
      <c r="Z912" s="100"/>
      <c r="AE912" s="100"/>
      <c r="AJ912" s="100"/>
      <c r="AL912" s="78"/>
      <c r="AM912" s="78"/>
      <c r="AN912" s="100"/>
      <c r="AQ912" s="78"/>
      <c r="AR912" s="100"/>
      <c r="AT912" s="78"/>
      <c r="AU912" s="100"/>
      <c r="AX912" s="78"/>
      <c r="AY912" s="100"/>
      <c r="BC912" s="100"/>
      <c r="BF912" s="78"/>
      <c r="BG912" s="100"/>
      <c r="BJ912" s="78"/>
      <c r="BK912" s="100"/>
      <c r="BN912" s="100"/>
      <c r="BP912" s="104"/>
      <c r="BQ912" s="104"/>
    </row>
    <row r="913" spans="1:69" ht="12.75">
      <c r="A913" s="101"/>
      <c r="B913" s="1"/>
      <c r="F913" s="102"/>
      <c r="G913" s="1"/>
      <c r="K913" s="100"/>
      <c r="L913" s="103"/>
      <c r="M913" s="103"/>
      <c r="N913" s="103"/>
      <c r="O913" s="103"/>
      <c r="P913" s="100"/>
      <c r="U913" s="100"/>
      <c r="Z913" s="100"/>
      <c r="AE913" s="100"/>
      <c r="AJ913" s="100"/>
      <c r="AL913" s="78"/>
      <c r="AM913" s="78"/>
      <c r="AN913" s="100"/>
      <c r="AQ913" s="78"/>
      <c r="AR913" s="100"/>
      <c r="AT913" s="78"/>
      <c r="AU913" s="100"/>
      <c r="AX913" s="78"/>
      <c r="AY913" s="100"/>
      <c r="BC913" s="100"/>
      <c r="BF913" s="78"/>
      <c r="BG913" s="100"/>
      <c r="BJ913" s="78"/>
      <c r="BK913" s="100"/>
      <c r="BN913" s="100"/>
      <c r="BP913" s="104"/>
      <c r="BQ913" s="104"/>
    </row>
    <row r="914" spans="1:69" ht="12.75">
      <c r="A914" s="101"/>
      <c r="B914" s="1"/>
      <c r="F914" s="102"/>
      <c r="G914" s="1"/>
      <c r="K914" s="100"/>
      <c r="L914" s="103"/>
      <c r="M914" s="103"/>
      <c r="N914" s="103"/>
      <c r="O914" s="103"/>
      <c r="P914" s="100"/>
      <c r="U914" s="100"/>
      <c r="Z914" s="100"/>
      <c r="AE914" s="100"/>
      <c r="AJ914" s="100"/>
      <c r="AL914" s="78"/>
      <c r="AM914" s="78"/>
      <c r="AN914" s="100"/>
      <c r="AQ914" s="78"/>
      <c r="AR914" s="100"/>
      <c r="AT914" s="78"/>
      <c r="AU914" s="100"/>
      <c r="AX914" s="78"/>
      <c r="AY914" s="100"/>
      <c r="BC914" s="100"/>
      <c r="BF914" s="78"/>
      <c r="BG914" s="100"/>
      <c r="BJ914" s="78"/>
      <c r="BK914" s="100"/>
      <c r="BN914" s="100"/>
      <c r="BP914" s="104"/>
      <c r="BQ914" s="104"/>
    </row>
    <row r="915" spans="1:69" ht="12.75">
      <c r="A915" s="101"/>
      <c r="B915" s="1"/>
      <c r="F915" s="102"/>
      <c r="G915" s="1"/>
      <c r="K915" s="100"/>
      <c r="L915" s="103"/>
      <c r="M915" s="103"/>
      <c r="N915" s="103"/>
      <c r="O915" s="103"/>
      <c r="P915" s="100"/>
      <c r="U915" s="100"/>
      <c r="Z915" s="100"/>
      <c r="AE915" s="100"/>
      <c r="AJ915" s="100"/>
      <c r="AL915" s="78"/>
      <c r="AM915" s="78"/>
      <c r="AN915" s="100"/>
      <c r="AQ915" s="78"/>
      <c r="AR915" s="100"/>
      <c r="AT915" s="78"/>
      <c r="AU915" s="100"/>
      <c r="AX915" s="78"/>
      <c r="AY915" s="100"/>
      <c r="BC915" s="100"/>
      <c r="BF915" s="78"/>
      <c r="BG915" s="100"/>
      <c r="BJ915" s="78"/>
      <c r="BK915" s="100"/>
      <c r="BN915" s="100"/>
      <c r="BP915" s="104"/>
      <c r="BQ915" s="104"/>
    </row>
    <row r="916" spans="1:69" ht="12.75">
      <c r="A916" s="101"/>
      <c r="B916" s="1"/>
      <c r="F916" s="102"/>
      <c r="G916" s="1"/>
      <c r="K916" s="100"/>
      <c r="L916" s="103"/>
      <c r="M916" s="103"/>
      <c r="N916" s="103"/>
      <c r="O916" s="103"/>
      <c r="P916" s="100"/>
      <c r="U916" s="100"/>
      <c r="Z916" s="100"/>
      <c r="AE916" s="100"/>
      <c r="AJ916" s="100"/>
      <c r="AL916" s="78"/>
      <c r="AM916" s="78"/>
      <c r="AN916" s="100"/>
      <c r="AQ916" s="78"/>
      <c r="AR916" s="100"/>
      <c r="AT916" s="78"/>
      <c r="AU916" s="100"/>
      <c r="AX916" s="78"/>
      <c r="AY916" s="100"/>
      <c r="BC916" s="100"/>
      <c r="BF916" s="78"/>
      <c r="BG916" s="100"/>
      <c r="BJ916" s="78"/>
      <c r="BK916" s="100"/>
      <c r="BN916" s="100"/>
      <c r="BP916" s="104"/>
      <c r="BQ916" s="104"/>
    </row>
    <row r="917" spans="1:69" ht="12.75">
      <c r="A917" s="101"/>
      <c r="B917" s="1"/>
      <c r="F917" s="102"/>
      <c r="G917" s="1"/>
      <c r="K917" s="100"/>
      <c r="L917" s="103"/>
      <c r="M917" s="103"/>
      <c r="N917" s="103"/>
      <c r="O917" s="103"/>
      <c r="P917" s="100"/>
      <c r="U917" s="100"/>
      <c r="Z917" s="100"/>
      <c r="AE917" s="100"/>
      <c r="AJ917" s="100"/>
      <c r="AL917" s="78"/>
      <c r="AM917" s="78"/>
      <c r="AN917" s="100"/>
      <c r="AQ917" s="78"/>
      <c r="AR917" s="100"/>
      <c r="AT917" s="78"/>
      <c r="AU917" s="100"/>
      <c r="AX917" s="78"/>
      <c r="AY917" s="100"/>
      <c r="BC917" s="100"/>
      <c r="BF917" s="78"/>
      <c r="BG917" s="100"/>
      <c r="BJ917" s="78"/>
      <c r="BK917" s="100"/>
      <c r="BN917" s="100"/>
      <c r="BP917" s="104"/>
      <c r="BQ917" s="104"/>
    </row>
    <row r="918" spans="1:69" ht="12.75">
      <c r="A918" s="101"/>
      <c r="B918" s="1"/>
      <c r="F918" s="102"/>
      <c r="G918" s="1"/>
      <c r="K918" s="100"/>
      <c r="L918" s="103"/>
      <c r="M918" s="103"/>
      <c r="N918" s="103"/>
      <c r="O918" s="103"/>
      <c r="P918" s="100"/>
      <c r="U918" s="100"/>
      <c r="Z918" s="100"/>
      <c r="AE918" s="100"/>
      <c r="AJ918" s="100"/>
      <c r="AL918" s="78"/>
      <c r="AM918" s="78"/>
      <c r="AN918" s="100"/>
      <c r="AQ918" s="78"/>
      <c r="AR918" s="100"/>
      <c r="AT918" s="78"/>
      <c r="AU918" s="100"/>
      <c r="AX918" s="78"/>
      <c r="AY918" s="100"/>
      <c r="BC918" s="100"/>
      <c r="BF918" s="78"/>
      <c r="BG918" s="100"/>
      <c r="BJ918" s="78"/>
      <c r="BK918" s="100"/>
      <c r="BN918" s="100"/>
      <c r="BP918" s="104"/>
      <c r="BQ918" s="104"/>
    </row>
    <row r="919" spans="1:69" ht="12.75">
      <c r="A919" s="101"/>
      <c r="B919" s="1"/>
      <c r="F919" s="102"/>
      <c r="G919" s="1"/>
      <c r="K919" s="100"/>
      <c r="L919" s="103"/>
      <c r="M919" s="103"/>
      <c r="N919" s="103"/>
      <c r="O919" s="103"/>
      <c r="P919" s="100"/>
      <c r="U919" s="100"/>
      <c r="Z919" s="100"/>
      <c r="AE919" s="100"/>
      <c r="AJ919" s="100"/>
      <c r="AL919" s="78"/>
      <c r="AM919" s="78"/>
      <c r="AN919" s="100"/>
      <c r="AQ919" s="78"/>
      <c r="AR919" s="100"/>
      <c r="AT919" s="78"/>
      <c r="AU919" s="100"/>
      <c r="AX919" s="78"/>
      <c r="AY919" s="100"/>
      <c r="BC919" s="100"/>
      <c r="BF919" s="78"/>
      <c r="BG919" s="100"/>
      <c r="BJ919" s="78"/>
      <c r="BK919" s="100"/>
      <c r="BN919" s="100"/>
      <c r="BP919" s="104"/>
      <c r="BQ919" s="104"/>
    </row>
    <row r="920" spans="1:69" ht="12.75">
      <c r="A920" s="101"/>
      <c r="B920" s="1"/>
      <c r="F920" s="102"/>
      <c r="G920" s="1"/>
      <c r="K920" s="100"/>
      <c r="L920" s="103"/>
      <c r="M920" s="103"/>
      <c r="N920" s="103"/>
      <c r="O920" s="103"/>
      <c r="P920" s="100"/>
      <c r="U920" s="100"/>
      <c r="Z920" s="100"/>
      <c r="AE920" s="100"/>
      <c r="AJ920" s="100"/>
      <c r="AL920" s="78"/>
      <c r="AM920" s="78"/>
      <c r="AN920" s="100"/>
      <c r="AQ920" s="78"/>
      <c r="AR920" s="100"/>
      <c r="AT920" s="78"/>
      <c r="AU920" s="100"/>
      <c r="AX920" s="78"/>
      <c r="AY920" s="100"/>
      <c r="BC920" s="100"/>
      <c r="BF920" s="78"/>
      <c r="BG920" s="100"/>
      <c r="BJ920" s="78"/>
      <c r="BK920" s="100"/>
      <c r="BN920" s="100"/>
      <c r="BP920" s="104"/>
      <c r="BQ920" s="104"/>
    </row>
    <row r="921" spans="1:69" ht="12.75">
      <c r="A921" s="101"/>
      <c r="B921" s="1"/>
      <c r="F921" s="102"/>
      <c r="G921" s="1"/>
      <c r="K921" s="100"/>
      <c r="L921" s="103"/>
      <c r="M921" s="103"/>
      <c r="N921" s="103"/>
      <c r="O921" s="103"/>
      <c r="P921" s="100"/>
      <c r="U921" s="100"/>
      <c r="Z921" s="100"/>
      <c r="AE921" s="100"/>
      <c r="AJ921" s="100"/>
      <c r="AL921" s="78"/>
      <c r="AM921" s="78"/>
      <c r="AN921" s="100"/>
      <c r="AQ921" s="78"/>
      <c r="AR921" s="100"/>
      <c r="AT921" s="78"/>
      <c r="AU921" s="100"/>
      <c r="AX921" s="78"/>
      <c r="AY921" s="100"/>
      <c r="BC921" s="100"/>
      <c r="BF921" s="78"/>
      <c r="BG921" s="100"/>
      <c r="BJ921" s="78"/>
      <c r="BK921" s="100"/>
      <c r="BN921" s="100"/>
      <c r="BP921" s="104"/>
      <c r="BQ921" s="104"/>
    </row>
    <row r="922" spans="1:69" ht="12.75">
      <c r="A922" s="101"/>
      <c r="B922" s="1"/>
      <c r="F922" s="102"/>
      <c r="G922" s="1"/>
      <c r="K922" s="100"/>
      <c r="L922" s="103"/>
      <c r="M922" s="103"/>
      <c r="N922" s="103"/>
      <c r="O922" s="103"/>
      <c r="P922" s="100"/>
      <c r="U922" s="100"/>
      <c r="Z922" s="100"/>
      <c r="AE922" s="100"/>
      <c r="AJ922" s="100"/>
      <c r="AL922" s="78"/>
      <c r="AM922" s="78"/>
      <c r="AN922" s="100"/>
      <c r="AQ922" s="78"/>
      <c r="AR922" s="100"/>
      <c r="AT922" s="78"/>
      <c r="AU922" s="100"/>
      <c r="AX922" s="78"/>
      <c r="AY922" s="100"/>
      <c r="BC922" s="100"/>
      <c r="BF922" s="78"/>
      <c r="BG922" s="100"/>
      <c r="BJ922" s="78"/>
      <c r="BK922" s="100"/>
      <c r="BN922" s="100"/>
      <c r="BP922" s="104"/>
      <c r="BQ922" s="104"/>
    </row>
    <row r="923" spans="1:69" ht="12.75">
      <c r="A923" s="101"/>
      <c r="B923" s="1"/>
      <c r="F923" s="102"/>
      <c r="G923" s="1"/>
      <c r="K923" s="100"/>
      <c r="L923" s="103"/>
      <c r="M923" s="103"/>
      <c r="N923" s="103"/>
      <c r="O923" s="103"/>
      <c r="P923" s="100"/>
      <c r="U923" s="100"/>
      <c r="Z923" s="100"/>
      <c r="AE923" s="100"/>
      <c r="AJ923" s="100"/>
      <c r="AL923" s="78"/>
      <c r="AM923" s="78"/>
      <c r="AN923" s="100"/>
      <c r="AQ923" s="78"/>
      <c r="AR923" s="100"/>
      <c r="AT923" s="78"/>
      <c r="AU923" s="100"/>
      <c r="AX923" s="78"/>
      <c r="AY923" s="100"/>
      <c r="BC923" s="100"/>
      <c r="BF923" s="78"/>
      <c r="BG923" s="100"/>
      <c r="BJ923" s="78"/>
      <c r="BK923" s="100"/>
      <c r="BN923" s="100"/>
      <c r="BP923" s="104"/>
      <c r="BQ923" s="104"/>
    </row>
    <row r="924" spans="1:69" ht="12.75">
      <c r="A924" s="101"/>
      <c r="B924" s="1"/>
      <c r="F924" s="102"/>
      <c r="G924" s="1"/>
      <c r="K924" s="100"/>
      <c r="L924" s="103"/>
      <c r="M924" s="103"/>
      <c r="N924" s="103"/>
      <c r="O924" s="103"/>
      <c r="P924" s="100"/>
      <c r="U924" s="100"/>
      <c r="Z924" s="100"/>
      <c r="AE924" s="100"/>
      <c r="AJ924" s="100"/>
      <c r="AL924" s="78"/>
      <c r="AM924" s="78"/>
      <c r="AN924" s="100"/>
      <c r="AQ924" s="78"/>
      <c r="AR924" s="100"/>
      <c r="AT924" s="78"/>
      <c r="AU924" s="100"/>
      <c r="AX924" s="78"/>
      <c r="AY924" s="100"/>
      <c r="BC924" s="100"/>
      <c r="BF924" s="78"/>
      <c r="BG924" s="100"/>
      <c r="BJ924" s="78"/>
      <c r="BK924" s="100"/>
      <c r="BN924" s="100"/>
      <c r="BP924" s="104"/>
      <c r="BQ924" s="104"/>
    </row>
    <row r="925" spans="1:69" ht="12.75">
      <c r="A925" s="101"/>
      <c r="B925" s="1"/>
      <c r="F925" s="102"/>
      <c r="G925" s="1"/>
      <c r="K925" s="100"/>
      <c r="L925" s="103"/>
      <c r="M925" s="103"/>
      <c r="N925" s="103"/>
      <c r="O925" s="103"/>
      <c r="P925" s="100"/>
      <c r="U925" s="100"/>
      <c r="Z925" s="100"/>
      <c r="AE925" s="100"/>
      <c r="AJ925" s="100"/>
      <c r="AL925" s="78"/>
      <c r="AM925" s="78"/>
      <c r="AN925" s="100"/>
      <c r="AQ925" s="78"/>
      <c r="AR925" s="100"/>
      <c r="AT925" s="78"/>
      <c r="AU925" s="100"/>
      <c r="AX925" s="78"/>
      <c r="AY925" s="100"/>
      <c r="BC925" s="100"/>
      <c r="BF925" s="78"/>
      <c r="BG925" s="100"/>
      <c r="BJ925" s="78"/>
      <c r="BK925" s="100"/>
      <c r="BN925" s="100"/>
      <c r="BP925" s="104"/>
      <c r="BQ925" s="104"/>
    </row>
    <row r="926" spans="1:69" ht="12.75">
      <c r="A926" s="101"/>
      <c r="B926" s="1"/>
      <c r="F926" s="102"/>
      <c r="G926" s="1"/>
      <c r="K926" s="100"/>
      <c r="L926" s="103"/>
      <c r="M926" s="103"/>
      <c r="N926" s="103"/>
      <c r="O926" s="103"/>
      <c r="P926" s="100"/>
      <c r="U926" s="100"/>
      <c r="Z926" s="100"/>
      <c r="AE926" s="100"/>
      <c r="AJ926" s="100"/>
      <c r="AL926" s="78"/>
      <c r="AM926" s="78"/>
      <c r="AN926" s="100"/>
      <c r="AQ926" s="78"/>
      <c r="AR926" s="100"/>
      <c r="AT926" s="78"/>
      <c r="AU926" s="100"/>
      <c r="AX926" s="78"/>
      <c r="AY926" s="100"/>
      <c r="BC926" s="100"/>
      <c r="BF926" s="78"/>
      <c r="BG926" s="100"/>
      <c r="BJ926" s="78"/>
      <c r="BK926" s="100"/>
      <c r="BN926" s="100"/>
      <c r="BP926" s="104"/>
      <c r="BQ926" s="104"/>
    </row>
    <row r="927" spans="1:69" ht="12.75">
      <c r="A927" s="101"/>
      <c r="B927" s="1"/>
      <c r="F927" s="102"/>
      <c r="G927" s="1"/>
      <c r="K927" s="100"/>
      <c r="L927" s="103"/>
      <c r="M927" s="103"/>
      <c r="N927" s="103"/>
      <c r="O927" s="103"/>
      <c r="P927" s="100"/>
      <c r="U927" s="100"/>
      <c r="Z927" s="100"/>
      <c r="AE927" s="100"/>
      <c r="AJ927" s="100"/>
      <c r="AL927" s="78"/>
      <c r="AM927" s="78"/>
      <c r="AN927" s="100"/>
      <c r="AQ927" s="78"/>
      <c r="AR927" s="100"/>
      <c r="AT927" s="78"/>
      <c r="AU927" s="100"/>
      <c r="AX927" s="78"/>
      <c r="AY927" s="100"/>
      <c r="BC927" s="100"/>
      <c r="BF927" s="78"/>
      <c r="BG927" s="100"/>
      <c r="BJ927" s="78"/>
      <c r="BK927" s="100"/>
      <c r="BN927" s="100"/>
      <c r="BP927" s="104"/>
      <c r="BQ927" s="104"/>
    </row>
    <row r="928" spans="1:69" ht="12.75">
      <c r="A928" s="101"/>
      <c r="B928" s="1"/>
      <c r="F928" s="102"/>
      <c r="G928" s="1"/>
      <c r="K928" s="100"/>
      <c r="L928" s="103"/>
      <c r="M928" s="103"/>
      <c r="N928" s="103"/>
      <c r="O928" s="103"/>
      <c r="P928" s="100"/>
      <c r="U928" s="100"/>
      <c r="Z928" s="100"/>
      <c r="AE928" s="100"/>
      <c r="AJ928" s="100"/>
      <c r="AL928" s="78"/>
      <c r="AM928" s="78"/>
      <c r="AN928" s="100"/>
      <c r="AQ928" s="78"/>
      <c r="AR928" s="100"/>
      <c r="AT928" s="78"/>
      <c r="AU928" s="100"/>
      <c r="AX928" s="78"/>
      <c r="AY928" s="100"/>
      <c r="BC928" s="100"/>
      <c r="BF928" s="78"/>
      <c r="BG928" s="100"/>
      <c r="BJ928" s="78"/>
      <c r="BK928" s="100"/>
      <c r="BN928" s="100"/>
      <c r="BP928" s="104"/>
      <c r="BQ928" s="104"/>
    </row>
    <row r="929" spans="1:69" ht="12.75">
      <c r="A929" s="101"/>
      <c r="B929" s="1"/>
      <c r="F929" s="102"/>
      <c r="G929" s="1"/>
      <c r="K929" s="100"/>
      <c r="L929" s="103"/>
      <c r="M929" s="103"/>
      <c r="N929" s="103"/>
      <c r="O929" s="103"/>
      <c r="P929" s="100"/>
      <c r="U929" s="100"/>
      <c r="Z929" s="100"/>
      <c r="AE929" s="100"/>
      <c r="AJ929" s="100"/>
      <c r="AL929" s="78"/>
      <c r="AM929" s="78"/>
      <c r="AN929" s="100"/>
      <c r="AQ929" s="78"/>
      <c r="AR929" s="100"/>
      <c r="AT929" s="78"/>
      <c r="AU929" s="100"/>
      <c r="AX929" s="78"/>
      <c r="AY929" s="100"/>
      <c r="BC929" s="100"/>
      <c r="BF929" s="78"/>
      <c r="BG929" s="100"/>
      <c r="BJ929" s="78"/>
      <c r="BK929" s="100"/>
      <c r="BN929" s="100"/>
      <c r="BP929" s="104"/>
      <c r="BQ929" s="104"/>
    </row>
    <row r="930" spans="1:69" ht="12.75">
      <c r="A930" s="101"/>
      <c r="B930" s="1"/>
      <c r="F930" s="102"/>
      <c r="G930" s="1"/>
      <c r="K930" s="100"/>
      <c r="L930" s="103"/>
      <c r="M930" s="103"/>
      <c r="N930" s="103"/>
      <c r="O930" s="103"/>
      <c r="P930" s="100"/>
      <c r="U930" s="100"/>
      <c r="Z930" s="100"/>
      <c r="AE930" s="100"/>
      <c r="AJ930" s="100"/>
      <c r="AL930" s="78"/>
      <c r="AM930" s="78"/>
      <c r="AN930" s="100"/>
      <c r="AQ930" s="78"/>
      <c r="AR930" s="100"/>
      <c r="AT930" s="78"/>
      <c r="AU930" s="100"/>
      <c r="AX930" s="78"/>
      <c r="AY930" s="100"/>
      <c r="BC930" s="100"/>
      <c r="BF930" s="78"/>
      <c r="BG930" s="100"/>
      <c r="BJ930" s="78"/>
      <c r="BK930" s="100"/>
      <c r="BN930" s="100"/>
      <c r="BP930" s="104"/>
      <c r="BQ930" s="104"/>
    </row>
    <row r="931" spans="1:69" ht="12.75">
      <c r="A931" s="101"/>
      <c r="B931" s="1"/>
      <c r="F931" s="102"/>
      <c r="G931" s="1"/>
      <c r="K931" s="100"/>
      <c r="L931" s="103"/>
      <c r="M931" s="103"/>
      <c r="N931" s="103"/>
      <c r="O931" s="103"/>
      <c r="P931" s="100"/>
      <c r="U931" s="100"/>
      <c r="Z931" s="100"/>
      <c r="AE931" s="100"/>
      <c r="AJ931" s="100"/>
      <c r="AL931" s="78"/>
      <c r="AM931" s="78"/>
      <c r="AN931" s="100"/>
      <c r="AQ931" s="78"/>
      <c r="AR931" s="100"/>
      <c r="AT931" s="78"/>
      <c r="AU931" s="100"/>
      <c r="AX931" s="78"/>
      <c r="AY931" s="100"/>
      <c r="BC931" s="100"/>
      <c r="BF931" s="78"/>
      <c r="BG931" s="100"/>
      <c r="BJ931" s="78"/>
      <c r="BK931" s="100"/>
      <c r="BN931" s="100"/>
      <c r="BP931" s="104"/>
      <c r="BQ931" s="104"/>
    </row>
    <row r="932" spans="1:69" ht="12.75">
      <c r="A932" s="101"/>
      <c r="B932" s="1"/>
      <c r="F932" s="102"/>
      <c r="G932" s="1"/>
      <c r="K932" s="100"/>
      <c r="L932" s="103"/>
      <c r="M932" s="103"/>
      <c r="N932" s="103"/>
      <c r="O932" s="103"/>
      <c r="P932" s="100"/>
      <c r="U932" s="100"/>
      <c r="Z932" s="100"/>
      <c r="AE932" s="100"/>
      <c r="AJ932" s="100"/>
      <c r="AL932" s="78"/>
      <c r="AM932" s="78"/>
      <c r="AN932" s="100"/>
      <c r="AQ932" s="78"/>
      <c r="AR932" s="100"/>
      <c r="AT932" s="78"/>
      <c r="AU932" s="100"/>
      <c r="AX932" s="78"/>
      <c r="AY932" s="100"/>
      <c r="BC932" s="100"/>
      <c r="BF932" s="78"/>
      <c r="BG932" s="100"/>
      <c r="BJ932" s="78"/>
      <c r="BK932" s="100"/>
      <c r="BN932" s="100"/>
      <c r="BP932" s="104"/>
      <c r="BQ932" s="104"/>
    </row>
    <row r="933" spans="1:69" ht="12.75">
      <c r="A933" s="101"/>
      <c r="B933" s="1"/>
      <c r="F933" s="102"/>
      <c r="G933" s="1"/>
      <c r="K933" s="100"/>
      <c r="L933" s="103"/>
      <c r="M933" s="103"/>
      <c r="N933" s="103"/>
      <c r="O933" s="103"/>
      <c r="P933" s="100"/>
      <c r="U933" s="100"/>
      <c r="Z933" s="100"/>
      <c r="AE933" s="100"/>
      <c r="AJ933" s="100"/>
      <c r="AL933" s="78"/>
      <c r="AM933" s="78"/>
      <c r="AN933" s="100"/>
      <c r="AQ933" s="78"/>
      <c r="AR933" s="100"/>
      <c r="AT933" s="78"/>
      <c r="AU933" s="100"/>
      <c r="AX933" s="78"/>
      <c r="AY933" s="100"/>
      <c r="BC933" s="100"/>
      <c r="BF933" s="78"/>
      <c r="BG933" s="100"/>
      <c r="BJ933" s="78"/>
      <c r="BK933" s="100"/>
      <c r="BN933" s="100"/>
      <c r="BP933" s="104"/>
      <c r="BQ933" s="104"/>
    </row>
    <row r="934" spans="1:69" ht="12.75">
      <c r="A934" s="101"/>
      <c r="B934" s="1"/>
      <c r="F934" s="102"/>
      <c r="G934" s="1"/>
      <c r="K934" s="100"/>
      <c r="L934" s="103"/>
      <c r="M934" s="103"/>
      <c r="N934" s="103"/>
      <c r="O934" s="103"/>
      <c r="P934" s="100"/>
      <c r="U934" s="100"/>
      <c r="Z934" s="100"/>
      <c r="AE934" s="100"/>
      <c r="AJ934" s="100"/>
      <c r="AL934" s="78"/>
      <c r="AM934" s="78"/>
      <c r="AN934" s="100"/>
      <c r="AQ934" s="78"/>
      <c r="AR934" s="100"/>
      <c r="AT934" s="78"/>
      <c r="AU934" s="100"/>
      <c r="AX934" s="78"/>
      <c r="AY934" s="100"/>
      <c r="BC934" s="100"/>
      <c r="BF934" s="78"/>
      <c r="BG934" s="100"/>
      <c r="BJ934" s="78"/>
      <c r="BK934" s="100"/>
      <c r="BN934" s="100"/>
      <c r="BP934" s="104"/>
      <c r="BQ934" s="104"/>
    </row>
    <row r="935" spans="1:69" ht="12.75">
      <c r="A935" s="101"/>
      <c r="B935" s="1"/>
      <c r="F935" s="102"/>
      <c r="G935" s="1"/>
      <c r="K935" s="100"/>
      <c r="L935" s="103"/>
      <c r="M935" s="103"/>
      <c r="N935" s="103"/>
      <c r="O935" s="103"/>
      <c r="P935" s="100"/>
      <c r="U935" s="100"/>
      <c r="Z935" s="100"/>
      <c r="AE935" s="100"/>
      <c r="AJ935" s="100"/>
      <c r="AL935" s="78"/>
      <c r="AM935" s="78"/>
      <c r="AN935" s="100"/>
      <c r="AQ935" s="78"/>
      <c r="AR935" s="100"/>
      <c r="AT935" s="78"/>
      <c r="AU935" s="100"/>
      <c r="AX935" s="78"/>
      <c r="AY935" s="100"/>
      <c r="BC935" s="100"/>
      <c r="BF935" s="78"/>
      <c r="BG935" s="100"/>
      <c r="BJ935" s="78"/>
      <c r="BK935" s="100"/>
      <c r="BN935" s="100"/>
      <c r="BP935" s="104"/>
      <c r="BQ935" s="104"/>
    </row>
    <row r="936" spans="1:69" ht="12.75">
      <c r="A936" s="101"/>
      <c r="B936" s="1"/>
      <c r="F936" s="102"/>
      <c r="G936" s="1"/>
      <c r="K936" s="100"/>
      <c r="L936" s="103"/>
      <c r="M936" s="103"/>
      <c r="N936" s="103"/>
      <c r="O936" s="103"/>
      <c r="P936" s="100"/>
      <c r="U936" s="100"/>
      <c r="Z936" s="100"/>
      <c r="AE936" s="100"/>
      <c r="AJ936" s="100"/>
      <c r="AL936" s="78"/>
      <c r="AM936" s="78"/>
      <c r="AN936" s="100"/>
      <c r="AQ936" s="78"/>
      <c r="AR936" s="100"/>
      <c r="AT936" s="78"/>
      <c r="AU936" s="100"/>
      <c r="AX936" s="78"/>
      <c r="AY936" s="100"/>
      <c r="BC936" s="100"/>
      <c r="BF936" s="78"/>
      <c r="BG936" s="100"/>
      <c r="BJ936" s="78"/>
      <c r="BK936" s="100"/>
      <c r="BN936" s="100"/>
      <c r="BP936" s="104"/>
      <c r="BQ936" s="104"/>
    </row>
    <row r="937" spans="1:69" ht="12.75">
      <c r="A937" s="101"/>
      <c r="B937" s="1"/>
      <c r="F937" s="102"/>
      <c r="G937" s="1"/>
      <c r="K937" s="100"/>
      <c r="L937" s="103"/>
      <c r="M937" s="103"/>
      <c r="N937" s="103"/>
      <c r="O937" s="103"/>
      <c r="P937" s="100"/>
      <c r="U937" s="100"/>
      <c r="Z937" s="100"/>
      <c r="AE937" s="100"/>
      <c r="AJ937" s="100"/>
      <c r="AL937" s="78"/>
      <c r="AM937" s="78"/>
      <c r="AN937" s="100"/>
      <c r="AQ937" s="78"/>
      <c r="AR937" s="100"/>
      <c r="AT937" s="78"/>
      <c r="AU937" s="100"/>
      <c r="AX937" s="78"/>
      <c r="AY937" s="100"/>
      <c r="BC937" s="100"/>
      <c r="BF937" s="78"/>
      <c r="BG937" s="100"/>
      <c r="BJ937" s="78"/>
      <c r="BK937" s="100"/>
      <c r="BN937" s="100"/>
      <c r="BP937" s="104"/>
      <c r="BQ937" s="104"/>
    </row>
    <row r="938" spans="1:69" ht="12.75">
      <c r="A938" s="101"/>
      <c r="B938" s="1"/>
      <c r="F938" s="102"/>
      <c r="G938" s="1"/>
      <c r="K938" s="100"/>
      <c r="L938" s="103"/>
      <c r="M938" s="103"/>
      <c r="N938" s="103"/>
      <c r="O938" s="103"/>
      <c r="P938" s="100"/>
      <c r="U938" s="100"/>
      <c r="Z938" s="100"/>
      <c r="AE938" s="100"/>
      <c r="AJ938" s="100"/>
      <c r="AL938" s="78"/>
      <c r="AM938" s="78"/>
      <c r="AN938" s="100"/>
      <c r="AQ938" s="78"/>
      <c r="AR938" s="100"/>
      <c r="AT938" s="78"/>
      <c r="AU938" s="100"/>
      <c r="AX938" s="78"/>
      <c r="AY938" s="100"/>
      <c r="BC938" s="100"/>
      <c r="BF938" s="78"/>
      <c r="BG938" s="100"/>
      <c r="BJ938" s="78"/>
      <c r="BK938" s="100"/>
      <c r="BN938" s="100"/>
      <c r="BP938" s="104"/>
      <c r="BQ938" s="104"/>
    </row>
    <row r="939" spans="1:69" ht="12.75">
      <c r="A939" s="101"/>
      <c r="B939" s="1"/>
      <c r="F939" s="102"/>
      <c r="G939" s="1"/>
      <c r="K939" s="100"/>
      <c r="L939" s="103"/>
      <c r="M939" s="103"/>
      <c r="N939" s="103"/>
      <c r="O939" s="103"/>
      <c r="P939" s="100"/>
      <c r="U939" s="100"/>
      <c r="Z939" s="100"/>
      <c r="AE939" s="100"/>
      <c r="AJ939" s="100"/>
      <c r="AL939" s="78"/>
      <c r="AM939" s="78"/>
      <c r="AN939" s="100"/>
      <c r="AQ939" s="78"/>
      <c r="AR939" s="100"/>
      <c r="AT939" s="78"/>
      <c r="AU939" s="100"/>
      <c r="AX939" s="78"/>
      <c r="AY939" s="100"/>
      <c r="BC939" s="100"/>
      <c r="BF939" s="78"/>
      <c r="BG939" s="100"/>
      <c r="BJ939" s="78"/>
      <c r="BK939" s="100"/>
      <c r="BN939" s="100"/>
      <c r="BP939" s="104"/>
      <c r="BQ939" s="104"/>
    </row>
    <row r="940" spans="1:69" ht="12.75">
      <c r="A940" s="101"/>
      <c r="B940" s="1"/>
      <c r="F940" s="102"/>
      <c r="G940" s="1"/>
      <c r="K940" s="100"/>
      <c r="L940" s="103"/>
      <c r="M940" s="103"/>
      <c r="N940" s="103"/>
      <c r="O940" s="103"/>
      <c r="P940" s="100"/>
      <c r="U940" s="100"/>
      <c r="Z940" s="100"/>
      <c r="AE940" s="100"/>
      <c r="AJ940" s="100"/>
      <c r="AL940" s="78"/>
      <c r="AM940" s="78"/>
      <c r="AN940" s="100"/>
      <c r="AQ940" s="78"/>
      <c r="AR940" s="100"/>
      <c r="AT940" s="78"/>
      <c r="AU940" s="100"/>
      <c r="AX940" s="78"/>
      <c r="AY940" s="100"/>
      <c r="BC940" s="100"/>
      <c r="BF940" s="78"/>
      <c r="BG940" s="100"/>
      <c r="BJ940" s="78"/>
      <c r="BK940" s="100"/>
      <c r="BN940" s="100"/>
      <c r="BP940" s="104"/>
      <c r="BQ940" s="104"/>
    </row>
    <row r="941" spans="1:69" ht="12.75">
      <c r="A941" s="101"/>
      <c r="B941" s="1"/>
      <c r="F941" s="102"/>
      <c r="G941" s="1"/>
      <c r="K941" s="100"/>
      <c r="L941" s="103"/>
      <c r="M941" s="103"/>
      <c r="N941" s="103"/>
      <c r="O941" s="103"/>
      <c r="P941" s="100"/>
      <c r="U941" s="100"/>
      <c r="Z941" s="100"/>
      <c r="AE941" s="100"/>
      <c r="AJ941" s="100"/>
      <c r="AL941" s="78"/>
      <c r="AM941" s="78"/>
      <c r="AN941" s="100"/>
      <c r="AQ941" s="78"/>
      <c r="AR941" s="100"/>
      <c r="AT941" s="78"/>
      <c r="AU941" s="100"/>
      <c r="AX941" s="78"/>
      <c r="AY941" s="100"/>
      <c r="BC941" s="100"/>
      <c r="BF941" s="78"/>
      <c r="BG941" s="100"/>
      <c r="BJ941" s="78"/>
      <c r="BK941" s="100"/>
      <c r="BN941" s="100"/>
      <c r="BP941" s="104"/>
      <c r="BQ941" s="104"/>
    </row>
    <row r="942" spans="1:69" ht="12.75">
      <c r="A942" s="101"/>
      <c r="B942" s="1"/>
      <c r="F942" s="102"/>
      <c r="G942" s="1"/>
      <c r="K942" s="100"/>
      <c r="L942" s="103"/>
      <c r="M942" s="103"/>
      <c r="N942" s="103"/>
      <c r="O942" s="103"/>
      <c r="P942" s="100"/>
      <c r="U942" s="100"/>
      <c r="Z942" s="100"/>
      <c r="AE942" s="100"/>
      <c r="AJ942" s="100"/>
      <c r="AL942" s="78"/>
      <c r="AM942" s="78"/>
      <c r="AN942" s="100"/>
      <c r="AQ942" s="78"/>
      <c r="AR942" s="100"/>
      <c r="AT942" s="78"/>
      <c r="AU942" s="100"/>
      <c r="AX942" s="78"/>
      <c r="AY942" s="100"/>
      <c r="BC942" s="100"/>
      <c r="BF942" s="78"/>
      <c r="BG942" s="100"/>
      <c r="BJ942" s="78"/>
      <c r="BK942" s="100"/>
      <c r="BN942" s="100"/>
      <c r="BP942" s="104"/>
      <c r="BQ942" s="104"/>
    </row>
    <row r="943" spans="1:69" ht="12.75">
      <c r="A943" s="101"/>
      <c r="B943" s="1"/>
      <c r="F943" s="102"/>
      <c r="G943" s="1"/>
      <c r="K943" s="100"/>
      <c r="L943" s="103"/>
      <c r="M943" s="103"/>
      <c r="N943" s="103"/>
      <c r="O943" s="103"/>
      <c r="P943" s="100"/>
      <c r="U943" s="100"/>
      <c r="Z943" s="100"/>
      <c r="AE943" s="100"/>
      <c r="AJ943" s="100"/>
      <c r="AL943" s="78"/>
      <c r="AM943" s="78"/>
      <c r="AN943" s="100"/>
      <c r="AQ943" s="78"/>
      <c r="AR943" s="100"/>
      <c r="AT943" s="78"/>
      <c r="AU943" s="100"/>
      <c r="AX943" s="78"/>
      <c r="AY943" s="100"/>
      <c r="BC943" s="100"/>
      <c r="BF943" s="78"/>
      <c r="BG943" s="100"/>
      <c r="BJ943" s="78"/>
      <c r="BK943" s="100"/>
      <c r="BN943" s="100"/>
      <c r="BP943" s="104"/>
      <c r="BQ943" s="104"/>
    </row>
    <row r="944" spans="1:69" ht="12.75">
      <c r="A944" s="101"/>
      <c r="B944" s="1"/>
      <c r="F944" s="102"/>
      <c r="G944" s="1"/>
      <c r="K944" s="100"/>
      <c r="L944" s="103"/>
      <c r="M944" s="103"/>
      <c r="N944" s="103"/>
      <c r="O944" s="103"/>
      <c r="P944" s="100"/>
      <c r="U944" s="100"/>
      <c r="Z944" s="100"/>
      <c r="AE944" s="100"/>
      <c r="AJ944" s="100"/>
      <c r="AL944" s="78"/>
      <c r="AM944" s="78"/>
      <c r="AN944" s="100"/>
      <c r="AQ944" s="78"/>
      <c r="AR944" s="100"/>
      <c r="AT944" s="78"/>
      <c r="AU944" s="100"/>
      <c r="AX944" s="78"/>
      <c r="AY944" s="100"/>
      <c r="BC944" s="100"/>
      <c r="BF944" s="78"/>
      <c r="BG944" s="100"/>
      <c r="BJ944" s="78"/>
      <c r="BK944" s="100"/>
      <c r="BN944" s="100"/>
      <c r="BP944" s="104"/>
      <c r="BQ944" s="104"/>
    </row>
    <row r="945" spans="1:69" ht="12.75">
      <c r="A945" s="101"/>
      <c r="B945" s="1"/>
      <c r="F945" s="102"/>
      <c r="G945" s="1"/>
      <c r="K945" s="100"/>
      <c r="L945" s="103"/>
      <c r="M945" s="103"/>
      <c r="N945" s="103"/>
      <c r="O945" s="103"/>
      <c r="P945" s="100"/>
      <c r="U945" s="100"/>
      <c r="Z945" s="100"/>
      <c r="AE945" s="100"/>
      <c r="AJ945" s="100"/>
      <c r="AL945" s="78"/>
      <c r="AM945" s="78"/>
      <c r="AN945" s="100"/>
      <c r="AQ945" s="78"/>
      <c r="AR945" s="100"/>
      <c r="AT945" s="78"/>
      <c r="AU945" s="100"/>
      <c r="AX945" s="78"/>
      <c r="AY945" s="100"/>
      <c r="BC945" s="100"/>
      <c r="BF945" s="78"/>
      <c r="BG945" s="100"/>
      <c r="BJ945" s="78"/>
      <c r="BK945" s="100"/>
      <c r="BN945" s="100"/>
      <c r="BP945" s="104"/>
      <c r="BQ945" s="104"/>
    </row>
    <row r="946" spans="1:69" ht="12.75">
      <c r="A946" s="101"/>
      <c r="B946" s="1"/>
      <c r="F946" s="102"/>
      <c r="G946" s="1"/>
      <c r="K946" s="100"/>
      <c r="L946" s="103"/>
      <c r="M946" s="103"/>
      <c r="N946" s="103"/>
      <c r="O946" s="103"/>
      <c r="P946" s="100"/>
      <c r="U946" s="100"/>
      <c r="Z946" s="100"/>
      <c r="AE946" s="100"/>
      <c r="AJ946" s="100"/>
      <c r="AL946" s="78"/>
      <c r="AM946" s="78"/>
      <c r="AN946" s="100"/>
      <c r="AQ946" s="78"/>
      <c r="AR946" s="100"/>
      <c r="AT946" s="78"/>
      <c r="AU946" s="100"/>
      <c r="AX946" s="78"/>
      <c r="AY946" s="100"/>
      <c r="BC946" s="100"/>
      <c r="BF946" s="78"/>
      <c r="BG946" s="100"/>
      <c r="BJ946" s="78"/>
      <c r="BK946" s="100"/>
      <c r="BN946" s="100"/>
      <c r="BP946" s="104"/>
      <c r="BQ946" s="104"/>
    </row>
    <row r="947" spans="1:69" ht="12.75">
      <c r="A947" s="101"/>
      <c r="B947" s="1"/>
      <c r="F947" s="102"/>
      <c r="G947" s="1"/>
      <c r="K947" s="100"/>
      <c r="L947" s="103"/>
      <c r="M947" s="103"/>
      <c r="N947" s="103"/>
      <c r="O947" s="103"/>
      <c r="P947" s="100"/>
      <c r="U947" s="100"/>
      <c r="Z947" s="100"/>
      <c r="AE947" s="100"/>
      <c r="AJ947" s="100"/>
      <c r="AL947" s="78"/>
      <c r="AM947" s="78"/>
      <c r="AN947" s="100"/>
      <c r="AQ947" s="78"/>
      <c r="AR947" s="100"/>
      <c r="AT947" s="78"/>
      <c r="AU947" s="100"/>
      <c r="AX947" s="78"/>
      <c r="AY947" s="100"/>
      <c r="BC947" s="100"/>
      <c r="BF947" s="78"/>
      <c r="BG947" s="100"/>
      <c r="BJ947" s="78"/>
      <c r="BK947" s="100"/>
      <c r="BN947" s="100"/>
      <c r="BP947" s="104"/>
      <c r="BQ947" s="104"/>
    </row>
    <row r="948" spans="1:69" ht="12.75">
      <c r="A948" s="101"/>
      <c r="B948" s="1"/>
      <c r="F948" s="102"/>
      <c r="G948" s="1"/>
      <c r="K948" s="100"/>
      <c r="L948" s="103"/>
      <c r="M948" s="103"/>
      <c r="N948" s="103"/>
      <c r="O948" s="103"/>
      <c r="P948" s="100"/>
      <c r="U948" s="100"/>
      <c r="Z948" s="100"/>
      <c r="AE948" s="100"/>
      <c r="AJ948" s="100"/>
      <c r="AL948" s="78"/>
      <c r="AM948" s="78"/>
      <c r="AN948" s="100"/>
      <c r="AQ948" s="78"/>
      <c r="AR948" s="100"/>
      <c r="AT948" s="78"/>
      <c r="AU948" s="100"/>
      <c r="AX948" s="78"/>
      <c r="AY948" s="100"/>
      <c r="BC948" s="100"/>
      <c r="BF948" s="78"/>
      <c r="BG948" s="100"/>
      <c r="BJ948" s="78"/>
      <c r="BK948" s="100"/>
      <c r="BN948" s="100"/>
      <c r="BP948" s="104"/>
      <c r="BQ948" s="104"/>
    </row>
    <row r="949" spans="1:69" ht="12.75">
      <c r="A949" s="101"/>
      <c r="B949" s="1"/>
      <c r="F949" s="102"/>
      <c r="G949" s="1"/>
      <c r="K949" s="100"/>
      <c r="L949" s="103"/>
      <c r="M949" s="103"/>
      <c r="N949" s="103"/>
      <c r="O949" s="103"/>
      <c r="P949" s="100"/>
      <c r="U949" s="100"/>
      <c r="Z949" s="100"/>
      <c r="AE949" s="100"/>
      <c r="AJ949" s="100"/>
      <c r="AL949" s="78"/>
      <c r="AM949" s="78"/>
      <c r="AN949" s="100"/>
      <c r="AQ949" s="78"/>
      <c r="AR949" s="100"/>
      <c r="AT949" s="78"/>
      <c r="AU949" s="100"/>
      <c r="AX949" s="78"/>
      <c r="AY949" s="100"/>
      <c r="BC949" s="100"/>
      <c r="BF949" s="78"/>
      <c r="BG949" s="100"/>
      <c r="BJ949" s="78"/>
      <c r="BK949" s="100"/>
      <c r="BN949" s="100"/>
      <c r="BP949" s="104"/>
      <c r="BQ949" s="104"/>
    </row>
    <row r="950" spans="1:69" ht="12.75">
      <c r="A950" s="101"/>
      <c r="B950" s="1"/>
      <c r="F950" s="102"/>
      <c r="G950" s="1"/>
      <c r="K950" s="100"/>
      <c r="L950" s="103"/>
      <c r="M950" s="103"/>
      <c r="N950" s="103"/>
      <c r="O950" s="103"/>
      <c r="P950" s="100"/>
      <c r="U950" s="100"/>
      <c r="Z950" s="100"/>
      <c r="AE950" s="100"/>
      <c r="AJ950" s="100"/>
      <c r="AL950" s="78"/>
      <c r="AM950" s="78"/>
      <c r="AN950" s="100"/>
      <c r="AQ950" s="78"/>
      <c r="AR950" s="100"/>
      <c r="AT950" s="78"/>
      <c r="AU950" s="100"/>
      <c r="AX950" s="78"/>
      <c r="AY950" s="100"/>
      <c r="BC950" s="100"/>
      <c r="BF950" s="78"/>
      <c r="BG950" s="100"/>
      <c r="BJ950" s="78"/>
      <c r="BK950" s="100"/>
      <c r="BN950" s="100"/>
      <c r="BP950" s="104"/>
      <c r="BQ950" s="104"/>
    </row>
    <row r="951" spans="1:69" ht="12.75">
      <c r="A951" s="101"/>
      <c r="B951" s="1"/>
      <c r="F951" s="102"/>
      <c r="G951" s="1"/>
      <c r="K951" s="100"/>
      <c r="L951" s="103"/>
      <c r="M951" s="103"/>
      <c r="N951" s="103"/>
      <c r="O951" s="103"/>
      <c r="P951" s="100"/>
      <c r="U951" s="100"/>
      <c r="Z951" s="100"/>
      <c r="AE951" s="100"/>
      <c r="AJ951" s="100"/>
      <c r="AL951" s="78"/>
      <c r="AM951" s="78"/>
      <c r="AN951" s="100"/>
      <c r="AQ951" s="78"/>
      <c r="AR951" s="100"/>
      <c r="AT951" s="78"/>
      <c r="AU951" s="100"/>
      <c r="AX951" s="78"/>
      <c r="AY951" s="100"/>
      <c r="BC951" s="100"/>
      <c r="BF951" s="78"/>
      <c r="BG951" s="100"/>
      <c r="BJ951" s="78"/>
      <c r="BK951" s="100"/>
      <c r="BN951" s="100"/>
      <c r="BP951" s="104"/>
      <c r="BQ951" s="104"/>
    </row>
    <row r="952" spans="1:69" ht="12.75">
      <c r="A952" s="101"/>
      <c r="B952" s="1"/>
      <c r="F952" s="102"/>
      <c r="G952" s="1"/>
      <c r="K952" s="100"/>
      <c r="L952" s="103"/>
      <c r="M952" s="103"/>
      <c r="N952" s="103"/>
      <c r="O952" s="103"/>
      <c r="P952" s="100"/>
      <c r="U952" s="100"/>
      <c r="Z952" s="100"/>
      <c r="AE952" s="100"/>
      <c r="AJ952" s="100"/>
      <c r="AL952" s="78"/>
      <c r="AM952" s="78"/>
      <c r="AN952" s="100"/>
      <c r="AQ952" s="78"/>
      <c r="AR952" s="100"/>
      <c r="AT952" s="78"/>
      <c r="AU952" s="100"/>
      <c r="AX952" s="78"/>
      <c r="AY952" s="100"/>
      <c r="BC952" s="100"/>
      <c r="BF952" s="78"/>
      <c r="BG952" s="100"/>
      <c r="BJ952" s="78"/>
      <c r="BK952" s="100"/>
      <c r="BN952" s="100"/>
      <c r="BP952" s="104"/>
      <c r="BQ952" s="104"/>
    </row>
    <row r="953" spans="1:69" ht="12.75">
      <c r="A953" s="101"/>
      <c r="B953" s="1"/>
      <c r="F953" s="102"/>
      <c r="G953" s="1"/>
      <c r="K953" s="100"/>
      <c r="L953" s="103"/>
      <c r="M953" s="103"/>
      <c r="N953" s="103"/>
      <c r="O953" s="103"/>
      <c r="P953" s="100"/>
      <c r="U953" s="100"/>
      <c r="Z953" s="100"/>
      <c r="AE953" s="100"/>
      <c r="AJ953" s="100"/>
      <c r="AL953" s="78"/>
      <c r="AM953" s="78"/>
      <c r="AN953" s="100"/>
      <c r="AQ953" s="78"/>
      <c r="AR953" s="100"/>
      <c r="AT953" s="78"/>
      <c r="AU953" s="100"/>
      <c r="AX953" s="78"/>
      <c r="AY953" s="100"/>
      <c r="BC953" s="100"/>
      <c r="BF953" s="78"/>
      <c r="BG953" s="100"/>
      <c r="BJ953" s="78"/>
      <c r="BK953" s="100"/>
      <c r="BN953" s="100"/>
      <c r="BP953" s="104"/>
      <c r="BQ953" s="104"/>
    </row>
    <row r="954" spans="1:69" ht="12.75">
      <c r="A954" s="101"/>
      <c r="B954" s="1"/>
      <c r="F954" s="102"/>
      <c r="G954" s="1"/>
      <c r="K954" s="100"/>
      <c r="L954" s="103"/>
      <c r="M954" s="103"/>
      <c r="N954" s="103"/>
      <c r="O954" s="103"/>
      <c r="P954" s="100"/>
      <c r="U954" s="100"/>
      <c r="Z954" s="100"/>
      <c r="AE954" s="100"/>
      <c r="AJ954" s="100"/>
      <c r="AL954" s="78"/>
      <c r="AM954" s="78"/>
      <c r="AN954" s="100"/>
      <c r="AQ954" s="78"/>
      <c r="AR954" s="100"/>
      <c r="AT954" s="78"/>
      <c r="AU954" s="100"/>
      <c r="AX954" s="78"/>
      <c r="AY954" s="100"/>
      <c r="BC954" s="100"/>
      <c r="BF954" s="78"/>
      <c r="BG954" s="100"/>
      <c r="BJ954" s="78"/>
      <c r="BK954" s="100"/>
      <c r="BN954" s="100"/>
      <c r="BP954" s="104"/>
      <c r="BQ954" s="104"/>
    </row>
    <row r="955" spans="1:69" ht="12.75">
      <c r="A955" s="101"/>
      <c r="B955" s="1"/>
      <c r="F955" s="102"/>
      <c r="G955" s="1"/>
      <c r="K955" s="100"/>
      <c r="L955" s="103"/>
      <c r="M955" s="103"/>
      <c r="N955" s="103"/>
      <c r="O955" s="103"/>
      <c r="P955" s="100"/>
      <c r="U955" s="100"/>
      <c r="Z955" s="100"/>
      <c r="AE955" s="100"/>
      <c r="AJ955" s="100"/>
      <c r="AL955" s="78"/>
      <c r="AM955" s="78"/>
      <c r="AN955" s="100"/>
      <c r="AQ955" s="78"/>
      <c r="AR955" s="100"/>
      <c r="AT955" s="78"/>
      <c r="AU955" s="100"/>
      <c r="AX955" s="78"/>
      <c r="AY955" s="100"/>
      <c r="BC955" s="100"/>
      <c r="BF955" s="78"/>
      <c r="BG955" s="100"/>
      <c r="BJ955" s="78"/>
      <c r="BK955" s="100"/>
      <c r="BN955" s="100"/>
      <c r="BP955" s="104"/>
      <c r="BQ955" s="104"/>
    </row>
    <row r="956" spans="1:69" ht="12.75">
      <c r="A956" s="101"/>
      <c r="B956" s="1"/>
      <c r="F956" s="102"/>
      <c r="G956" s="1"/>
      <c r="K956" s="100"/>
      <c r="L956" s="103"/>
      <c r="M956" s="103"/>
      <c r="N956" s="103"/>
      <c r="O956" s="103"/>
      <c r="P956" s="100"/>
      <c r="U956" s="100"/>
      <c r="Z956" s="100"/>
      <c r="AE956" s="100"/>
      <c r="AJ956" s="100"/>
      <c r="AL956" s="78"/>
      <c r="AM956" s="78"/>
      <c r="AN956" s="100"/>
      <c r="AQ956" s="78"/>
      <c r="AR956" s="100"/>
      <c r="AT956" s="78"/>
      <c r="AU956" s="100"/>
      <c r="AX956" s="78"/>
      <c r="AY956" s="100"/>
      <c r="BC956" s="100"/>
      <c r="BF956" s="78"/>
      <c r="BG956" s="100"/>
      <c r="BJ956" s="78"/>
      <c r="BK956" s="100"/>
      <c r="BN956" s="100"/>
      <c r="BP956" s="104"/>
      <c r="BQ956" s="104"/>
    </row>
    <row r="957" spans="1:69" ht="12.75">
      <c r="A957" s="101"/>
      <c r="B957" s="1"/>
      <c r="F957" s="102"/>
      <c r="G957" s="1"/>
      <c r="K957" s="100"/>
      <c r="L957" s="103"/>
      <c r="M957" s="103"/>
      <c r="N957" s="103"/>
      <c r="O957" s="103"/>
      <c r="P957" s="100"/>
      <c r="U957" s="100"/>
      <c r="Z957" s="100"/>
      <c r="AE957" s="100"/>
      <c r="AJ957" s="100"/>
      <c r="AL957" s="78"/>
      <c r="AM957" s="78"/>
      <c r="AN957" s="100"/>
      <c r="AQ957" s="78"/>
      <c r="AR957" s="100"/>
      <c r="AT957" s="78"/>
      <c r="AU957" s="100"/>
      <c r="AX957" s="78"/>
      <c r="AY957" s="100"/>
      <c r="BC957" s="100"/>
      <c r="BF957" s="78"/>
      <c r="BG957" s="100"/>
      <c r="BJ957" s="78"/>
      <c r="BK957" s="100"/>
      <c r="BN957" s="100"/>
      <c r="BP957" s="104"/>
      <c r="BQ957" s="104"/>
    </row>
    <row r="958" spans="1:69" ht="12.75">
      <c r="A958" s="101"/>
      <c r="B958" s="1"/>
      <c r="F958" s="102"/>
      <c r="G958" s="1"/>
      <c r="K958" s="100"/>
      <c r="L958" s="103"/>
      <c r="M958" s="103"/>
      <c r="N958" s="103"/>
      <c r="O958" s="103"/>
      <c r="P958" s="100"/>
      <c r="U958" s="100"/>
      <c r="Z958" s="100"/>
      <c r="AE958" s="100"/>
      <c r="AJ958" s="100"/>
      <c r="AL958" s="78"/>
      <c r="AM958" s="78"/>
      <c r="AN958" s="100"/>
      <c r="AQ958" s="78"/>
      <c r="AR958" s="100"/>
      <c r="AT958" s="78"/>
      <c r="AU958" s="100"/>
      <c r="AX958" s="78"/>
      <c r="AY958" s="100"/>
      <c r="BC958" s="100"/>
      <c r="BF958" s="78"/>
      <c r="BG958" s="100"/>
      <c r="BJ958" s="78"/>
      <c r="BK958" s="100"/>
      <c r="BN958" s="100"/>
      <c r="BP958" s="104"/>
      <c r="BQ958" s="104"/>
    </row>
    <row r="959" spans="1:69" ht="12.75">
      <c r="A959" s="101"/>
      <c r="B959" s="1"/>
      <c r="F959" s="102"/>
      <c r="G959" s="1"/>
      <c r="K959" s="100"/>
      <c r="L959" s="103"/>
      <c r="M959" s="103"/>
      <c r="N959" s="103"/>
      <c r="O959" s="103"/>
      <c r="P959" s="100"/>
      <c r="U959" s="100"/>
      <c r="Z959" s="100"/>
      <c r="AE959" s="100"/>
      <c r="AJ959" s="100"/>
      <c r="AL959" s="78"/>
      <c r="AM959" s="78"/>
      <c r="AN959" s="100"/>
      <c r="AQ959" s="78"/>
      <c r="AR959" s="100"/>
      <c r="AT959" s="78"/>
      <c r="AU959" s="100"/>
      <c r="AX959" s="78"/>
      <c r="AY959" s="100"/>
      <c r="BC959" s="100"/>
      <c r="BF959" s="78"/>
      <c r="BG959" s="100"/>
      <c r="BJ959" s="78"/>
      <c r="BK959" s="100"/>
      <c r="BN959" s="100"/>
      <c r="BP959" s="104"/>
      <c r="BQ959" s="104"/>
    </row>
    <row r="960" spans="1:69" ht="12.75">
      <c r="A960" s="101"/>
      <c r="B960" s="1"/>
      <c r="F960" s="102"/>
      <c r="G960" s="1"/>
      <c r="K960" s="100"/>
      <c r="L960" s="103"/>
      <c r="M960" s="103"/>
      <c r="N960" s="103"/>
      <c r="O960" s="103"/>
      <c r="P960" s="100"/>
      <c r="U960" s="100"/>
      <c r="Z960" s="100"/>
      <c r="AE960" s="100"/>
      <c r="AJ960" s="100"/>
      <c r="AL960" s="78"/>
      <c r="AM960" s="78"/>
      <c r="AN960" s="100"/>
      <c r="AQ960" s="78"/>
      <c r="AR960" s="100"/>
      <c r="AT960" s="78"/>
      <c r="AU960" s="100"/>
      <c r="AX960" s="78"/>
      <c r="AY960" s="100"/>
      <c r="BC960" s="100"/>
      <c r="BF960" s="78"/>
      <c r="BG960" s="100"/>
      <c r="BJ960" s="78"/>
      <c r="BK960" s="100"/>
      <c r="BN960" s="100"/>
      <c r="BP960" s="104"/>
      <c r="BQ960" s="104"/>
    </row>
    <row r="961" spans="1:69" ht="12.75">
      <c r="A961" s="101"/>
      <c r="B961" s="1"/>
      <c r="F961" s="102"/>
      <c r="G961" s="1"/>
      <c r="K961" s="100"/>
      <c r="L961" s="103"/>
      <c r="M961" s="103"/>
      <c r="N961" s="103"/>
      <c r="O961" s="103"/>
      <c r="P961" s="100"/>
      <c r="U961" s="100"/>
      <c r="Z961" s="100"/>
      <c r="AE961" s="100"/>
      <c r="AJ961" s="100"/>
      <c r="AL961" s="78"/>
      <c r="AM961" s="78"/>
      <c r="AN961" s="100"/>
      <c r="AQ961" s="78"/>
      <c r="AR961" s="100"/>
      <c r="AT961" s="78"/>
      <c r="AU961" s="100"/>
      <c r="AX961" s="78"/>
      <c r="AY961" s="100"/>
      <c r="BC961" s="100"/>
      <c r="BF961" s="78"/>
      <c r="BG961" s="100"/>
      <c r="BJ961" s="78"/>
      <c r="BK961" s="100"/>
      <c r="BN961" s="100"/>
      <c r="BP961" s="104"/>
      <c r="BQ961" s="104"/>
    </row>
    <row r="962" spans="1:69" ht="12.75">
      <c r="A962" s="101"/>
      <c r="B962" s="1"/>
      <c r="F962" s="102"/>
      <c r="G962" s="1"/>
      <c r="K962" s="100"/>
      <c r="L962" s="103"/>
      <c r="M962" s="103"/>
      <c r="N962" s="103"/>
      <c r="O962" s="103"/>
      <c r="P962" s="100"/>
      <c r="U962" s="100"/>
      <c r="Z962" s="100"/>
      <c r="AE962" s="100"/>
      <c r="AJ962" s="100"/>
      <c r="AL962" s="78"/>
      <c r="AM962" s="78"/>
      <c r="AN962" s="100"/>
      <c r="AQ962" s="78"/>
      <c r="AR962" s="100"/>
      <c r="AT962" s="78"/>
      <c r="AU962" s="100"/>
      <c r="AX962" s="78"/>
      <c r="AY962" s="100"/>
      <c r="BC962" s="100"/>
      <c r="BF962" s="78"/>
      <c r="BG962" s="100"/>
      <c r="BJ962" s="78"/>
      <c r="BK962" s="100"/>
      <c r="BN962" s="100"/>
      <c r="BP962" s="104"/>
      <c r="BQ962" s="104"/>
    </row>
    <row r="963" spans="1:69" ht="12.75">
      <c r="A963" s="101"/>
      <c r="B963" s="1"/>
      <c r="F963" s="102"/>
      <c r="G963" s="1"/>
      <c r="K963" s="100"/>
      <c r="L963" s="103"/>
      <c r="M963" s="103"/>
      <c r="N963" s="103"/>
      <c r="O963" s="103"/>
      <c r="P963" s="100"/>
      <c r="U963" s="100"/>
      <c r="Z963" s="100"/>
      <c r="AE963" s="100"/>
      <c r="AJ963" s="100"/>
      <c r="AL963" s="78"/>
      <c r="AM963" s="78"/>
      <c r="AN963" s="100"/>
      <c r="AQ963" s="78"/>
      <c r="AR963" s="100"/>
      <c r="AT963" s="78"/>
      <c r="AU963" s="100"/>
      <c r="AX963" s="78"/>
      <c r="AY963" s="100"/>
      <c r="BC963" s="100"/>
      <c r="BF963" s="78"/>
      <c r="BG963" s="100"/>
      <c r="BJ963" s="78"/>
      <c r="BK963" s="100"/>
      <c r="BN963" s="100"/>
      <c r="BP963" s="104"/>
      <c r="BQ963" s="104"/>
    </row>
    <row r="964" spans="1:69" ht="12.75">
      <c r="A964" s="101"/>
      <c r="B964" s="1"/>
      <c r="F964" s="102"/>
      <c r="G964" s="1"/>
      <c r="K964" s="100"/>
      <c r="L964" s="103"/>
      <c r="M964" s="103"/>
      <c r="N964" s="103"/>
      <c r="O964" s="103"/>
      <c r="P964" s="100"/>
      <c r="U964" s="100"/>
      <c r="Z964" s="100"/>
      <c r="AE964" s="100"/>
      <c r="AJ964" s="100"/>
      <c r="AL964" s="78"/>
      <c r="AM964" s="78"/>
      <c r="AN964" s="100"/>
      <c r="AQ964" s="78"/>
      <c r="AR964" s="100"/>
      <c r="AT964" s="78"/>
      <c r="AU964" s="100"/>
      <c r="AX964" s="78"/>
      <c r="AY964" s="100"/>
      <c r="BC964" s="100"/>
      <c r="BF964" s="78"/>
      <c r="BG964" s="100"/>
      <c r="BJ964" s="78"/>
      <c r="BK964" s="100"/>
      <c r="BN964" s="100"/>
      <c r="BP964" s="104"/>
      <c r="BQ964" s="104"/>
    </row>
    <row r="965" spans="1:69" ht="12.75">
      <c r="A965" s="101"/>
      <c r="B965" s="1"/>
      <c r="F965" s="102"/>
      <c r="G965" s="1"/>
      <c r="K965" s="100"/>
      <c r="L965" s="103"/>
      <c r="M965" s="103"/>
      <c r="N965" s="103"/>
      <c r="O965" s="103"/>
      <c r="P965" s="100"/>
      <c r="U965" s="100"/>
      <c r="Z965" s="100"/>
      <c r="AE965" s="100"/>
      <c r="AJ965" s="100"/>
      <c r="AL965" s="78"/>
      <c r="AM965" s="78"/>
      <c r="AN965" s="100"/>
      <c r="AQ965" s="78"/>
      <c r="AR965" s="100"/>
      <c r="AT965" s="78"/>
      <c r="AU965" s="100"/>
      <c r="AX965" s="78"/>
      <c r="AY965" s="100"/>
      <c r="BC965" s="100"/>
      <c r="BF965" s="78"/>
      <c r="BG965" s="100"/>
      <c r="BJ965" s="78"/>
      <c r="BK965" s="100"/>
      <c r="BN965" s="100"/>
      <c r="BP965" s="104"/>
      <c r="BQ965" s="104"/>
    </row>
    <row r="966" spans="1:69" ht="12.75">
      <c r="A966" s="101"/>
      <c r="B966" s="1"/>
      <c r="F966" s="102"/>
      <c r="G966" s="1"/>
      <c r="K966" s="100"/>
      <c r="L966" s="103"/>
      <c r="M966" s="103"/>
      <c r="N966" s="103"/>
      <c r="O966" s="103"/>
      <c r="P966" s="100"/>
      <c r="U966" s="100"/>
      <c r="Z966" s="100"/>
      <c r="AE966" s="100"/>
      <c r="AJ966" s="100"/>
      <c r="AL966" s="78"/>
      <c r="AM966" s="78"/>
      <c r="AN966" s="100"/>
      <c r="AQ966" s="78"/>
      <c r="AR966" s="100"/>
      <c r="AT966" s="78"/>
      <c r="AU966" s="100"/>
      <c r="AX966" s="78"/>
      <c r="AY966" s="100"/>
      <c r="BC966" s="100"/>
      <c r="BF966" s="78"/>
      <c r="BG966" s="100"/>
      <c r="BJ966" s="78"/>
      <c r="BK966" s="100"/>
      <c r="BN966" s="100"/>
      <c r="BP966" s="104"/>
      <c r="BQ966" s="104"/>
    </row>
    <row r="967" spans="1:69" ht="12.75">
      <c r="A967" s="101"/>
      <c r="B967" s="1"/>
      <c r="F967" s="102"/>
      <c r="G967" s="1"/>
      <c r="K967" s="100"/>
      <c r="L967" s="103"/>
      <c r="M967" s="103"/>
      <c r="N967" s="103"/>
      <c r="O967" s="103"/>
      <c r="P967" s="100"/>
      <c r="U967" s="100"/>
      <c r="Z967" s="100"/>
      <c r="AE967" s="100"/>
      <c r="AJ967" s="100"/>
      <c r="AL967" s="78"/>
      <c r="AM967" s="78"/>
      <c r="AN967" s="100"/>
      <c r="AQ967" s="78"/>
      <c r="AR967" s="100"/>
      <c r="AT967" s="78"/>
      <c r="AU967" s="100"/>
      <c r="AX967" s="78"/>
      <c r="AY967" s="100"/>
      <c r="BC967" s="100"/>
      <c r="BF967" s="78"/>
      <c r="BG967" s="100"/>
      <c r="BJ967" s="78"/>
      <c r="BK967" s="100"/>
      <c r="BN967" s="100"/>
      <c r="BP967" s="104"/>
      <c r="BQ967" s="104"/>
    </row>
    <row r="968" spans="1:69" ht="12.75">
      <c r="A968" s="101"/>
      <c r="B968" s="1"/>
      <c r="F968" s="102"/>
      <c r="G968" s="1"/>
      <c r="K968" s="100"/>
      <c r="L968" s="103"/>
      <c r="M968" s="103"/>
      <c r="N968" s="103"/>
      <c r="O968" s="103"/>
      <c r="P968" s="100"/>
      <c r="U968" s="100"/>
      <c r="Z968" s="100"/>
      <c r="AE968" s="100"/>
      <c r="AJ968" s="100"/>
      <c r="AL968" s="78"/>
      <c r="AM968" s="78"/>
      <c r="AN968" s="100"/>
      <c r="AQ968" s="78"/>
      <c r="AR968" s="100"/>
      <c r="AT968" s="78"/>
      <c r="AU968" s="100"/>
      <c r="AX968" s="78"/>
      <c r="AY968" s="100"/>
      <c r="BC968" s="100"/>
      <c r="BF968" s="78"/>
      <c r="BG968" s="100"/>
      <c r="BJ968" s="78"/>
      <c r="BK968" s="100"/>
      <c r="BN968" s="100"/>
      <c r="BP968" s="104"/>
      <c r="BQ968" s="104"/>
    </row>
    <row r="969" spans="1:69" ht="12.75">
      <c r="A969" s="101"/>
      <c r="B969" s="1"/>
      <c r="F969" s="102"/>
      <c r="G969" s="1"/>
      <c r="K969" s="100"/>
      <c r="L969" s="103"/>
      <c r="M969" s="103"/>
      <c r="N969" s="103"/>
      <c r="O969" s="103"/>
      <c r="P969" s="100"/>
      <c r="U969" s="100"/>
      <c r="Z969" s="100"/>
      <c r="AE969" s="100"/>
      <c r="AJ969" s="100"/>
      <c r="AL969" s="78"/>
      <c r="AM969" s="78"/>
      <c r="AN969" s="100"/>
      <c r="AQ969" s="78"/>
      <c r="AR969" s="100"/>
      <c r="AT969" s="78"/>
      <c r="AU969" s="100"/>
      <c r="AX969" s="78"/>
      <c r="AY969" s="100"/>
      <c r="BC969" s="100"/>
      <c r="BF969" s="78"/>
      <c r="BG969" s="100"/>
      <c r="BJ969" s="78"/>
      <c r="BK969" s="100"/>
      <c r="BN969" s="100"/>
      <c r="BP969" s="104"/>
      <c r="BQ969" s="104"/>
    </row>
    <row r="970" spans="1:69" ht="12.75">
      <c r="A970" s="101"/>
      <c r="B970" s="1"/>
      <c r="F970" s="102"/>
      <c r="G970" s="1"/>
      <c r="K970" s="100"/>
      <c r="L970" s="103"/>
      <c r="M970" s="103"/>
      <c r="N970" s="103"/>
      <c r="O970" s="103"/>
      <c r="P970" s="100"/>
      <c r="U970" s="100"/>
      <c r="Z970" s="100"/>
      <c r="AE970" s="100"/>
      <c r="AJ970" s="100"/>
      <c r="AL970" s="78"/>
      <c r="AM970" s="78"/>
      <c r="AN970" s="100"/>
      <c r="AQ970" s="78"/>
      <c r="AR970" s="100"/>
      <c r="AT970" s="78"/>
      <c r="AU970" s="100"/>
      <c r="AX970" s="78"/>
      <c r="AY970" s="100"/>
      <c r="BC970" s="100"/>
      <c r="BF970" s="78"/>
      <c r="BG970" s="100"/>
      <c r="BJ970" s="78"/>
      <c r="BK970" s="100"/>
      <c r="BN970" s="100"/>
      <c r="BP970" s="104"/>
      <c r="BQ970" s="104"/>
    </row>
    <row r="971" spans="1:69" ht="12.75">
      <c r="A971" s="101"/>
      <c r="B971" s="1"/>
      <c r="F971" s="102"/>
      <c r="G971" s="1"/>
      <c r="K971" s="100"/>
      <c r="L971" s="103"/>
      <c r="M971" s="103"/>
      <c r="N971" s="103"/>
      <c r="O971" s="103"/>
      <c r="P971" s="100"/>
      <c r="U971" s="100"/>
      <c r="Z971" s="100"/>
      <c r="AE971" s="100"/>
      <c r="AJ971" s="100"/>
      <c r="AL971" s="78"/>
      <c r="AM971" s="78"/>
      <c r="AN971" s="100"/>
      <c r="AQ971" s="78"/>
      <c r="AR971" s="100"/>
      <c r="AT971" s="78"/>
      <c r="AU971" s="100"/>
      <c r="AX971" s="78"/>
      <c r="AY971" s="100"/>
      <c r="BC971" s="100"/>
      <c r="BF971" s="78"/>
      <c r="BG971" s="100"/>
      <c r="BJ971" s="78"/>
      <c r="BK971" s="100"/>
      <c r="BN971" s="100"/>
      <c r="BP971" s="104"/>
      <c r="BQ971" s="104"/>
    </row>
    <row r="972" spans="1:69" ht="12.75">
      <c r="A972" s="101"/>
      <c r="B972" s="1"/>
      <c r="F972" s="102"/>
      <c r="G972" s="1"/>
      <c r="K972" s="100"/>
      <c r="L972" s="103"/>
      <c r="M972" s="103"/>
      <c r="N972" s="103"/>
      <c r="O972" s="103"/>
      <c r="P972" s="100"/>
      <c r="U972" s="100"/>
      <c r="Z972" s="100"/>
      <c r="AE972" s="100"/>
      <c r="AJ972" s="100"/>
      <c r="AL972" s="78"/>
      <c r="AM972" s="78"/>
      <c r="AN972" s="100"/>
      <c r="AQ972" s="78"/>
      <c r="AR972" s="100"/>
      <c r="AT972" s="78"/>
      <c r="AU972" s="100"/>
      <c r="AX972" s="78"/>
      <c r="AY972" s="100"/>
      <c r="BC972" s="100"/>
      <c r="BF972" s="78"/>
      <c r="BG972" s="100"/>
      <c r="BJ972" s="78"/>
      <c r="BK972" s="100"/>
      <c r="BN972" s="100"/>
      <c r="BP972" s="104"/>
      <c r="BQ972" s="104"/>
    </row>
    <row r="973" spans="1:69" ht="12.75">
      <c r="A973" s="101"/>
      <c r="B973" s="1"/>
      <c r="F973" s="102"/>
      <c r="G973" s="1"/>
      <c r="K973" s="100"/>
      <c r="L973" s="103"/>
      <c r="M973" s="103"/>
      <c r="N973" s="103"/>
      <c r="O973" s="103"/>
      <c r="P973" s="100"/>
      <c r="U973" s="100"/>
      <c r="Z973" s="100"/>
      <c r="AE973" s="100"/>
      <c r="AJ973" s="100"/>
      <c r="AL973" s="78"/>
      <c r="AM973" s="78"/>
      <c r="AN973" s="100"/>
      <c r="AQ973" s="78"/>
      <c r="AR973" s="100"/>
      <c r="AT973" s="78"/>
      <c r="AU973" s="100"/>
      <c r="AX973" s="78"/>
      <c r="AY973" s="100"/>
      <c r="BC973" s="100"/>
      <c r="BF973" s="78"/>
      <c r="BG973" s="100"/>
      <c r="BJ973" s="78"/>
      <c r="BK973" s="100"/>
      <c r="BN973" s="100"/>
      <c r="BP973" s="104"/>
      <c r="BQ973" s="104"/>
    </row>
    <row r="974" spans="1:69" ht="12.75">
      <c r="A974" s="101"/>
      <c r="B974" s="1"/>
      <c r="F974" s="102"/>
      <c r="G974" s="1"/>
      <c r="K974" s="100"/>
      <c r="L974" s="103"/>
      <c r="M974" s="103"/>
      <c r="N974" s="103"/>
      <c r="O974" s="103"/>
      <c r="P974" s="100"/>
      <c r="U974" s="100"/>
      <c r="Z974" s="100"/>
      <c r="AE974" s="100"/>
      <c r="AJ974" s="100"/>
      <c r="AL974" s="78"/>
      <c r="AM974" s="78"/>
      <c r="AN974" s="100"/>
      <c r="AQ974" s="78"/>
      <c r="AR974" s="100"/>
      <c r="AT974" s="78"/>
      <c r="AU974" s="100"/>
      <c r="AX974" s="78"/>
      <c r="AY974" s="100"/>
      <c r="BC974" s="100"/>
      <c r="BF974" s="78"/>
      <c r="BG974" s="100"/>
      <c r="BJ974" s="78"/>
      <c r="BK974" s="100"/>
      <c r="BN974" s="100"/>
      <c r="BP974" s="104"/>
      <c r="BQ974" s="104"/>
    </row>
    <row r="975" spans="1:69" ht="12.75">
      <c r="A975" s="101"/>
      <c r="B975" s="1"/>
      <c r="F975" s="102"/>
      <c r="G975" s="1"/>
      <c r="K975" s="100"/>
      <c r="L975" s="103"/>
      <c r="M975" s="103"/>
      <c r="N975" s="103"/>
      <c r="O975" s="103"/>
      <c r="P975" s="100"/>
      <c r="U975" s="100"/>
      <c r="Z975" s="100"/>
      <c r="AE975" s="100"/>
      <c r="AJ975" s="100"/>
      <c r="AL975" s="78"/>
      <c r="AM975" s="78"/>
      <c r="AN975" s="100"/>
      <c r="AQ975" s="78"/>
      <c r="AR975" s="100"/>
      <c r="AT975" s="78"/>
      <c r="AU975" s="100"/>
      <c r="AX975" s="78"/>
      <c r="AY975" s="100"/>
      <c r="BC975" s="100"/>
      <c r="BF975" s="78"/>
      <c r="BG975" s="100"/>
      <c r="BJ975" s="78"/>
      <c r="BK975" s="100"/>
      <c r="BN975" s="100"/>
      <c r="BP975" s="104"/>
      <c r="BQ975" s="104"/>
    </row>
    <row r="976" spans="1:69" ht="12.75">
      <c r="A976" s="101"/>
      <c r="B976" s="1"/>
      <c r="F976" s="102"/>
      <c r="G976" s="1"/>
      <c r="K976" s="100"/>
      <c r="L976" s="103"/>
      <c r="M976" s="103"/>
      <c r="N976" s="103"/>
      <c r="O976" s="103"/>
      <c r="P976" s="100"/>
      <c r="U976" s="100"/>
      <c r="Z976" s="100"/>
      <c r="AE976" s="100"/>
      <c r="AJ976" s="100"/>
      <c r="AL976" s="78"/>
      <c r="AM976" s="78"/>
      <c r="AN976" s="100"/>
      <c r="AQ976" s="78"/>
      <c r="AR976" s="100"/>
      <c r="AT976" s="78"/>
      <c r="AU976" s="100"/>
      <c r="AX976" s="78"/>
      <c r="AY976" s="100"/>
      <c r="BC976" s="100"/>
      <c r="BF976" s="78"/>
      <c r="BG976" s="100"/>
      <c r="BJ976" s="78"/>
      <c r="BK976" s="100"/>
      <c r="BN976" s="100"/>
      <c r="BP976" s="104"/>
      <c r="BQ976" s="104"/>
    </row>
    <row r="977" spans="1:69" ht="12.75">
      <c r="A977" s="101"/>
      <c r="B977" s="1"/>
      <c r="F977" s="102"/>
      <c r="G977" s="1"/>
      <c r="K977" s="100"/>
      <c r="L977" s="103"/>
      <c r="M977" s="103"/>
      <c r="N977" s="103"/>
      <c r="O977" s="103"/>
      <c r="P977" s="100"/>
      <c r="U977" s="100"/>
      <c r="Z977" s="100"/>
      <c r="AE977" s="100"/>
      <c r="AJ977" s="100"/>
      <c r="AL977" s="78"/>
      <c r="AM977" s="78"/>
      <c r="AN977" s="100"/>
      <c r="AQ977" s="78"/>
      <c r="AR977" s="100"/>
      <c r="AT977" s="78"/>
      <c r="AU977" s="100"/>
      <c r="AX977" s="78"/>
      <c r="AY977" s="100"/>
      <c r="BC977" s="100"/>
      <c r="BF977" s="78"/>
      <c r="BG977" s="100"/>
      <c r="BJ977" s="78"/>
      <c r="BK977" s="100"/>
      <c r="BN977" s="100"/>
      <c r="BP977" s="104"/>
      <c r="BQ977" s="104"/>
    </row>
    <row r="978" spans="1:69" ht="12.75">
      <c r="A978" s="101"/>
      <c r="B978" s="1"/>
      <c r="F978" s="102"/>
      <c r="G978" s="1"/>
      <c r="K978" s="100"/>
      <c r="L978" s="103"/>
      <c r="M978" s="103"/>
      <c r="N978" s="103"/>
      <c r="O978" s="103"/>
      <c r="P978" s="100"/>
      <c r="U978" s="100"/>
      <c r="Z978" s="100"/>
      <c r="AE978" s="100"/>
      <c r="AJ978" s="100"/>
      <c r="AL978" s="78"/>
      <c r="AM978" s="78"/>
      <c r="AN978" s="100"/>
      <c r="AQ978" s="78"/>
      <c r="AR978" s="100"/>
      <c r="AT978" s="78"/>
      <c r="AU978" s="100"/>
      <c r="AX978" s="78"/>
      <c r="AY978" s="100"/>
      <c r="BC978" s="100"/>
      <c r="BF978" s="78"/>
      <c r="BG978" s="100"/>
      <c r="BJ978" s="78"/>
      <c r="BK978" s="100"/>
      <c r="BN978" s="100"/>
      <c r="BP978" s="104"/>
      <c r="BQ978" s="104"/>
    </row>
    <row r="979" spans="1:69" ht="12.75">
      <c r="A979" s="101"/>
      <c r="B979" s="1"/>
      <c r="F979" s="102"/>
      <c r="G979" s="1"/>
      <c r="K979" s="100"/>
      <c r="L979" s="103"/>
      <c r="M979" s="103"/>
      <c r="N979" s="103"/>
      <c r="O979" s="103"/>
      <c r="P979" s="100"/>
      <c r="U979" s="100"/>
      <c r="Z979" s="100"/>
      <c r="AE979" s="100"/>
      <c r="AJ979" s="100"/>
      <c r="AL979" s="78"/>
      <c r="AM979" s="78"/>
      <c r="AN979" s="100"/>
      <c r="AQ979" s="78"/>
      <c r="AR979" s="100"/>
      <c r="AT979" s="78"/>
      <c r="AU979" s="100"/>
      <c r="AX979" s="78"/>
      <c r="AY979" s="100"/>
      <c r="BC979" s="100"/>
      <c r="BF979" s="78"/>
      <c r="BG979" s="100"/>
      <c r="BJ979" s="78"/>
      <c r="BK979" s="100"/>
      <c r="BN979" s="100"/>
      <c r="BP979" s="104"/>
      <c r="BQ979" s="104"/>
    </row>
    <row r="980" spans="1:69" ht="12.75">
      <c r="A980" s="101"/>
      <c r="B980" s="1"/>
      <c r="F980" s="102"/>
      <c r="G980" s="1"/>
      <c r="K980" s="100"/>
      <c r="L980" s="103"/>
      <c r="M980" s="103"/>
      <c r="N980" s="103"/>
      <c r="O980" s="103"/>
      <c r="P980" s="100"/>
      <c r="U980" s="100"/>
      <c r="Z980" s="100"/>
      <c r="AE980" s="100"/>
      <c r="AJ980" s="100"/>
      <c r="AL980" s="78"/>
      <c r="AM980" s="78"/>
      <c r="AN980" s="100"/>
      <c r="AQ980" s="78"/>
      <c r="AR980" s="100"/>
      <c r="AT980" s="78"/>
      <c r="AU980" s="100"/>
      <c r="AX980" s="78"/>
      <c r="AY980" s="100"/>
      <c r="BC980" s="100"/>
      <c r="BF980" s="78"/>
      <c r="BG980" s="100"/>
      <c r="BJ980" s="78"/>
      <c r="BK980" s="100"/>
      <c r="BN980" s="100"/>
      <c r="BP980" s="104"/>
      <c r="BQ980" s="104"/>
    </row>
    <row r="981" spans="1:69" ht="12.75">
      <c r="A981" s="101"/>
      <c r="B981" s="1"/>
      <c r="F981" s="102"/>
      <c r="G981" s="1"/>
      <c r="K981" s="100"/>
      <c r="L981" s="103"/>
      <c r="M981" s="103"/>
      <c r="N981" s="103"/>
      <c r="O981" s="103"/>
      <c r="P981" s="100"/>
      <c r="U981" s="100"/>
      <c r="Z981" s="100"/>
      <c r="AE981" s="100"/>
      <c r="AJ981" s="100"/>
      <c r="AL981" s="78"/>
      <c r="AM981" s="78"/>
      <c r="AN981" s="100"/>
      <c r="AQ981" s="78"/>
      <c r="AR981" s="100"/>
      <c r="AT981" s="78"/>
      <c r="AU981" s="100"/>
      <c r="AX981" s="78"/>
      <c r="AY981" s="100"/>
      <c r="BC981" s="100"/>
      <c r="BF981" s="78"/>
      <c r="BG981" s="100"/>
      <c r="BJ981" s="78"/>
      <c r="BK981" s="100"/>
      <c r="BN981" s="100"/>
      <c r="BP981" s="104"/>
      <c r="BQ981" s="104"/>
    </row>
    <row r="982" spans="1:69" ht="12.75">
      <c r="A982" s="101"/>
      <c r="B982" s="1"/>
      <c r="F982" s="102"/>
      <c r="G982" s="1"/>
      <c r="K982" s="100"/>
      <c r="L982" s="103"/>
      <c r="M982" s="103"/>
      <c r="N982" s="103"/>
      <c r="O982" s="103"/>
      <c r="P982" s="100"/>
      <c r="U982" s="100"/>
      <c r="Z982" s="100"/>
      <c r="AE982" s="100"/>
      <c r="AJ982" s="100"/>
      <c r="AL982" s="78"/>
      <c r="AM982" s="78"/>
      <c r="AN982" s="100"/>
      <c r="AQ982" s="78"/>
      <c r="AR982" s="100"/>
      <c r="AT982" s="78"/>
      <c r="AU982" s="100"/>
      <c r="AX982" s="78"/>
      <c r="AY982" s="100"/>
      <c r="BC982" s="100"/>
      <c r="BF982" s="78"/>
      <c r="BG982" s="100"/>
      <c r="BJ982" s="78"/>
      <c r="BK982" s="100"/>
      <c r="BN982" s="100"/>
      <c r="BP982" s="104"/>
      <c r="BQ982" s="104"/>
    </row>
    <row r="983" spans="1:69" ht="12.75">
      <c r="A983" s="101"/>
      <c r="B983" s="1"/>
      <c r="F983" s="102"/>
      <c r="G983" s="1"/>
      <c r="K983" s="100"/>
      <c r="L983" s="103"/>
      <c r="M983" s="103"/>
      <c r="N983" s="103"/>
      <c r="O983" s="103"/>
      <c r="P983" s="100"/>
      <c r="U983" s="100"/>
      <c r="Z983" s="100"/>
      <c r="AE983" s="100"/>
      <c r="AJ983" s="100"/>
      <c r="AL983" s="78"/>
      <c r="AM983" s="78"/>
      <c r="AN983" s="100"/>
      <c r="AQ983" s="78"/>
      <c r="AR983" s="100"/>
      <c r="AT983" s="78"/>
      <c r="AU983" s="100"/>
      <c r="AX983" s="78"/>
      <c r="AY983" s="100"/>
      <c r="BC983" s="100"/>
      <c r="BF983" s="78"/>
      <c r="BG983" s="100"/>
      <c r="BJ983" s="78"/>
      <c r="BK983" s="100"/>
      <c r="BN983" s="100"/>
      <c r="BP983" s="104"/>
      <c r="BQ983" s="104"/>
    </row>
    <row r="984" spans="1:69" ht="12.75">
      <c r="A984" s="101"/>
      <c r="B984" s="1"/>
      <c r="F984" s="102"/>
      <c r="G984" s="1"/>
      <c r="K984" s="100"/>
      <c r="L984" s="103"/>
      <c r="M984" s="103"/>
      <c r="N984" s="103"/>
      <c r="O984" s="103"/>
      <c r="P984" s="100"/>
      <c r="U984" s="100"/>
      <c r="Z984" s="100"/>
      <c r="AE984" s="100"/>
      <c r="AJ984" s="100"/>
      <c r="AL984" s="78"/>
      <c r="AM984" s="78"/>
      <c r="AN984" s="100"/>
      <c r="AQ984" s="78"/>
      <c r="AR984" s="100"/>
      <c r="AT984" s="78"/>
      <c r="AU984" s="100"/>
      <c r="AX984" s="78"/>
      <c r="AY984" s="100"/>
      <c r="BC984" s="100"/>
      <c r="BF984" s="78"/>
      <c r="BG984" s="100"/>
      <c r="BJ984" s="78"/>
      <c r="BK984" s="100"/>
      <c r="BN984" s="100"/>
      <c r="BP984" s="104"/>
      <c r="BQ984" s="104"/>
    </row>
    <row r="985" spans="1:69" ht="12.75">
      <c r="A985" s="101"/>
      <c r="B985" s="1"/>
      <c r="F985" s="102"/>
      <c r="G985" s="1"/>
      <c r="K985" s="100"/>
      <c r="L985" s="103"/>
      <c r="M985" s="103"/>
      <c r="N985" s="103"/>
      <c r="O985" s="103"/>
      <c r="P985" s="100"/>
      <c r="U985" s="100"/>
      <c r="Z985" s="100"/>
      <c r="AE985" s="100"/>
      <c r="AJ985" s="100"/>
      <c r="AL985" s="78"/>
      <c r="AM985" s="78"/>
      <c r="AN985" s="100"/>
      <c r="AQ985" s="78"/>
      <c r="AR985" s="100"/>
      <c r="AT985" s="78"/>
      <c r="AU985" s="100"/>
      <c r="AX985" s="78"/>
      <c r="AY985" s="100"/>
      <c r="BC985" s="100"/>
      <c r="BF985" s="78"/>
      <c r="BG985" s="100"/>
      <c r="BJ985" s="78"/>
      <c r="BK985" s="100"/>
      <c r="BN985" s="100"/>
      <c r="BP985" s="104"/>
      <c r="BQ985" s="104"/>
    </row>
    <row r="986" spans="1:69" ht="12.75">
      <c r="A986" s="101"/>
      <c r="B986" s="1"/>
      <c r="F986" s="102"/>
      <c r="G986" s="1"/>
      <c r="K986" s="100"/>
      <c r="L986" s="103"/>
      <c r="M986" s="103"/>
      <c r="N986" s="103"/>
      <c r="O986" s="103"/>
      <c r="P986" s="100"/>
      <c r="U986" s="100"/>
      <c r="Z986" s="100"/>
      <c r="AE986" s="100"/>
      <c r="AJ986" s="100"/>
      <c r="AL986" s="78"/>
      <c r="AM986" s="78"/>
      <c r="AN986" s="100"/>
      <c r="AQ986" s="78"/>
      <c r="AR986" s="100"/>
      <c r="AT986" s="78"/>
      <c r="AU986" s="100"/>
      <c r="AX986" s="78"/>
      <c r="AY986" s="100"/>
      <c r="BC986" s="100"/>
      <c r="BF986" s="78"/>
      <c r="BG986" s="100"/>
      <c r="BJ986" s="78"/>
      <c r="BK986" s="100"/>
      <c r="BN986" s="100"/>
      <c r="BP986" s="104"/>
      <c r="BQ986" s="104"/>
    </row>
    <row r="987" spans="1:69" ht="12.75">
      <c r="A987" s="101"/>
      <c r="B987" s="1"/>
      <c r="F987" s="102"/>
      <c r="G987" s="1"/>
      <c r="K987" s="100"/>
      <c r="L987" s="103"/>
      <c r="M987" s="103"/>
      <c r="N987" s="103"/>
      <c r="O987" s="103"/>
      <c r="P987" s="100"/>
      <c r="U987" s="100"/>
      <c r="Z987" s="100"/>
      <c r="AE987" s="100"/>
      <c r="AJ987" s="100"/>
      <c r="AL987" s="78"/>
      <c r="AM987" s="78"/>
      <c r="AN987" s="100"/>
      <c r="AQ987" s="78"/>
      <c r="AR987" s="100"/>
      <c r="AT987" s="78"/>
      <c r="AU987" s="100"/>
      <c r="AX987" s="78"/>
      <c r="AY987" s="100"/>
      <c r="BC987" s="100"/>
      <c r="BF987" s="78"/>
      <c r="BG987" s="100"/>
      <c r="BJ987" s="78"/>
      <c r="BK987" s="100"/>
      <c r="BN987" s="100"/>
      <c r="BP987" s="104"/>
      <c r="BQ987" s="104"/>
    </row>
    <row r="988" spans="1:69" ht="12.75">
      <c r="A988" s="101"/>
      <c r="B988" s="1"/>
      <c r="F988" s="102"/>
      <c r="G988" s="1"/>
      <c r="K988" s="100"/>
      <c r="L988" s="103"/>
      <c r="M988" s="103"/>
      <c r="N988" s="103"/>
      <c r="O988" s="103"/>
      <c r="P988" s="100"/>
      <c r="U988" s="100"/>
      <c r="Z988" s="100"/>
      <c r="AE988" s="100"/>
      <c r="AJ988" s="100"/>
      <c r="AL988" s="78"/>
      <c r="AM988" s="78"/>
      <c r="AN988" s="100"/>
      <c r="AQ988" s="78"/>
      <c r="AR988" s="100"/>
      <c r="AT988" s="78"/>
      <c r="AU988" s="100"/>
      <c r="AX988" s="78"/>
      <c r="AY988" s="100"/>
      <c r="BC988" s="100"/>
      <c r="BF988" s="78"/>
      <c r="BG988" s="100"/>
      <c r="BJ988" s="78"/>
      <c r="BK988" s="100"/>
      <c r="BN988" s="100"/>
      <c r="BP988" s="104"/>
      <c r="BQ988" s="104"/>
    </row>
    <row r="989" spans="1:69" ht="12.75">
      <c r="A989" s="101"/>
      <c r="B989" s="1"/>
      <c r="F989" s="102"/>
      <c r="G989" s="1"/>
      <c r="K989" s="100"/>
      <c r="L989" s="103"/>
      <c r="M989" s="103"/>
      <c r="N989" s="103"/>
      <c r="O989" s="103"/>
      <c r="P989" s="100"/>
      <c r="U989" s="100"/>
      <c r="Z989" s="100"/>
      <c r="AE989" s="100"/>
      <c r="AJ989" s="100"/>
      <c r="AL989" s="78"/>
      <c r="AM989" s="78"/>
      <c r="AN989" s="100"/>
      <c r="AQ989" s="78"/>
      <c r="AR989" s="100"/>
      <c r="AT989" s="78"/>
      <c r="AU989" s="100"/>
      <c r="AX989" s="78"/>
      <c r="AY989" s="100"/>
      <c r="BC989" s="100"/>
      <c r="BF989" s="78"/>
      <c r="BG989" s="100"/>
      <c r="BJ989" s="78"/>
      <c r="BK989" s="100"/>
      <c r="BN989" s="100"/>
      <c r="BP989" s="104"/>
      <c r="BQ989" s="104"/>
    </row>
    <row r="990" spans="1:69" ht="12.75">
      <c r="A990" s="101"/>
      <c r="B990" s="1"/>
      <c r="F990" s="102"/>
      <c r="G990" s="1"/>
      <c r="K990" s="100"/>
      <c r="L990" s="103"/>
      <c r="M990" s="103"/>
      <c r="N990" s="103"/>
      <c r="O990" s="103"/>
      <c r="P990" s="100"/>
      <c r="U990" s="100"/>
      <c r="Z990" s="100"/>
      <c r="AE990" s="100"/>
      <c r="AJ990" s="100"/>
      <c r="AL990" s="78"/>
      <c r="AM990" s="78"/>
      <c r="AN990" s="100"/>
      <c r="AQ990" s="78"/>
      <c r="AR990" s="100"/>
      <c r="AT990" s="78"/>
      <c r="AU990" s="100"/>
      <c r="AX990" s="78"/>
      <c r="AY990" s="100"/>
      <c r="BC990" s="100"/>
      <c r="BF990" s="78"/>
      <c r="BG990" s="100"/>
      <c r="BJ990" s="78"/>
      <c r="BK990" s="100"/>
      <c r="BN990" s="100"/>
      <c r="BP990" s="104"/>
      <c r="BQ990" s="104"/>
    </row>
    <row r="991" spans="1:69" ht="12.75">
      <c r="A991" s="101"/>
      <c r="B991" s="1"/>
      <c r="F991" s="102"/>
      <c r="G991" s="1"/>
      <c r="K991" s="100"/>
      <c r="L991" s="103"/>
      <c r="M991" s="103"/>
      <c r="N991" s="103"/>
      <c r="O991" s="103"/>
      <c r="P991" s="100"/>
      <c r="U991" s="100"/>
      <c r="Z991" s="100"/>
      <c r="AE991" s="100"/>
      <c r="AJ991" s="100"/>
      <c r="AL991" s="78"/>
      <c r="AM991" s="78"/>
      <c r="AN991" s="100"/>
      <c r="AQ991" s="78"/>
      <c r="AR991" s="100"/>
      <c r="AT991" s="78"/>
      <c r="AU991" s="100"/>
      <c r="AX991" s="78"/>
      <c r="AY991" s="100"/>
      <c r="BC991" s="100"/>
      <c r="BF991" s="78"/>
      <c r="BG991" s="100"/>
      <c r="BJ991" s="78"/>
      <c r="BK991" s="100"/>
      <c r="BN991" s="100"/>
      <c r="BP991" s="104"/>
      <c r="BQ991" s="104"/>
    </row>
    <row r="992" spans="1:69" ht="12.75">
      <c r="A992" s="101"/>
      <c r="B992" s="1"/>
      <c r="F992" s="102"/>
      <c r="G992" s="1"/>
      <c r="K992" s="100"/>
      <c r="L992" s="103"/>
      <c r="M992" s="103"/>
      <c r="N992" s="103"/>
      <c r="O992" s="103"/>
      <c r="P992" s="100"/>
      <c r="U992" s="100"/>
      <c r="Z992" s="100"/>
      <c r="AE992" s="100"/>
      <c r="AJ992" s="100"/>
      <c r="AL992" s="78"/>
      <c r="AM992" s="78"/>
      <c r="AN992" s="100"/>
      <c r="AQ992" s="78"/>
      <c r="AR992" s="100"/>
      <c r="AT992" s="78"/>
      <c r="AU992" s="100"/>
      <c r="AX992" s="78"/>
      <c r="AY992" s="100"/>
      <c r="BC992" s="100"/>
      <c r="BF992" s="78"/>
      <c r="BG992" s="100"/>
      <c r="BJ992" s="78"/>
      <c r="BK992" s="100"/>
      <c r="BN992" s="100"/>
      <c r="BP992" s="104"/>
      <c r="BQ992" s="104"/>
    </row>
    <row r="993" spans="1:69" ht="12.75">
      <c r="A993" s="101"/>
      <c r="B993" s="1"/>
      <c r="F993" s="102"/>
      <c r="G993" s="1"/>
      <c r="K993" s="100"/>
      <c r="L993" s="103"/>
      <c r="M993" s="103"/>
      <c r="N993" s="103"/>
      <c r="O993" s="103"/>
      <c r="P993" s="100"/>
      <c r="U993" s="100"/>
      <c r="Z993" s="100"/>
      <c r="AE993" s="100"/>
      <c r="AJ993" s="100"/>
      <c r="AL993" s="78"/>
      <c r="AM993" s="78"/>
      <c r="AN993" s="100"/>
      <c r="AQ993" s="78"/>
      <c r="AR993" s="100"/>
      <c r="AT993" s="78"/>
      <c r="AU993" s="100"/>
      <c r="AX993" s="78"/>
      <c r="AY993" s="100"/>
      <c r="BC993" s="100"/>
      <c r="BF993" s="78"/>
      <c r="BG993" s="100"/>
      <c r="BJ993" s="78"/>
      <c r="BK993" s="100"/>
      <c r="BN993" s="100"/>
      <c r="BP993" s="104"/>
      <c r="BQ993" s="104"/>
    </row>
    <row r="994" spans="1:69" ht="12.75">
      <c r="A994" s="101"/>
      <c r="B994" s="1"/>
      <c r="F994" s="102"/>
      <c r="G994" s="1"/>
      <c r="K994" s="100"/>
      <c r="L994" s="103"/>
      <c r="M994" s="103"/>
      <c r="N994" s="103"/>
      <c r="O994" s="103"/>
      <c r="P994" s="100"/>
      <c r="U994" s="100"/>
      <c r="Z994" s="100"/>
      <c r="AE994" s="100"/>
      <c r="AJ994" s="100"/>
      <c r="AL994" s="78"/>
      <c r="AM994" s="78"/>
      <c r="AN994" s="100"/>
      <c r="AQ994" s="78"/>
      <c r="AR994" s="100"/>
      <c r="AT994" s="78"/>
      <c r="AU994" s="100"/>
      <c r="AX994" s="78"/>
      <c r="AY994" s="100"/>
      <c r="BC994" s="100"/>
      <c r="BF994" s="78"/>
      <c r="BG994" s="100"/>
      <c r="BJ994" s="78"/>
      <c r="BK994" s="100"/>
      <c r="BN994" s="100"/>
      <c r="BP994" s="104"/>
      <c r="BQ994" s="104"/>
    </row>
    <row r="995" spans="1:69" ht="12.75">
      <c r="A995" s="101"/>
      <c r="B995" s="1"/>
      <c r="F995" s="102"/>
      <c r="G995" s="1"/>
      <c r="K995" s="100"/>
      <c r="L995" s="103"/>
      <c r="M995" s="103"/>
      <c r="N995" s="103"/>
      <c r="O995" s="103"/>
      <c r="P995" s="100"/>
      <c r="U995" s="100"/>
      <c r="Z995" s="100"/>
      <c r="AE995" s="100"/>
      <c r="AJ995" s="100"/>
      <c r="AL995" s="78"/>
      <c r="AM995" s="78"/>
      <c r="AN995" s="100"/>
      <c r="AQ995" s="78"/>
      <c r="AR995" s="100"/>
      <c r="AT995" s="78"/>
      <c r="AU995" s="100"/>
      <c r="AX995" s="78"/>
      <c r="AY995" s="100"/>
      <c r="BC995" s="100"/>
      <c r="BF995" s="78"/>
      <c r="BG995" s="100"/>
      <c r="BJ995" s="78"/>
      <c r="BK995" s="100"/>
      <c r="BN995" s="100"/>
      <c r="BP995" s="104"/>
      <c r="BQ995" s="104"/>
    </row>
    <row r="996" spans="1:69" ht="12.75">
      <c r="A996" s="101"/>
      <c r="B996" s="1"/>
      <c r="F996" s="102"/>
      <c r="G996" s="1"/>
      <c r="K996" s="100"/>
      <c r="L996" s="103"/>
      <c r="M996" s="103"/>
      <c r="N996" s="103"/>
      <c r="O996" s="103"/>
      <c r="P996" s="100"/>
      <c r="U996" s="100"/>
      <c r="Z996" s="100"/>
      <c r="AE996" s="100"/>
      <c r="AJ996" s="100"/>
      <c r="AL996" s="78"/>
      <c r="AM996" s="78"/>
      <c r="AN996" s="100"/>
      <c r="AQ996" s="78"/>
      <c r="AR996" s="100"/>
      <c r="AT996" s="78"/>
      <c r="AU996" s="100"/>
      <c r="AX996" s="78"/>
      <c r="AY996" s="100"/>
      <c r="BC996" s="100"/>
      <c r="BF996" s="78"/>
      <c r="BG996" s="100"/>
      <c r="BJ996" s="78"/>
      <c r="BK996" s="100"/>
      <c r="BN996" s="100"/>
      <c r="BP996" s="104"/>
      <c r="BQ996" s="104"/>
    </row>
    <row r="997" spans="1:69" ht="12.75">
      <c r="A997" s="101"/>
      <c r="B997" s="1"/>
      <c r="F997" s="102"/>
      <c r="G997" s="1"/>
      <c r="K997" s="100"/>
      <c r="L997" s="103"/>
      <c r="M997" s="103"/>
      <c r="N997" s="103"/>
      <c r="O997" s="103"/>
      <c r="P997" s="100"/>
      <c r="U997" s="100"/>
      <c r="Z997" s="100"/>
      <c r="AE997" s="100"/>
      <c r="AJ997" s="100"/>
      <c r="AL997" s="78"/>
      <c r="AM997" s="78"/>
      <c r="AN997" s="100"/>
      <c r="AQ997" s="78"/>
      <c r="AR997" s="100"/>
      <c r="AT997" s="78"/>
      <c r="AU997" s="100"/>
      <c r="AX997" s="78"/>
      <c r="AY997" s="100"/>
      <c r="BC997" s="100"/>
      <c r="BF997" s="78"/>
      <c r="BG997" s="100"/>
      <c r="BJ997" s="78"/>
      <c r="BK997" s="100"/>
      <c r="BN997" s="100"/>
      <c r="BP997" s="104"/>
      <c r="BQ997" s="104"/>
    </row>
    <row r="998" spans="1:69" ht="12.75">
      <c r="A998" s="105"/>
      <c r="F998" s="102"/>
      <c r="G998" s="1"/>
      <c r="L998" s="103"/>
      <c r="M998" s="103"/>
      <c r="N998" s="103"/>
      <c r="O998" s="103"/>
      <c r="AL998" s="78"/>
      <c r="AM998" s="78"/>
      <c r="AQ998" s="78"/>
      <c r="AT998" s="78"/>
      <c r="AX998" s="78"/>
      <c r="BF998" s="78"/>
      <c r="BJ998" s="78"/>
      <c r="BP998" s="104"/>
      <c r="BQ998" s="104"/>
    </row>
  </sheetData>
  <mergeCells count="16">
    <mergeCell ref="B1:E1"/>
    <mergeCell ref="G1:J1"/>
    <mergeCell ref="L1:O1"/>
    <mergeCell ref="Q1:T1"/>
    <mergeCell ref="V1:Y1"/>
    <mergeCell ref="AA1:AD1"/>
    <mergeCell ref="AF1:AI1"/>
    <mergeCell ref="BL1:BM1"/>
    <mergeCell ref="BO1:BR1"/>
    <mergeCell ref="AO1:AQ1"/>
    <mergeCell ref="AS1:AT1"/>
    <mergeCell ref="AV1:AX1"/>
    <mergeCell ref="AZ1:BB1"/>
    <mergeCell ref="BD1:BF1"/>
    <mergeCell ref="BH1:BJ1"/>
    <mergeCell ref="AK1:A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1002"/>
  <sheetViews>
    <sheetView workbookViewId="0"/>
  </sheetViews>
  <sheetFormatPr defaultColWidth="12.5703125" defaultRowHeight="15.75" customHeight="1"/>
  <cols>
    <col min="1" max="1" width="18.5703125" customWidth="1"/>
    <col min="2" max="2" width="10" customWidth="1"/>
    <col min="3" max="3" width="9" customWidth="1"/>
    <col min="4" max="4" width="8.7109375" customWidth="1"/>
    <col min="5" max="5" width="10.5703125" customWidth="1"/>
    <col min="6" max="6" width="2.140625" customWidth="1"/>
    <col min="7" max="7" width="10" customWidth="1"/>
    <col min="8" max="8" width="6" customWidth="1"/>
    <col min="9" max="9" width="2.140625" customWidth="1"/>
    <col min="10" max="10" width="65.7109375" customWidth="1"/>
    <col min="11" max="11" width="9" customWidth="1"/>
    <col min="12" max="12" width="15.42578125" customWidth="1"/>
    <col min="13" max="13" width="2.140625" customWidth="1"/>
    <col min="14" max="14" width="51.42578125" customWidth="1"/>
    <col min="15" max="15" width="8" customWidth="1"/>
    <col min="16" max="16" width="11.7109375" customWidth="1"/>
  </cols>
  <sheetData>
    <row r="1" spans="1:16" ht="15.75" customHeight="1">
      <c r="A1" s="106" t="s">
        <v>66</v>
      </c>
      <c r="B1" s="145" t="s">
        <v>58</v>
      </c>
      <c r="C1" s="130"/>
      <c r="D1" s="130"/>
      <c r="E1" s="130"/>
      <c r="F1" s="107"/>
      <c r="G1" s="146" t="s">
        <v>59</v>
      </c>
      <c r="H1" s="130"/>
      <c r="I1" s="107"/>
      <c r="J1" s="147" t="s">
        <v>27</v>
      </c>
      <c r="K1" s="130"/>
      <c r="L1" s="130"/>
      <c r="M1" s="107"/>
      <c r="N1" s="148" t="s">
        <v>29</v>
      </c>
      <c r="O1" s="130"/>
      <c r="P1" s="130"/>
    </row>
    <row r="2" spans="1:16" ht="12.75">
      <c r="A2" s="108" t="s">
        <v>61</v>
      </c>
      <c r="B2" s="109" t="s">
        <v>61</v>
      </c>
      <c r="C2" s="109" t="s">
        <v>105</v>
      </c>
      <c r="D2" s="109" t="s">
        <v>74</v>
      </c>
      <c r="E2" s="109" t="s">
        <v>94</v>
      </c>
      <c r="F2" s="110"/>
      <c r="G2" s="109" t="s">
        <v>76</v>
      </c>
      <c r="H2" s="109" t="s">
        <v>106</v>
      </c>
      <c r="I2" s="110"/>
      <c r="J2" s="109" t="s">
        <v>83</v>
      </c>
      <c r="K2" s="109" t="s">
        <v>107</v>
      </c>
      <c r="L2" s="109" t="s">
        <v>108</v>
      </c>
      <c r="M2" s="110"/>
      <c r="N2" s="111" t="s">
        <v>91</v>
      </c>
      <c r="O2" s="111" t="s">
        <v>92</v>
      </c>
      <c r="P2" s="111" t="s">
        <v>109</v>
      </c>
    </row>
    <row r="3" spans="1:16" ht="15.75" customHeight="1">
      <c r="A3" s="112">
        <v>32874</v>
      </c>
      <c r="B3" s="113">
        <v>32874</v>
      </c>
      <c r="C3" s="114">
        <v>22.68</v>
      </c>
      <c r="D3" s="114">
        <v>21.81</v>
      </c>
      <c r="E3" s="115">
        <v>3.9899999999999998E-2</v>
      </c>
      <c r="F3" s="116"/>
      <c r="G3" s="117"/>
      <c r="H3" s="114"/>
      <c r="I3" s="118"/>
      <c r="J3" s="119">
        <v>32874</v>
      </c>
      <c r="K3" s="120">
        <v>81.540000000000006</v>
      </c>
      <c r="L3" s="120">
        <v>76.010000000000005</v>
      </c>
      <c r="M3" s="118"/>
      <c r="N3" s="121">
        <v>32874</v>
      </c>
      <c r="O3" s="95">
        <v>61.728999999999999</v>
      </c>
      <c r="P3" s="122"/>
    </row>
    <row r="4" spans="1:16" ht="15.75" customHeight="1">
      <c r="A4" s="112">
        <v>32905</v>
      </c>
      <c r="B4" s="113">
        <v>32905</v>
      </c>
      <c r="C4" s="114">
        <v>21.54</v>
      </c>
      <c r="D4" s="114">
        <v>22.61</v>
      </c>
      <c r="E4" s="115">
        <v>-4.7300000000000002E-2</v>
      </c>
      <c r="F4" s="116"/>
      <c r="G4" s="113">
        <v>32905</v>
      </c>
      <c r="H4" s="91">
        <v>21.99</v>
      </c>
      <c r="I4" s="118"/>
      <c r="J4" s="119">
        <v>32905</v>
      </c>
      <c r="K4" s="120">
        <v>77.41</v>
      </c>
      <c r="L4" s="120">
        <v>81.11</v>
      </c>
      <c r="M4" s="118"/>
      <c r="N4" s="121">
        <v>32905</v>
      </c>
      <c r="O4" s="95">
        <v>62.2896</v>
      </c>
      <c r="P4" s="96">
        <v>9.1000000000000004E-3</v>
      </c>
    </row>
    <row r="5" spans="1:16" ht="15.75" customHeight="1">
      <c r="A5" s="112">
        <v>32933</v>
      </c>
      <c r="B5" s="113">
        <v>32933</v>
      </c>
      <c r="C5" s="114">
        <v>20.28</v>
      </c>
      <c r="D5" s="114">
        <v>21.73</v>
      </c>
      <c r="E5" s="115">
        <v>-6.6699999999999995E-2</v>
      </c>
      <c r="F5" s="116"/>
      <c r="G5" s="113">
        <v>32933</v>
      </c>
      <c r="H5" s="114">
        <v>19.73</v>
      </c>
      <c r="I5" s="118"/>
      <c r="J5" s="119">
        <v>32933</v>
      </c>
      <c r="K5" s="120">
        <v>67.59</v>
      </c>
      <c r="L5" s="120">
        <v>68.19</v>
      </c>
      <c r="M5" s="118"/>
      <c r="N5" s="121">
        <v>32933</v>
      </c>
      <c r="O5" s="95">
        <v>62.599899999999998</v>
      </c>
      <c r="P5" s="96">
        <v>5.0000000000000001E-3</v>
      </c>
    </row>
    <row r="6" spans="1:16" ht="15.75" customHeight="1">
      <c r="A6" s="112">
        <v>32964</v>
      </c>
      <c r="B6" s="113">
        <v>32964</v>
      </c>
      <c r="C6" s="114">
        <v>18.54</v>
      </c>
      <c r="D6" s="114">
        <v>20.2</v>
      </c>
      <c r="E6" s="115">
        <v>-8.2199999999999995E-2</v>
      </c>
      <c r="F6" s="116"/>
      <c r="G6" s="113">
        <v>32964</v>
      </c>
      <c r="H6" s="114">
        <v>19.52</v>
      </c>
      <c r="I6" s="118"/>
      <c r="J6" s="119">
        <v>32964</v>
      </c>
      <c r="K6" s="120">
        <v>81.64</v>
      </c>
      <c r="L6" s="120">
        <v>97.98</v>
      </c>
      <c r="M6" s="118"/>
      <c r="N6" s="121">
        <v>32964</v>
      </c>
      <c r="O6" s="95">
        <v>62.435899999999997</v>
      </c>
      <c r="P6" s="96">
        <v>-2.5999999999999999E-3</v>
      </c>
    </row>
    <row r="7" spans="1:16" ht="15.75" customHeight="1">
      <c r="A7" s="123">
        <v>32994</v>
      </c>
      <c r="B7" s="124">
        <v>32994</v>
      </c>
      <c r="C7" s="114">
        <v>17.399999999999999</v>
      </c>
      <c r="D7" s="114">
        <v>18.46</v>
      </c>
      <c r="E7" s="115">
        <v>-5.74E-2</v>
      </c>
      <c r="F7" s="116"/>
      <c r="G7" s="124">
        <v>32994</v>
      </c>
      <c r="H7" s="114">
        <v>17.37</v>
      </c>
      <c r="I7" s="118"/>
      <c r="J7" s="119">
        <v>32994</v>
      </c>
      <c r="K7" s="120">
        <v>86.41</v>
      </c>
      <c r="L7" s="120">
        <v>97.82</v>
      </c>
      <c r="M7" s="118"/>
      <c r="N7" s="121">
        <v>32994</v>
      </c>
      <c r="O7" s="95">
        <v>62.625799999999998</v>
      </c>
      <c r="P7" s="96">
        <v>3.0000000000000001E-3</v>
      </c>
    </row>
    <row r="8" spans="1:16" ht="15.75" customHeight="1">
      <c r="A8" s="112">
        <v>33025</v>
      </c>
      <c r="B8" s="113">
        <v>33025</v>
      </c>
      <c r="C8" s="114">
        <v>17.07</v>
      </c>
      <c r="D8" s="114">
        <v>17.52</v>
      </c>
      <c r="E8" s="115">
        <v>-2.5700000000000001E-2</v>
      </c>
      <c r="F8" s="116"/>
      <c r="G8" s="113">
        <v>33025</v>
      </c>
      <c r="H8" s="114">
        <v>15.5</v>
      </c>
      <c r="I8" s="118"/>
      <c r="J8" s="119">
        <v>33025</v>
      </c>
      <c r="K8" s="120">
        <v>79.680000000000007</v>
      </c>
      <c r="L8" s="120">
        <v>72.849999999999994</v>
      </c>
      <c r="M8" s="118"/>
      <c r="N8" s="121">
        <v>33025</v>
      </c>
      <c r="O8" s="95">
        <v>62.838200000000001</v>
      </c>
      <c r="P8" s="96">
        <v>3.3999999999999998E-3</v>
      </c>
    </row>
    <row r="9" spans="1:16" ht="15.75" customHeight="1">
      <c r="A9" s="112">
        <v>33055</v>
      </c>
      <c r="B9" s="113">
        <v>33055</v>
      </c>
      <c r="C9" s="114">
        <v>20.69</v>
      </c>
      <c r="D9" s="114">
        <v>17</v>
      </c>
      <c r="E9" s="115">
        <v>0.21709999999999999</v>
      </c>
      <c r="F9" s="116"/>
      <c r="G9" s="113">
        <v>33055</v>
      </c>
      <c r="H9" s="114">
        <v>21.11</v>
      </c>
      <c r="I9" s="118"/>
      <c r="J9" s="119">
        <v>33055</v>
      </c>
      <c r="K9" s="120">
        <v>85.79</v>
      </c>
      <c r="L9" s="120">
        <v>82.37</v>
      </c>
      <c r="M9" s="118"/>
      <c r="N9" s="121">
        <v>33055</v>
      </c>
      <c r="O9" s="95">
        <v>62.728400000000001</v>
      </c>
      <c r="P9" s="96">
        <v>-1.6999999999999999E-3</v>
      </c>
    </row>
    <row r="10" spans="1:16" ht="15.75" customHeight="1">
      <c r="A10" s="112">
        <v>33086</v>
      </c>
      <c r="B10" s="113">
        <v>33086</v>
      </c>
      <c r="C10" s="114">
        <v>27.32</v>
      </c>
      <c r="D10" s="114">
        <v>20.87</v>
      </c>
      <c r="E10" s="115">
        <v>0.30909999999999999</v>
      </c>
      <c r="F10" s="116"/>
      <c r="G10" s="113">
        <v>33086</v>
      </c>
      <c r="H10" s="114">
        <v>29.9</v>
      </c>
      <c r="I10" s="118"/>
      <c r="J10" s="119">
        <v>33086</v>
      </c>
      <c r="K10" s="120">
        <v>250.45</v>
      </c>
      <c r="L10" s="120">
        <v>353.76</v>
      </c>
      <c r="M10" s="118"/>
      <c r="N10" s="121">
        <v>33086</v>
      </c>
      <c r="O10" s="95">
        <v>62.947499999999998</v>
      </c>
      <c r="P10" s="96">
        <v>3.5000000000000001E-3</v>
      </c>
    </row>
    <row r="11" spans="1:16" ht="15.75" customHeight="1">
      <c r="A11" s="112">
        <v>33117</v>
      </c>
      <c r="B11" s="113">
        <v>33117</v>
      </c>
      <c r="C11" s="114">
        <v>39.51</v>
      </c>
      <c r="D11" s="114">
        <v>28.27</v>
      </c>
      <c r="E11" s="115">
        <v>0.39760000000000001</v>
      </c>
      <c r="F11" s="116"/>
      <c r="G11" s="113">
        <v>33117</v>
      </c>
      <c r="H11" s="114">
        <v>29.11</v>
      </c>
      <c r="I11" s="118"/>
      <c r="J11" s="119">
        <v>33117</v>
      </c>
      <c r="K11" s="120">
        <v>188.66</v>
      </c>
      <c r="L11" s="120">
        <v>262.12</v>
      </c>
      <c r="M11" s="118"/>
      <c r="N11" s="121">
        <v>33117</v>
      </c>
      <c r="O11" s="95">
        <v>62.952300000000001</v>
      </c>
      <c r="P11" s="96">
        <v>1E-4</v>
      </c>
    </row>
    <row r="12" spans="1:16" ht="15.75" customHeight="1">
      <c r="A12" s="112">
        <v>33147</v>
      </c>
      <c r="B12" s="113">
        <v>33147</v>
      </c>
      <c r="C12" s="114">
        <v>35.229999999999997</v>
      </c>
      <c r="D12" s="114">
        <v>38.450000000000003</v>
      </c>
      <c r="E12" s="115">
        <v>-8.3699999999999997E-2</v>
      </c>
      <c r="F12" s="116"/>
      <c r="G12" s="113">
        <v>33147</v>
      </c>
      <c r="H12" s="114">
        <v>30.04</v>
      </c>
      <c r="I12" s="118"/>
      <c r="J12" s="119">
        <v>33147</v>
      </c>
      <c r="K12" s="120">
        <v>143.85</v>
      </c>
      <c r="L12" s="120">
        <v>172.95</v>
      </c>
      <c r="M12" s="118"/>
      <c r="N12" s="121">
        <v>33147</v>
      </c>
      <c r="O12" s="95">
        <v>62.584499999999998</v>
      </c>
      <c r="P12" s="96">
        <v>-5.7999999999999996E-3</v>
      </c>
    </row>
    <row r="13" spans="1:16" ht="15.75" customHeight="1">
      <c r="A13" s="112">
        <v>33178</v>
      </c>
      <c r="B13" s="113">
        <v>33178</v>
      </c>
      <c r="C13" s="114">
        <v>28.85</v>
      </c>
      <c r="D13" s="114">
        <v>35.299999999999997</v>
      </c>
      <c r="E13" s="115">
        <v>-0.1827</v>
      </c>
      <c r="F13" s="116"/>
      <c r="G13" s="113">
        <v>33178</v>
      </c>
      <c r="H13" s="114">
        <v>22.16</v>
      </c>
      <c r="I13" s="118"/>
      <c r="J13" s="119">
        <v>33178</v>
      </c>
      <c r="K13" s="120">
        <v>158.74</v>
      </c>
      <c r="L13" s="120">
        <v>201.18</v>
      </c>
      <c r="M13" s="118"/>
      <c r="N13" s="121">
        <v>33178</v>
      </c>
      <c r="O13" s="95">
        <v>61.788699999999999</v>
      </c>
      <c r="P13" s="96">
        <v>-1.2699999999999999E-2</v>
      </c>
    </row>
    <row r="14" spans="1:16" ht="15.75" customHeight="1">
      <c r="A14" s="112">
        <v>33208</v>
      </c>
      <c r="B14" s="113">
        <v>33208</v>
      </c>
      <c r="C14" s="114">
        <v>28.44</v>
      </c>
      <c r="D14" s="114">
        <v>29.27</v>
      </c>
      <c r="E14" s="115">
        <v>-2.8400000000000002E-2</v>
      </c>
      <c r="F14" s="116"/>
      <c r="G14" s="113">
        <v>33208</v>
      </c>
      <c r="H14" s="114">
        <v>26.38</v>
      </c>
      <c r="I14" s="118"/>
      <c r="J14" s="119">
        <v>33208</v>
      </c>
      <c r="K14" s="120">
        <v>153.16</v>
      </c>
      <c r="L14" s="120">
        <v>194.65</v>
      </c>
      <c r="M14" s="118"/>
      <c r="N14" s="121">
        <v>33208</v>
      </c>
      <c r="O14" s="95">
        <v>61.3352</v>
      </c>
      <c r="P14" s="96">
        <v>-7.3000000000000001E-3</v>
      </c>
    </row>
    <row r="15" spans="1:16" ht="15.75" customHeight="1">
      <c r="A15" s="112">
        <v>33239</v>
      </c>
      <c r="B15" s="113">
        <v>33239</v>
      </c>
      <c r="C15" s="114">
        <v>21.54</v>
      </c>
      <c r="D15" s="114">
        <v>28.07</v>
      </c>
      <c r="E15" s="115">
        <v>-0.2326</v>
      </c>
      <c r="F15" s="116"/>
      <c r="G15" s="113">
        <v>33239</v>
      </c>
      <c r="H15" s="114">
        <v>20.91</v>
      </c>
      <c r="I15" s="118"/>
      <c r="J15" s="119">
        <v>33239</v>
      </c>
      <c r="K15" s="120">
        <v>379.25</v>
      </c>
      <c r="L15" s="120">
        <v>360.03</v>
      </c>
      <c r="M15" s="118"/>
      <c r="N15" s="121">
        <v>33239</v>
      </c>
      <c r="O15" s="95">
        <v>61.1355</v>
      </c>
      <c r="P15" s="96">
        <v>-3.3E-3</v>
      </c>
    </row>
    <row r="16" spans="1:16" ht="15.75" customHeight="1">
      <c r="A16" s="112">
        <v>33270</v>
      </c>
      <c r="B16" s="113">
        <v>33270</v>
      </c>
      <c r="C16" s="114">
        <v>19.16</v>
      </c>
      <c r="D16" s="114">
        <v>21.87</v>
      </c>
      <c r="E16" s="115">
        <v>-0.1239</v>
      </c>
      <c r="F16" s="116"/>
      <c r="G16" s="113">
        <v>33270</v>
      </c>
      <c r="H16" s="114">
        <v>21.23</v>
      </c>
      <c r="I16" s="118"/>
      <c r="J16" s="119">
        <v>33270</v>
      </c>
      <c r="K16" s="120">
        <v>339.36</v>
      </c>
      <c r="L16" s="120">
        <v>253.79</v>
      </c>
      <c r="M16" s="118"/>
      <c r="N16" s="121">
        <v>33270</v>
      </c>
      <c r="O16" s="95">
        <v>60.683799999999998</v>
      </c>
      <c r="P16" s="96">
        <v>-7.4000000000000003E-3</v>
      </c>
    </row>
    <row r="17" spans="1:16" ht="15.75" customHeight="1">
      <c r="A17" s="112">
        <v>33298</v>
      </c>
      <c r="B17" s="113">
        <v>33298</v>
      </c>
      <c r="C17" s="114">
        <v>19.63</v>
      </c>
      <c r="D17" s="114">
        <v>19.05</v>
      </c>
      <c r="E17" s="115">
        <v>3.04E-2</v>
      </c>
      <c r="F17" s="116"/>
      <c r="G17" s="113">
        <v>33298</v>
      </c>
      <c r="H17" s="114">
        <v>16.88</v>
      </c>
      <c r="I17" s="118"/>
      <c r="J17" s="119">
        <v>33298</v>
      </c>
      <c r="K17" s="120">
        <v>148.62</v>
      </c>
      <c r="L17" s="120">
        <v>133.97999999999999</v>
      </c>
      <c r="M17" s="118"/>
      <c r="N17" s="121">
        <v>33298</v>
      </c>
      <c r="O17" s="95">
        <v>60.334600000000002</v>
      </c>
      <c r="P17" s="96">
        <v>-5.7999999999999996E-3</v>
      </c>
    </row>
    <row r="18" spans="1:16" ht="15.75" customHeight="1">
      <c r="A18" s="112">
        <v>33329</v>
      </c>
      <c r="B18" s="113">
        <v>33329</v>
      </c>
      <c r="C18" s="114">
        <v>20.96</v>
      </c>
      <c r="D18" s="114">
        <v>19.55</v>
      </c>
      <c r="E18" s="115">
        <v>7.2099999999999997E-2</v>
      </c>
      <c r="F18" s="116"/>
      <c r="G18" s="113">
        <v>33329</v>
      </c>
      <c r="H18" s="114">
        <v>18.239999999999998</v>
      </c>
      <c r="I18" s="118"/>
      <c r="J18" s="119">
        <v>33329</v>
      </c>
      <c r="K18" s="120">
        <v>97.76</v>
      </c>
      <c r="L18" s="120">
        <v>100.77</v>
      </c>
      <c r="M18" s="118"/>
      <c r="N18" s="121">
        <v>33329</v>
      </c>
      <c r="O18" s="95">
        <v>60.4938</v>
      </c>
      <c r="P18" s="96">
        <v>2.5999999999999999E-3</v>
      </c>
    </row>
    <row r="19" spans="1:16" ht="15.75" customHeight="1">
      <c r="A19" s="123">
        <v>33359</v>
      </c>
      <c r="B19" s="124">
        <v>33359</v>
      </c>
      <c r="C19" s="114">
        <v>21.13</v>
      </c>
      <c r="D19" s="114">
        <v>20.86</v>
      </c>
      <c r="E19" s="115">
        <v>1.29E-2</v>
      </c>
      <c r="F19" s="116"/>
      <c r="G19" s="124">
        <v>33359</v>
      </c>
      <c r="H19" s="114">
        <v>15.93</v>
      </c>
      <c r="I19" s="118"/>
      <c r="J19" s="119">
        <v>33359</v>
      </c>
      <c r="K19" s="120">
        <v>88.57</v>
      </c>
      <c r="L19" s="120">
        <v>95.46</v>
      </c>
      <c r="M19" s="118"/>
      <c r="N19" s="121">
        <v>33359</v>
      </c>
      <c r="O19" s="95">
        <v>61.063299999999998</v>
      </c>
      <c r="P19" s="96">
        <v>9.4000000000000004E-3</v>
      </c>
    </row>
    <row r="20" spans="1:16" ht="15.75" customHeight="1">
      <c r="A20" s="112">
        <v>33390</v>
      </c>
      <c r="B20" s="113">
        <v>33390</v>
      </c>
      <c r="C20" s="114">
        <v>20.56</v>
      </c>
      <c r="D20" s="114">
        <v>21.18</v>
      </c>
      <c r="E20" s="115">
        <v>-2.93E-2</v>
      </c>
      <c r="F20" s="116"/>
      <c r="G20" s="113">
        <v>33390</v>
      </c>
      <c r="H20" s="114">
        <v>19.55</v>
      </c>
      <c r="I20" s="118"/>
      <c r="J20" s="119">
        <v>33390</v>
      </c>
      <c r="K20" s="120">
        <v>87.73</v>
      </c>
      <c r="L20" s="120">
        <v>99.8</v>
      </c>
      <c r="M20" s="118"/>
      <c r="N20" s="121">
        <v>33390</v>
      </c>
      <c r="O20" s="95">
        <v>61.558100000000003</v>
      </c>
      <c r="P20" s="96">
        <v>8.0999999999999996E-3</v>
      </c>
    </row>
    <row r="21" spans="1:16" ht="15.75" customHeight="1">
      <c r="A21" s="112">
        <v>33420</v>
      </c>
      <c r="B21" s="113">
        <v>33420</v>
      </c>
      <c r="C21" s="114">
        <v>21.68</v>
      </c>
      <c r="D21" s="114">
        <v>20.47</v>
      </c>
      <c r="E21" s="115">
        <v>5.91E-2</v>
      </c>
      <c r="F21" s="116"/>
      <c r="G21" s="113">
        <v>33420</v>
      </c>
      <c r="H21" s="114">
        <v>15.18</v>
      </c>
      <c r="I21" s="118"/>
      <c r="J21" s="119">
        <v>33420</v>
      </c>
      <c r="K21" s="120">
        <v>115.18</v>
      </c>
      <c r="L21" s="120">
        <v>144.65</v>
      </c>
      <c r="M21" s="118"/>
      <c r="N21" s="121">
        <v>33420</v>
      </c>
      <c r="O21" s="95">
        <v>61.730499999999999</v>
      </c>
      <c r="P21" s="96">
        <v>2.8E-3</v>
      </c>
    </row>
    <row r="22" spans="1:16" ht="15.75" customHeight="1">
      <c r="A22" s="112">
        <v>33451</v>
      </c>
      <c r="B22" s="113">
        <v>33451</v>
      </c>
      <c r="C22" s="114">
        <v>22.26</v>
      </c>
      <c r="D22" s="114">
        <v>21.62</v>
      </c>
      <c r="E22" s="115">
        <v>2.9600000000000001E-2</v>
      </c>
      <c r="F22" s="116"/>
      <c r="G22" s="113">
        <v>33451</v>
      </c>
      <c r="H22" s="114">
        <v>14.46</v>
      </c>
      <c r="I22" s="118"/>
      <c r="J22" s="119">
        <v>33451</v>
      </c>
      <c r="K22" s="120">
        <v>113.5</v>
      </c>
      <c r="L22" s="120">
        <v>133.41</v>
      </c>
      <c r="M22" s="118"/>
      <c r="N22" s="121">
        <v>33451</v>
      </c>
      <c r="O22" s="95">
        <v>61.729799999999997</v>
      </c>
      <c r="P22" s="96">
        <v>0</v>
      </c>
    </row>
    <row r="23" spans="1:16" ht="15.75" customHeight="1">
      <c r="A23" s="112">
        <v>33482</v>
      </c>
      <c r="B23" s="113">
        <v>33482</v>
      </c>
      <c r="C23" s="114">
        <v>22.23</v>
      </c>
      <c r="D23" s="114">
        <v>22.13</v>
      </c>
      <c r="E23" s="115">
        <v>4.4999999999999997E-3</v>
      </c>
      <c r="F23" s="116"/>
      <c r="G23" s="113">
        <v>33482</v>
      </c>
      <c r="H23" s="114">
        <v>15.85</v>
      </c>
      <c r="I23" s="118"/>
      <c r="J23" s="119">
        <v>33482</v>
      </c>
      <c r="K23" s="120">
        <v>117.94</v>
      </c>
      <c r="L23" s="120">
        <v>154.13999999999999</v>
      </c>
      <c r="M23" s="118"/>
      <c r="N23" s="121">
        <v>33482</v>
      </c>
      <c r="O23" s="95">
        <v>62.219499999999996</v>
      </c>
      <c r="P23" s="96">
        <v>7.9000000000000008E-3</v>
      </c>
    </row>
    <row r="24" spans="1:16" ht="15.75" customHeight="1">
      <c r="A24" s="112">
        <v>33512</v>
      </c>
      <c r="B24" s="113">
        <v>33512</v>
      </c>
      <c r="C24" s="114">
        <v>23.37</v>
      </c>
      <c r="D24" s="114">
        <v>22.13</v>
      </c>
      <c r="E24" s="115">
        <v>5.6000000000000001E-2</v>
      </c>
      <c r="F24" s="116"/>
      <c r="G24" s="113">
        <v>33512</v>
      </c>
      <c r="H24" s="114">
        <v>15.48</v>
      </c>
      <c r="I24" s="118"/>
      <c r="J24" s="119">
        <v>33512</v>
      </c>
      <c r="K24" s="120">
        <v>100.83</v>
      </c>
      <c r="L24" s="120">
        <v>122.64</v>
      </c>
      <c r="M24" s="118"/>
      <c r="N24" s="121">
        <v>33512</v>
      </c>
      <c r="O24" s="95">
        <v>62.185499999999998</v>
      </c>
      <c r="P24" s="96">
        <v>-5.0000000000000001E-4</v>
      </c>
    </row>
    <row r="25" spans="1:16" ht="15.75" customHeight="1">
      <c r="A25" s="112">
        <v>33543</v>
      </c>
      <c r="B25" s="113">
        <v>33543</v>
      </c>
      <c r="C25" s="114">
        <v>21.48</v>
      </c>
      <c r="D25" s="114">
        <v>23.52</v>
      </c>
      <c r="E25" s="115">
        <v>-8.6699999999999999E-2</v>
      </c>
      <c r="F25" s="116"/>
      <c r="G25" s="113">
        <v>33543</v>
      </c>
      <c r="H25" s="114">
        <v>20.260000000000002</v>
      </c>
      <c r="I25" s="118"/>
      <c r="J25" s="119">
        <v>33543</v>
      </c>
      <c r="K25" s="120">
        <v>100.74</v>
      </c>
      <c r="L25" s="120">
        <v>120.33</v>
      </c>
      <c r="M25" s="118"/>
      <c r="N25" s="121">
        <v>33543</v>
      </c>
      <c r="O25" s="95">
        <v>62.0871</v>
      </c>
      <c r="P25" s="96">
        <v>-1.6000000000000001E-3</v>
      </c>
    </row>
    <row r="26" spans="1:16" ht="15.75" customHeight="1">
      <c r="A26" s="112">
        <v>33573</v>
      </c>
      <c r="B26" s="113">
        <v>33573</v>
      </c>
      <c r="C26" s="114">
        <v>19.12</v>
      </c>
      <c r="D26" s="114">
        <v>21.35</v>
      </c>
      <c r="E26" s="115">
        <v>-0.10440000000000001</v>
      </c>
      <c r="F26" s="116"/>
      <c r="G26" s="113">
        <v>33573</v>
      </c>
      <c r="H26" s="114">
        <v>19.309999999999999</v>
      </c>
      <c r="I26" s="118"/>
      <c r="J26" s="119">
        <v>33573</v>
      </c>
      <c r="K26" s="120">
        <v>103.97</v>
      </c>
      <c r="L26" s="120">
        <v>135.22999999999999</v>
      </c>
      <c r="M26" s="118"/>
      <c r="N26" s="121">
        <v>33573</v>
      </c>
      <c r="O26" s="95">
        <v>61.785200000000003</v>
      </c>
      <c r="P26" s="96">
        <v>-4.8999999999999998E-3</v>
      </c>
    </row>
    <row r="27" spans="1:16" ht="15.75" customHeight="1">
      <c r="A27" s="112">
        <v>33604</v>
      </c>
      <c r="B27" s="113">
        <v>33604</v>
      </c>
      <c r="C27" s="114">
        <v>18.899999999999999</v>
      </c>
      <c r="D27" s="114">
        <v>19.100000000000001</v>
      </c>
      <c r="E27" s="115">
        <v>-1.0500000000000001E-2</v>
      </c>
      <c r="F27" s="116"/>
      <c r="G27" s="113">
        <v>33604</v>
      </c>
      <c r="H27" s="114">
        <v>17.399999999999999</v>
      </c>
      <c r="I27" s="118"/>
      <c r="J27" s="119">
        <v>33604</v>
      </c>
      <c r="K27" s="120">
        <v>102.96</v>
      </c>
      <c r="L27" s="120">
        <v>126.16</v>
      </c>
      <c r="M27" s="118"/>
      <c r="N27" s="121">
        <v>33604</v>
      </c>
      <c r="O27" s="95">
        <v>61.461599999999997</v>
      </c>
      <c r="P27" s="96">
        <v>-5.1999999999999998E-3</v>
      </c>
    </row>
    <row r="28" spans="1:16" ht="15.75" customHeight="1">
      <c r="A28" s="112">
        <v>33635</v>
      </c>
      <c r="B28" s="113">
        <v>33635</v>
      </c>
      <c r="C28" s="114">
        <v>18.68</v>
      </c>
      <c r="D28" s="114">
        <v>18.95</v>
      </c>
      <c r="E28" s="115">
        <v>-1.4200000000000001E-2</v>
      </c>
      <c r="F28" s="116"/>
      <c r="G28" s="113">
        <v>33635</v>
      </c>
      <c r="H28" s="114">
        <v>16.68</v>
      </c>
      <c r="I28" s="118"/>
      <c r="J28" s="119">
        <v>33635</v>
      </c>
      <c r="K28" s="120">
        <v>87.2</v>
      </c>
      <c r="L28" s="120">
        <v>101.1</v>
      </c>
      <c r="M28" s="118"/>
      <c r="N28" s="121">
        <v>33635</v>
      </c>
      <c r="O28" s="95">
        <v>61.895499999999998</v>
      </c>
      <c r="P28" s="96">
        <v>7.1000000000000004E-3</v>
      </c>
    </row>
    <row r="29" spans="1:16" ht="15.75" customHeight="1">
      <c r="A29" s="112">
        <v>33664</v>
      </c>
      <c r="B29" s="113">
        <v>33664</v>
      </c>
      <c r="C29" s="114">
        <v>19.440000000000001</v>
      </c>
      <c r="D29" s="114">
        <v>18.559999999999999</v>
      </c>
      <c r="E29" s="115">
        <v>4.7399999999999998E-2</v>
      </c>
      <c r="F29" s="116"/>
      <c r="G29" s="113">
        <v>33664</v>
      </c>
      <c r="H29" s="114">
        <v>16.18</v>
      </c>
      <c r="I29" s="118"/>
      <c r="J29" s="119">
        <v>33664</v>
      </c>
      <c r="K29" s="120">
        <v>85.3</v>
      </c>
      <c r="L29" s="120">
        <v>107.13</v>
      </c>
      <c r="M29" s="118"/>
      <c r="N29" s="121">
        <v>33664</v>
      </c>
      <c r="O29" s="95">
        <v>62.423200000000001</v>
      </c>
      <c r="P29" s="96">
        <v>8.5000000000000006E-3</v>
      </c>
    </row>
    <row r="30" spans="1:16" ht="15.75" customHeight="1">
      <c r="A30" s="112">
        <v>33695</v>
      </c>
      <c r="B30" s="113">
        <v>33695</v>
      </c>
      <c r="C30" s="114">
        <v>20.85</v>
      </c>
      <c r="D30" s="114">
        <v>19.670000000000002</v>
      </c>
      <c r="E30" s="115">
        <v>0.06</v>
      </c>
      <c r="F30" s="116"/>
      <c r="G30" s="113">
        <v>33695</v>
      </c>
      <c r="H30" s="114">
        <v>15.53</v>
      </c>
      <c r="I30" s="118"/>
      <c r="J30" s="119">
        <v>33695</v>
      </c>
      <c r="K30" s="120">
        <v>85.86</v>
      </c>
      <c r="L30" s="120">
        <v>92.64</v>
      </c>
      <c r="M30" s="118"/>
      <c r="N30" s="121">
        <v>33695</v>
      </c>
      <c r="O30" s="95">
        <v>62.896999999999998</v>
      </c>
      <c r="P30" s="96">
        <v>7.6E-3</v>
      </c>
    </row>
    <row r="31" spans="1:16" ht="15.75" customHeight="1">
      <c r="A31" s="123">
        <v>33725</v>
      </c>
      <c r="B31" s="124">
        <v>33725</v>
      </c>
      <c r="C31" s="114">
        <v>22.11</v>
      </c>
      <c r="D31" s="114">
        <v>20.9</v>
      </c>
      <c r="E31" s="115">
        <v>5.79E-2</v>
      </c>
      <c r="F31" s="116"/>
      <c r="G31" s="124">
        <v>33725</v>
      </c>
      <c r="H31" s="114">
        <v>13.86</v>
      </c>
      <c r="I31" s="118"/>
      <c r="J31" s="119">
        <v>33725</v>
      </c>
      <c r="K31" s="120">
        <v>78.97</v>
      </c>
      <c r="L31" s="120">
        <v>93.08</v>
      </c>
      <c r="M31" s="118"/>
      <c r="N31" s="121">
        <v>33725</v>
      </c>
      <c r="O31" s="95">
        <v>63.103999999999999</v>
      </c>
      <c r="P31" s="96">
        <v>3.3E-3</v>
      </c>
    </row>
    <row r="32" spans="1:16" ht="15.75" customHeight="1">
      <c r="A32" s="112">
        <v>33756</v>
      </c>
      <c r="B32" s="113">
        <v>33756</v>
      </c>
      <c r="C32" s="114">
        <v>21.6</v>
      </c>
      <c r="D32" s="114">
        <v>22.14</v>
      </c>
      <c r="E32" s="115">
        <v>-2.4400000000000002E-2</v>
      </c>
      <c r="F32" s="116"/>
      <c r="G32" s="113">
        <v>33756</v>
      </c>
      <c r="H32" s="114">
        <v>13.35</v>
      </c>
      <c r="I32" s="118"/>
      <c r="J32" s="119">
        <v>33756</v>
      </c>
      <c r="K32" s="120">
        <v>93.85</v>
      </c>
      <c r="L32" s="120">
        <v>124.34</v>
      </c>
      <c r="M32" s="118"/>
      <c r="N32" s="121">
        <v>33756</v>
      </c>
      <c r="O32" s="95">
        <v>63.136299999999999</v>
      </c>
      <c r="P32" s="96">
        <v>5.0000000000000001E-4</v>
      </c>
    </row>
    <row r="33" spans="1:16" ht="15.75" customHeight="1">
      <c r="A33" s="112">
        <v>33786</v>
      </c>
      <c r="B33" s="113">
        <v>33786</v>
      </c>
      <c r="C33" s="114">
        <v>21.87</v>
      </c>
      <c r="D33" s="114">
        <v>21.77</v>
      </c>
      <c r="E33" s="115">
        <v>4.5999999999999999E-3</v>
      </c>
      <c r="F33" s="116"/>
      <c r="G33" s="113">
        <v>33786</v>
      </c>
      <c r="H33" s="114">
        <v>13.17</v>
      </c>
      <c r="I33" s="118"/>
      <c r="J33" s="119">
        <v>33786</v>
      </c>
      <c r="K33" s="120">
        <v>75.2</v>
      </c>
      <c r="L33" s="120">
        <v>92.43</v>
      </c>
      <c r="M33" s="118"/>
      <c r="N33" s="121">
        <v>33786</v>
      </c>
      <c r="O33" s="95">
        <v>63.717599999999997</v>
      </c>
      <c r="P33" s="96">
        <v>9.1999999999999998E-3</v>
      </c>
    </row>
    <row r="34" spans="1:16" ht="15.75" customHeight="1">
      <c r="A34" s="112">
        <v>33817</v>
      </c>
      <c r="B34" s="113">
        <v>33817</v>
      </c>
      <c r="C34" s="114">
        <v>21.48</v>
      </c>
      <c r="D34" s="114">
        <v>21.78</v>
      </c>
      <c r="E34" s="115">
        <v>-1.38E-2</v>
      </c>
      <c r="F34" s="116"/>
      <c r="G34" s="113">
        <v>33817</v>
      </c>
      <c r="H34" s="114">
        <v>13.58</v>
      </c>
      <c r="I34" s="118"/>
      <c r="J34" s="119">
        <v>33817</v>
      </c>
      <c r="K34" s="120">
        <v>81.650000000000006</v>
      </c>
      <c r="L34" s="120">
        <v>87.56</v>
      </c>
      <c r="M34" s="118"/>
      <c r="N34" s="121">
        <v>33817</v>
      </c>
      <c r="O34" s="95">
        <v>63.3613</v>
      </c>
      <c r="P34" s="96">
        <v>-5.5999999999999999E-3</v>
      </c>
    </row>
    <row r="35" spans="1:16" ht="15.75" customHeight="1">
      <c r="A35" s="112">
        <v>33848</v>
      </c>
      <c r="B35" s="113">
        <v>33848</v>
      </c>
      <c r="C35" s="114">
        <v>21.71</v>
      </c>
      <c r="D35" s="114">
        <v>21.4</v>
      </c>
      <c r="E35" s="115">
        <v>1.4500000000000001E-2</v>
      </c>
      <c r="F35" s="116"/>
      <c r="G35" s="113">
        <v>33848</v>
      </c>
      <c r="H35" s="114">
        <v>14.28</v>
      </c>
      <c r="I35" s="118"/>
      <c r="J35" s="119">
        <v>33848</v>
      </c>
      <c r="K35" s="120">
        <v>74.61</v>
      </c>
      <c r="L35" s="120">
        <v>92.69</v>
      </c>
      <c r="M35" s="118"/>
      <c r="N35" s="121">
        <v>33848</v>
      </c>
      <c r="O35" s="95">
        <v>63.570300000000003</v>
      </c>
      <c r="P35" s="96">
        <v>3.3E-3</v>
      </c>
    </row>
    <row r="36" spans="1:16">
      <c r="A36" s="112">
        <v>33878</v>
      </c>
      <c r="B36" s="113">
        <v>33878</v>
      </c>
      <c r="C36" s="114">
        <v>20.62</v>
      </c>
      <c r="D36" s="114">
        <v>21.76</v>
      </c>
      <c r="E36" s="115">
        <v>-5.2400000000000002E-2</v>
      </c>
      <c r="F36" s="116"/>
      <c r="G36" s="113">
        <v>33878</v>
      </c>
      <c r="H36" s="114">
        <v>16.149999999999999</v>
      </c>
      <c r="I36" s="118"/>
      <c r="J36" s="119">
        <v>33878</v>
      </c>
      <c r="K36" s="120">
        <v>68.180000000000007</v>
      </c>
      <c r="L36" s="120">
        <v>71.34</v>
      </c>
      <c r="M36" s="118"/>
      <c r="N36" s="121">
        <v>33878</v>
      </c>
      <c r="O36" s="95">
        <v>63.999499999999998</v>
      </c>
      <c r="P36" s="96">
        <v>6.7999999999999996E-3</v>
      </c>
    </row>
    <row r="37" spans="1:16">
      <c r="A37" s="112">
        <v>33909</v>
      </c>
      <c r="B37" s="113">
        <v>33909</v>
      </c>
      <c r="C37" s="114">
        <v>19.89</v>
      </c>
      <c r="D37" s="114">
        <v>20.72</v>
      </c>
      <c r="E37" s="115">
        <v>-4.0099999999999997E-2</v>
      </c>
      <c r="F37" s="116"/>
      <c r="G37" s="113">
        <v>33909</v>
      </c>
      <c r="H37" s="114">
        <v>13.01</v>
      </c>
      <c r="I37" s="118"/>
      <c r="J37" s="119">
        <v>33909</v>
      </c>
      <c r="K37" s="120">
        <v>91.01</v>
      </c>
      <c r="L37" s="120">
        <v>109.62</v>
      </c>
      <c r="M37" s="118"/>
      <c r="N37" s="121">
        <v>33909</v>
      </c>
      <c r="O37" s="95">
        <v>64.242199999999997</v>
      </c>
      <c r="P37" s="96">
        <v>3.8E-3</v>
      </c>
    </row>
    <row r="38" spans="1:16">
      <c r="A38" s="112">
        <v>33939</v>
      </c>
      <c r="B38" s="113">
        <v>33939</v>
      </c>
      <c r="C38" s="114">
        <v>19.5</v>
      </c>
      <c r="D38" s="114">
        <v>19.8</v>
      </c>
      <c r="E38" s="115">
        <v>-1.52E-2</v>
      </c>
      <c r="F38" s="116"/>
      <c r="G38" s="113">
        <v>33939</v>
      </c>
      <c r="H38" s="114">
        <v>12.57</v>
      </c>
      <c r="I38" s="118"/>
      <c r="J38" s="119">
        <v>33939</v>
      </c>
      <c r="K38" s="120">
        <v>83.42</v>
      </c>
      <c r="L38" s="120">
        <v>97.29</v>
      </c>
      <c r="M38" s="118"/>
      <c r="N38" s="121">
        <v>33939</v>
      </c>
      <c r="O38" s="95">
        <v>64.350700000000003</v>
      </c>
      <c r="P38" s="96">
        <v>1.6999999999999999E-3</v>
      </c>
    </row>
    <row r="39" spans="1:16">
      <c r="A39" s="112">
        <v>33970</v>
      </c>
      <c r="B39" s="113">
        <v>33970</v>
      </c>
      <c r="C39" s="114">
        <v>20.260000000000002</v>
      </c>
      <c r="D39" s="114">
        <v>19.43</v>
      </c>
      <c r="E39" s="115">
        <v>4.2700000000000002E-2</v>
      </c>
      <c r="F39" s="116"/>
      <c r="G39" s="113">
        <v>33970</v>
      </c>
      <c r="H39" s="114">
        <v>12.42</v>
      </c>
      <c r="I39" s="118"/>
      <c r="J39" s="119">
        <v>33970</v>
      </c>
      <c r="K39" s="120">
        <v>128.91999999999999</v>
      </c>
      <c r="L39" s="120">
        <v>144.88999999999999</v>
      </c>
      <c r="M39" s="118"/>
      <c r="N39" s="121">
        <v>33970</v>
      </c>
      <c r="O39" s="95">
        <v>64.597800000000007</v>
      </c>
      <c r="P39" s="96">
        <v>3.8E-3</v>
      </c>
    </row>
    <row r="40" spans="1:16">
      <c r="A40" s="112">
        <v>34001</v>
      </c>
      <c r="B40" s="113">
        <v>34001</v>
      </c>
      <c r="C40" s="114">
        <v>20.6</v>
      </c>
      <c r="D40" s="114">
        <v>20.399999999999999</v>
      </c>
      <c r="E40" s="115">
        <v>9.7999999999999997E-3</v>
      </c>
      <c r="F40" s="116"/>
      <c r="G40" s="113">
        <v>34001</v>
      </c>
      <c r="H40" s="114">
        <v>13.16</v>
      </c>
      <c r="I40" s="118"/>
      <c r="J40" s="119">
        <v>34001</v>
      </c>
      <c r="K40" s="120">
        <v>90.47</v>
      </c>
      <c r="L40" s="120">
        <v>105.26</v>
      </c>
      <c r="M40" s="118"/>
      <c r="N40" s="121">
        <v>34001</v>
      </c>
      <c r="O40" s="95">
        <v>64.908900000000003</v>
      </c>
      <c r="P40" s="96">
        <v>4.7999999999999996E-3</v>
      </c>
    </row>
    <row r="41" spans="1:16">
      <c r="A41" s="112">
        <v>34029</v>
      </c>
      <c r="B41" s="113">
        <v>34029</v>
      </c>
      <c r="C41" s="114">
        <v>20.440000000000001</v>
      </c>
      <c r="D41" s="114">
        <v>20.43</v>
      </c>
      <c r="E41" s="115">
        <v>5.0000000000000001E-4</v>
      </c>
      <c r="F41" s="116"/>
      <c r="G41" s="113">
        <v>34029</v>
      </c>
      <c r="H41" s="114">
        <v>12.53</v>
      </c>
      <c r="I41" s="118"/>
      <c r="J41" s="119">
        <v>34029</v>
      </c>
      <c r="K41" s="120">
        <v>94.24</v>
      </c>
      <c r="L41" s="120">
        <v>99.91</v>
      </c>
      <c r="M41" s="118"/>
      <c r="N41" s="121">
        <v>34029</v>
      </c>
      <c r="O41" s="95">
        <v>64.852199999999996</v>
      </c>
      <c r="P41" s="96">
        <v>-8.9999999999999998E-4</v>
      </c>
    </row>
    <row r="42" spans="1:16">
      <c r="A42" s="112">
        <v>34060</v>
      </c>
      <c r="B42" s="113">
        <v>34060</v>
      </c>
      <c r="C42" s="114">
        <v>20.53</v>
      </c>
      <c r="D42" s="114">
        <v>20.45</v>
      </c>
      <c r="E42" s="115">
        <v>3.8999999999999998E-3</v>
      </c>
      <c r="F42" s="116"/>
      <c r="G42" s="113">
        <v>34060</v>
      </c>
      <c r="H42" s="114">
        <v>12.42</v>
      </c>
      <c r="I42" s="118"/>
      <c r="J42" s="119">
        <v>34060</v>
      </c>
      <c r="K42" s="120">
        <v>112.72</v>
      </c>
      <c r="L42" s="120">
        <v>144.04</v>
      </c>
      <c r="M42" s="118"/>
      <c r="N42" s="121">
        <v>34060</v>
      </c>
      <c r="O42" s="95">
        <v>65.030100000000004</v>
      </c>
      <c r="P42" s="96">
        <v>2.7000000000000001E-3</v>
      </c>
    </row>
    <row r="43" spans="1:16">
      <c r="A43" s="123">
        <v>34090</v>
      </c>
      <c r="B43" s="124">
        <v>34090</v>
      </c>
      <c r="C43" s="114">
        <v>20.02</v>
      </c>
      <c r="D43" s="114">
        <v>20.5</v>
      </c>
      <c r="E43" s="115">
        <v>-2.3400000000000001E-2</v>
      </c>
      <c r="F43" s="116"/>
      <c r="G43" s="124">
        <v>34090</v>
      </c>
      <c r="H43" s="114">
        <v>13.47</v>
      </c>
      <c r="I43" s="118"/>
      <c r="J43" s="119">
        <v>34090</v>
      </c>
      <c r="K43" s="120">
        <v>110.73</v>
      </c>
      <c r="L43" s="120">
        <v>137.38999999999999</v>
      </c>
      <c r="M43" s="118"/>
      <c r="N43" s="121">
        <v>34090</v>
      </c>
      <c r="O43" s="95">
        <v>64.784000000000006</v>
      </c>
      <c r="P43" s="96">
        <v>-3.8E-3</v>
      </c>
    </row>
    <row r="44" spans="1:16">
      <c r="A44" s="112">
        <v>34121</v>
      </c>
      <c r="B44" s="113">
        <v>34121</v>
      </c>
      <c r="C44" s="114">
        <v>18.850000000000001</v>
      </c>
      <c r="D44" s="114">
        <v>19.97</v>
      </c>
      <c r="E44" s="115">
        <v>-5.6099999999999997E-2</v>
      </c>
      <c r="F44" s="116"/>
      <c r="G44" s="113">
        <v>34121</v>
      </c>
      <c r="H44" s="114">
        <v>11.26</v>
      </c>
      <c r="I44" s="118"/>
      <c r="J44" s="119">
        <v>34121</v>
      </c>
      <c r="K44" s="120">
        <v>104.2</v>
      </c>
      <c r="L44" s="120">
        <v>125.46</v>
      </c>
      <c r="M44" s="118"/>
      <c r="N44" s="121">
        <v>34121</v>
      </c>
      <c r="O44" s="95">
        <v>64.930099999999996</v>
      </c>
      <c r="P44" s="96">
        <v>2.3E-3</v>
      </c>
    </row>
    <row r="45" spans="1:16">
      <c r="A45" s="112">
        <v>34151</v>
      </c>
      <c r="B45" s="113">
        <v>34151</v>
      </c>
      <c r="C45" s="114">
        <v>17.88</v>
      </c>
      <c r="D45" s="114">
        <v>18.850000000000001</v>
      </c>
      <c r="E45" s="115">
        <v>-5.1499999999999997E-2</v>
      </c>
      <c r="F45" s="116"/>
      <c r="G45" s="113">
        <v>34151</v>
      </c>
      <c r="H45" s="114">
        <v>11.73</v>
      </c>
      <c r="I45" s="118"/>
      <c r="J45" s="119">
        <v>34151</v>
      </c>
      <c r="K45" s="120">
        <v>123.31</v>
      </c>
      <c r="L45" s="120">
        <v>131.76</v>
      </c>
      <c r="M45" s="118"/>
      <c r="N45" s="121">
        <v>34151</v>
      </c>
      <c r="O45" s="95">
        <v>65.105199999999996</v>
      </c>
      <c r="P45" s="96">
        <v>2.7000000000000001E-3</v>
      </c>
    </row>
    <row r="46" spans="1:16">
      <c r="A46" s="112">
        <v>34182</v>
      </c>
      <c r="B46" s="113">
        <v>34182</v>
      </c>
      <c r="C46" s="114">
        <v>18.29</v>
      </c>
      <c r="D46" s="114">
        <v>17.55</v>
      </c>
      <c r="E46" s="115">
        <v>4.2200000000000001E-2</v>
      </c>
      <c r="F46" s="116"/>
      <c r="G46" s="113">
        <v>34182</v>
      </c>
      <c r="H46" s="114">
        <v>11.85</v>
      </c>
      <c r="I46" s="118"/>
      <c r="J46" s="119">
        <v>34182</v>
      </c>
      <c r="K46" s="120">
        <v>97.24</v>
      </c>
      <c r="L46" s="120">
        <v>97.09</v>
      </c>
      <c r="M46" s="118"/>
      <c r="N46" s="121">
        <v>34182</v>
      </c>
      <c r="O46" s="95">
        <v>65.026700000000005</v>
      </c>
      <c r="P46" s="96">
        <v>-1.1999999999999999E-3</v>
      </c>
    </row>
    <row r="47" spans="1:16">
      <c r="A47" s="112">
        <v>34213</v>
      </c>
      <c r="B47" s="113">
        <v>34213</v>
      </c>
      <c r="C47" s="114">
        <v>18.79</v>
      </c>
      <c r="D47" s="114">
        <v>18.05</v>
      </c>
      <c r="E47" s="115">
        <v>4.1000000000000002E-2</v>
      </c>
      <c r="F47" s="116"/>
      <c r="G47" s="113">
        <v>34213</v>
      </c>
      <c r="H47" s="114">
        <v>12.99</v>
      </c>
      <c r="I47" s="118"/>
      <c r="J47" s="119">
        <v>34213</v>
      </c>
      <c r="K47" s="120">
        <v>89.16</v>
      </c>
      <c r="L47" s="120">
        <v>97.46</v>
      </c>
      <c r="M47" s="118"/>
      <c r="N47" s="121">
        <v>34213</v>
      </c>
      <c r="O47" s="95">
        <v>65.371700000000004</v>
      </c>
      <c r="P47" s="96">
        <v>5.3E-3</v>
      </c>
    </row>
    <row r="48" spans="1:16">
      <c r="A48" s="112">
        <v>34243</v>
      </c>
      <c r="B48" s="113">
        <v>34243</v>
      </c>
      <c r="C48" s="114">
        <v>16.920000000000002</v>
      </c>
      <c r="D48" s="114">
        <v>18.72</v>
      </c>
      <c r="E48" s="115">
        <v>-9.6199999999999994E-2</v>
      </c>
      <c r="F48" s="116"/>
      <c r="G48" s="113">
        <v>34243</v>
      </c>
      <c r="H48" s="114">
        <v>11.46</v>
      </c>
      <c r="I48" s="118"/>
      <c r="J48" s="119">
        <v>34243</v>
      </c>
      <c r="K48" s="120">
        <v>106.17</v>
      </c>
      <c r="L48" s="120">
        <v>130.31</v>
      </c>
      <c r="M48" s="118"/>
      <c r="N48" s="121">
        <v>34243</v>
      </c>
      <c r="O48" s="95">
        <v>65.850899999999996</v>
      </c>
      <c r="P48" s="96">
        <v>7.3000000000000001E-3</v>
      </c>
    </row>
    <row r="49" spans="1:16">
      <c r="A49" s="112">
        <v>34274</v>
      </c>
      <c r="B49" s="113">
        <v>34274</v>
      </c>
      <c r="C49" s="114">
        <v>15.43</v>
      </c>
      <c r="D49" s="114">
        <v>16.899999999999999</v>
      </c>
      <c r="E49" s="115">
        <v>-8.6999999999999994E-2</v>
      </c>
      <c r="F49" s="116"/>
      <c r="G49" s="113">
        <v>34274</v>
      </c>
      <c r="H49" s="114">
        <v>13.76</v>
      </c>
      <c r="I49" s="118"/>
      <c r="J49" s="119">
        <v>34274</v>
      </c>
      <c r="K49" s="120">
        <v>83.48</v>
      </c>
      <c r="L49" s="120">
        <v>105.13</v>
      </c>
      <c r="M49" s="118"/>
      <c r="N49" s="121">
        <v>34274</v>
      </c>
      <c r="O49" s="95">
        <v>66.151799999999994</v>
      </c>
      <c r="P49" s="96">
        <v>4.5999999999999999E-3</v>
      </c>
    </row>
    <row r="50" spans="1:16">
      <c r="A50" s="112">
        <v>34304</v>
      </c>
      <c r="B50" s="113">
        <v>34304</v>
      </c>
      <c r="C50" s="114">
        <v>14.17</v>
      </c>
      <c r="D50" s="114">
        <v>15.48</v>
      </c>
      <c r="E50" s="115">
        <v>-8.4599999999999995E-2</v>
      </c>
      <c r="F50" s="116"/>
      <c r="G50" s="113">
        <v>34304</v>
      </c>
      <c r="H50" s="114">
        <v>11.66</v>
      </c>
      <c r="I50" s="118"/>
      <c r="J50" s="119">
        <v>34304</v>
      </c>
      <c r="K50" s="120">
        <v>79.55</v>
      </c>
      <c r="L50" s="120">
        <v>97.07</v>
      </c>
      <c r="M50" s="118"/>
      <c r="N50" s="121">
        <v>34304</v>
      </c>
      <c r="O50" s="95">
        <v>66.543599999999998</v>
      </c>
      <c r="P50" s="96">
        <v>5.8999999999999999E-3</v>
      </c>
    </row>
    <row r="51" spans="1:16">
      <c r="A51" s="112">
        <v>34335</v>
      </c>
      <c r="B51" s="113">
        <v>34335</v>
      </c>
      <c r="C51" s="114">
        <v>15.19</v>
      </c>
      <c r="D51" s="114">
        <v>14.1</v>
      </c>
      <c r="E51" s="115">
        <v>7.7299999999999994E-2</v>
      </c>
      <c r="F51" s="116"/>
      <c r="G51" s="113">
        <v>34335</v>
      </c>
      <c r="H51" s="114">
        <v>10.63</v>
      </c>
      <c r="I51" s="118"/>
      <c r="J51" s="119">
        <v>34335</v>
      </c>
      <c r="K51" s="120">
        <v>83.49</v>
      </c>
      <c r="L51" s="120">
        <v>93.09</v>
      </c>
      <c r="M51" s="118"/>
      <c r="N51" s="121">
        <v>34335</v>
      </c>
      <c r="O51" s="95">
        <v>66.735100000000003</v>
      </c>
      <c r="P51" s="96">
        <v>2.8999999999999998E-3</v>
      </c>
    </row>
    <row r="52" spans="1:16">
      <c r="A52" s="112">
        <v>34366</v>
      </c>
      <c r="B52" s="113">
        <v>34366</v>
      </c>
      <c r="C52" s="114">
        <v>14.48</v>
      </c>
      <c r="D52" s="114">
        <v>15.2</v>
      </c>
      <c r="E52" s="115">
        <v>-4.7399999999999998E-2</v>
      </c>
      <c r="F52" s="116"/>
      <c r="G52" s="113">
        <v>34366</v>
      </c>
      <c r="H52" s="114">
        <v>14.87</v>
      </c>
      <c r="I52" s="118"/>
      <c r="J52" s="119">
        <v>34366</v>
      </c>
      <c r="K52" s="120">
        <v>117.24</v>
      </c>
      <c r="L52" s="120">
        <v>148.15</v>
      </c>
      <c r="M52" s="118"/>
      <c r="N52" s="121">
        <v>34366</v>
      </c>
      <c r="O52" s="95">
        <v>66.774000000000001</v>
      </c>
      <c r="P52" s="96">
        <v>5.9999999999999995E-4</v>
      </c>
    </row>
    <row r="53" spans="1:16">
      <c r="A53" s="112">
        <v>34394</v>
      </c>
      <c r="B53" s="113">
        <v>34394</v>
      </c>
      <c r="C53" s="114">
        <v>14.79</v>
      </c>
      <c r="D53" s="114">
        <v>14.48</v>
      </c>
      <c r="E53" s="115">
        <v>2.1399999999999999E-2</v>
      </c>
      <c r="F53" s="116"/>
      <c r="G53" s="113">
        <v>34394</v>
      </c>
      <c r="H53" s="114">
        <v>20.45</v>
      </c>
      <c r="I53" s="118"/>
      <c r="J53" s="119">
        <v>34394</v>
      </c>
      <c r="K53" s="120">
        <v>93.47</v>
      </c>
      <c r="L53" s="120">
        <v>98.56</v>
      </c>
      <c r="M53" s="118"/>
      <c r="N53" s="121">
        <v>34394</v>
      </c>
      <c r="O53" s="95">
        <v>67.455200000000005</v>
      </c>
      <c r="P53" s="96">
        <v>1.0200000000000001E-2</v>
      </c>
    </row>
    <row r="54" spans="1:16">
      <c r="A54" s="112">
        <v>34425</v>
      </c>
      <c r="B54" s="113">
        <v>34425</v>
      </c>
      <c r="C54" s="114">
        <v>16.899999999999999</v>
      </c>
      <c r="D54" s="114">
        <v>14.75</v>
      </c>
      <c r="E54" s="115">
        <v>0.14580000000000001</v>
      </c>
      <c r="F54" s="116"/>
      <c r="G54" s="113">
        <v>34425</v>
      </c>
      <c r="H54" s="114">
        <v>13.77</v>
      </c>
      <c r="I54" s="118"/>
      <c r="J54" s="119">
        <v>34425</v>
      </c>
      <c r="K54" s="120">
        <v>95.36</v>
      </c>
      <c r="L54" s="120">
        <v>116.45</v>
      </c>
      <c r="M54" s="118"/>
      <c r="N54" s="121">
        <v>34425</v>
      </c>
      <c r="O54" s="95">
        <v>67.854100000000003</v>
      </c>
      <c r="P54" s="96">
        <v>5.8999999999999999E-3</v>
      </c>
    </row>
    <row r="55" spans="1:16">
      <c r="A55" s="123">
        <v>34455</v>
      </c>
      <c r="B55" s="124">
        <v>34455</v>
      </c>
      <c r="C55" s="114">
        <v>18.309999999999999</v>
      </c>
      <c r="D55" s="114">
        <v>16.809999999999999</v>
      </c>
      <c r="E55" s="115">
        <v>8.9200000000000002E-2</v>
      </c>
      <c r="F55" s="116"/>
      <c r="G55" s="124">
        <v>34455</v>
      </c>
      <c r="H55" s="114">
        <v>13.03</v>
      </c>
      <c r="I55" s="118"/>
      <c r="J55" s="119">
        <v>34455</v>
      </c>
      <c r="K55" s="120">
        <v>104.47</v>
      </c>
      <c r="L55" s="120">
        <v>122.98</v>
      </c>
      <c r="M55" s="118"/>
      <c r="N55" s="121">
        <v>34455</v>
      </c>
      <c r="O55" s="95">
        <v>68.166300000000007</v>
      </c>
      <c r="P55" s="96">
        <v>4.5999999999999999E-3</v>
      </c>
    </row>
    <row r="56" spans="1:16">
      <c r="A56" s="112">
        <v>34486</v>
      </c>
      <c r="B56" s="113">
        <v>34486</v>
      </c>
      <c r="C56" s="114">
        <v>19.37</v>
      </c>
      <c r="D56" s="114">
        <v>18.32</v>
      </c>
      <c r="E56" s="115">
        <v>5.7299999999999997E-2</v>
      </c>
      <c r="F56" s="116"/>
      <c r="G56" s="113">
        <v>34486</v>
      </c>
      <c r="H56" s="114">
        <v>14.97</v>
      </c>
      <c r="I56" s="118"/>
      <c r="J56" s="119">
        <v>34486</v>
      </c>
      <c r="K56" s="120">
        <v>120.35</v>
      </c>
      <c r="L56" s="120">
        <v>148.30000000000001</v>
      </c>
      <c r="M56" s="118"/>
      <c r="N56" s="121">
        <v>34486</v>
      </c>
      <c r="O56" s="95">
        <v>68.626499999999993</v>
      </c>
      <c r="P56" s="96">
        <v>6.7999999999999996E-3</v>
      </c>
    </row>
    <row r="57" spans="1:16">
      <c r="A57" s="112">
        <v>34516</v>
      </c>
      <c r="B57" s="113">
        <v>34516</v>
      </c>
      <c r="C57" s="114">
        <v>20.3</v>
      </c>
      <c r="D57" s="114">
        <v>19.329999999999998</v>
      </c>
      <c r="E57" s="115">
        <v>5.0200000000000002E-2</v>
      </c>
      <c r="F57" s="116"/>
      <c r="G57" s="113">
        <v>34516</v>
      </c>
      <c r="H57" s="114">
        <v>11.13</v>
      </c>
      <c r="I57" s="118"/>
      <c r="J57" s="119">
        <v>34516</v>
      </c>
      <c r="K57" s="120">
        <v>99.64</v>
      </c>
      <c r="L57" s="120">
        <v>115.4</v>
      </c>
      <c r="M57" s="118"/>
      <c r="N57" s="121">
        <v>34516</v>
      </c>
      <c r="O57" s="95">
        <v>68.717799999999997</v>
      </c>
      <c r="P57" s="96">
        <v>1.2999999999999999E-3</v>
      </c>
    </row>
    <row r="58" spans="1:16">
      <c r="A58" s="112">
        <v>34547</v>
      </c>
      <c r="B58" s="113">
        <v>34547</v>
      </c>
      <c r="C58" s="114">
        <v>17.559999999999999</v>
      </c>
      <c r="D58" s="114">
        <v>20.25</v>
      </c>
      <c r="E58" s="115">
        <v>-0.1328</v>
      </c>
      <c r="F58" s="116"/>
      <c r="G58" s="113">
        <v>34547</v>
      </c>
      <c r="H58" s="114">
        <v>11.97</v>
      </c>
      <c r="I58" s="118"/>
      <c r="J58" s="119">
        <v>34547</v>
      </c>
      <c r="K58" s="120">
        <v>98.23</v>
      </c>
      <c r="L58" s="120">
        <v>122.92</v>
      </c>
      <c r="M58" s="118"/>
      <c r="N58" s="121">
        <v>34547</v>
      </c>
      <c r="O58" s="95">
        <v>69.1785</v>
      </c>
      <c r="P58" s="96">
        <v>6.7000000000000002E-3</v>
      </c>
    </row>
    <row r="59" spans="1:16">
      <c r="A59" s="112">
        <v>34578</v>
      </c>
      <c r="B59" s="113">
        <v>34578</v>
      </c>
      <c r="C59" s="114">
        <v>18.39</v>
      </c>
      <c r="D59" s="114">
        <v>17.53</v>
      </c>
      <c r="E59" s="115">
        <v>4.9099999999999998E-2</v>
      </c>
      <c r="F59" s="116"/>
      <c r="G59" s="113">
        <v>34578</v>
      </c>
      <c r="H59" s="114">
        <v>14.28</v>
      </c>
      <c r="I59" s="118"/>
      <c r="J59" s="119">
        <v>34578</v>
      </c>
      <c r="K59" s="120">
        <v>98.9</v>
      </c>
      <c r="L59" s="120">
        <v>131.32</v>
      </c>
      <c r="M59" s="118"/>
      <c r="N59" s="121">
        <v>34578</v>
      </c>
      <c r="O59" s="95">
        <v>69.396100000000004</v>
      </c>
      <c r="P59" s="96">
        <v>3.0999999999999999E-3</v>
      </c>
    </row>
    <row r="60" spans="1:16">
      <c r="A60" s="112">
        <v>34608</v>
      </c>
      <c r="B60" s="113">
        <v>34608</v>
      </c>
      <c r="C60" s="114">
        <v>18.190000000000001</v>
      </c>
      <c r="D60" s="114">
        <v>18.39</v>
      </c>
      <c r="E60" s="115">
        <v>-1.09E-2</v>
      </c>
      <c r="F60" s="116"/>
      <c r="G60" s="113">
        <v>34608</v>
      </c>
      <c r="H60" s="114">
        <v>14.56</v>
      </c>
      <c r="I60" s="118"/>
      <c r="J60" s="119">
        <v>34608</v>
      </c>
      <c r="K60" s="120">
        <v>94.85</v>
      </c>
      <c r="L60" s="120">
        <v>118.9</v>
      </c>
      <c r="M60" s="118"/>
      <c r="N60" s="121">
        <v>34608</v>
      </c>
      <c r="O60" s="95">
        <v>69.954400000000007</v>
      </c>
      <c r="P60" s="96">
        <v>8.0000000000000002E-3</v>
      </c>
    </row>
    <row r="61" spans="1:16">
      <c r="A61" s="112">
        <v>34639</v>
      </c>
      <c r="B61" s="113">
        <v>34639</v>
      </c>
      <c r="C61" s="114">
        <v>18.05</v>
      </c>
      <c r="D61" s="114">
        <v>18.18</v>
      </c>
      <c r="E61" s="115">
        <v>-7.1999999999999998E-3</v>
      </c>
      <c r="F61" s="116"/>
      <c r="G61" s="113">
        <v>34639</v>
      </c>
      <c r="H61" s="114">
        <v>15.95</v>
      </c>
      <c r="I61" s="118"/>
      <c r="J61" s="119">
        <v>34639</v>
      </c>
      <c r="K61" s="120">
        <v>86.53</v>
      </c>
      <c r="L61" s="120">
        <v>100.79</v>
      </c>
      <c r="M61" s="118"/>
      <c r="N61" s="121">
        <v>34639</v>
      </c>
      <c r="O61" s="95">
        <v>70.432599999999994</v>
      </c>
      <c r="P61" s="96">
        <v>6.7999999999999996E-3</v>
      </c>
    </row>
    <row r="62" spans="1:16">
      <c r="A62" s="112">
        <v>34669</v>
      </c>
      <c r="B62" s="113">
        <v>34669</v>
      </c>
      <c r="C62" s="114">
        <v>17.760000000000002</v>
      </c>
      <c r="D62" s="114">
        <v>18.07</v>
      </c>
      <c r="E62" s="115">
        <v>-1.72E-2</v>
      </c>
      <c r="F62" s="116"/>
      <c r="G62" s="113">
        <v>34669</v>
      </c>
      <c r="H62" s="114">
        <v>13.2</v>
      </c>
      <c r="I62" s="118"/>
      <c r="J62" s="119">
        <v>34669</v>
      </c>
      <c r="K62" s="120">
        <v>96.05</v>
      </c>
      <c r="L62" s="120">
        <v>107.74</v>
      </c>
      <c r="M62" s="118"/>
      <c r="N62" s="121">
        <v>34669</v>
      </c>
      <c r="O62" s="95">
        <v>71.152299999999997</v>
      </c>
      <c r="P62" s="96">
        <v>1.0200000000000001E-2</v>
      </c>
    </row>
    <row r="63" spans="1:16">
      <c r="A63" s="112">
        <v>34700</v>
      </c>
      <c r="B63" s="113">
        <v>34700</v>
      </c>
      <c r="C63" s="114">
        <v>18.39</v>
      </c>
      <c r="D63" s="114">
        <v>17.649999999999999</v>
      </c>
      <c r="E63" s="115">
        <v>4.19E-2</v>
      </c>
      <c r="F63" s="116"/>
      <c r="G63" s="113">
        <v>34700</v>
      </c>
      <c r="H63" s="114">
        <v>11.96</v>
      </c>
      <c r="I63" s="118"/>
      <c r="J63" s="119">
        <v>34700</v>
      </c>
      <c r="K63" s="120">
        <v>80.150000000000006</v>
      </c>
      <c r="L63" s="120">
        <v>84.9</v>
      </c>
      <c r="M63" s="118"/>
      <c r="N63" s="121">
        <v>34700</v>
      </c>
      <c r="O63" s="95">
        <v>71.273399999999995</v>
      </c>
      <c r="P63" s="96">
        <v>1.6999999999999999E-3</v>
      </c>
    </row>
    <row r="64" spans="1:16">
      <c r="A64" s="112">
        <v>34731</v>
      </c>
      <c r="B64" s="113">
        <v>34731</v>
      </c>
      <c r="C64" s="114">
        <v>18.489999999999998</v>
      </c>
      <c r="D64" s="114">
        <v>18.38</v>
      </c>
      <c r="E64" s="115">
        <v>6.0000000000000001E-3</v>
      </c>
      <c r="F64" s="116"/>
      <c r="G64" s="113">
        <v>34731</v>
      </c>
      <c r="H64" s="114">
        <v>11.75</v>
      </c>
      <c r="I64" s="118"/>
      <c r="J64" s="119">
        <v>34731</v>
      </c>
      <c r="K64" s="120">
        <v>76.88</v>
      </c>
      <c r="L64" s="120">
        <v>72.59</v>
      </c>
      <c r="M64" s="118"/>
      <c r="N64" s="121">
        <v>34731</v>
      </c>
      <c r="O64" s="95">
        <v>71.192999999999998</v>
      </c>
      <c r="P64" s="96">
        <v>-1.1000000000000001E-3</v>
      </c>
    </row>
    <row r="65" spans="1:16">
      <c r="A65" s="112">
        <v>34759</v>
      </c>
      <c r="B65" s="113">
        <v>34759</v>
      </c>
      <c r="C65" s="114">
        <v>19.170000000000002</v>
      </c>
      <c r="D65" s="114">
        <v>18.52</v>
      </c>
      <c r="E65" s="115">
        <v>3.5099999999999999E-2</v>
      </c>
      <c r="F65" s="116"/>
      <c r="G65" s="113">
        <v>34759</v>
      </c>
      <c r="H65" s="114">
        <v>13.37</v>
      </c>
      <c r="I65" s="118"/>
      <c r="J65" s="119">
        <v>34759</v>
      </c>
      <c r="K65" s="120">
        <v>82.24</v>
      </c>
      <c r="L65" s="120">
        <v>79.16</v>
      </c>
      <c r="M65" s="118"/>
      <c r="N65" s="121">
        <v>34759</v>
      </c>
      <c r="O65" s="95">
        <v>71.311300000000003</v>
      </c>
      <c r="P65" s="96">
        <v>1.6999999999999999E-3</v>
      </c>
    </row>
    <row r="66" spans="1:16">
      <c r="A66" s="112">
        <v>34790</v>
      </c>
      <c r="B66" s="113">
        <v>34790</v>
      </c>
      <c r="C66" s="114">
        <v>20.38</v>
      </c>
      <c r="D66" s="114">
        <v>19.12</v>
      </c>
      <c r="E66" s="115">
        <v>6.59E-2</v>
      </c>
      <c r="F66" s="116"/>
      <c r="G66" s="113">
        <v>34790</v>
      </c>
      <c r="H66" s="114">
        <v>11.75</v>
      </c>
      <c r="I66" s="118"/>
      <c r="J66" s="119">
        <v>34790</v>
      </c>
      <c r="K66" s="120">
        <v>99.19</v>
      </c>
      <c r="L66" s="120">
        <v>93.92</v>
      </c>
      <c r="M66" s="118"/>
      <c r="N66" s="121">
        <v>34790</v>
      </c>
      <c r="O66" s="95">
        <v>71.188199999999995</v>
      </c>
      <c r="P66" s="96">
        <v>-1.6999999999999999E-3</v>
      </c>
    </row>
    <row r="67" spans="1:16">
      <c r="A67" s="123">
        <v>34820</v>
      </c>
      <c r="B67" s="124">
        <v>34820</v>
      </c>
      <c r="C67" s="114">
        <v>18.89</v>
      </c>
      <c r="D67" s="114">
        <v>20.49</v>
      </c>
      <c r="E67" s="115">
        <v>-7.8100000000000003E-2</v>
      </c>
      <c r="F67" s="116"/>
      <c r="G67" s="124">
        <v>34820</v>
      </c>
      <c r="H67" s="114">
        <v>12.85</v>
      </c>
      <c r="I67" s="118"/>
      <c r="J67" s="119">
        <v>34820</v>
      </c>
      <c r="K67" s="120">
        <v>87.84</v>
      </c>
      <c r="L67" s="120">
        <v>96.41</v>
      </c>
      <c r="M67" s="118"/>
      <c r="N67" s="121">
        <v>34820</v>
      </c>
      <c r="O67" s="95">
        <v>71.537800000000004</v>
      </c>
      <c r="P67" s="96">
        <v>4.8999999999999998E-3</v>
      </c>
    </row>
    <row r="68" spans="1:16">
      <c r="A68" s="112">
        <v>34851</v>
      </c>
      <c r="B68" s="113">
        <v>34851</v>
      </c>
      <c r="C68" s="114">
        <v>17.399999999999999</v>
      </c>
      <c r="D68" s="114">
        <v>18.87</v>
      </c>
      <c r="E68" s="115">
        <v>-7.7899999999999997E-2</v>
      </c>
      <c r="F68" s="116"/>
      <c r="G68" s="113">
        <v>34851</v>
      </c>
      <c r="H68" s="114">
        <v>11.38</v>
      </c>
      <c r="I68" s="118"/>
      <c r="J68" s="119">
        <v>34851</v>
      </c>
      <c r="K68" s="120">
        <v>104.61</v>
      </c>
      <c r="L68" s="120">
        <v>121.58</v>
      </c>
      <c r="M68" s="118"/>
      <c r="N68" s="121">
        <v>34851</v>
      </c>
      <c r="O68" s="95">
        <v>71.774900000000002</v>
      </c>
      <c r="P68" s="96">
        <v>3.3E-3</v>
      </c>
    </row>
    <row r="69" spans="1:16">
      <c r="A69" s="112">
        <v>34881</v>
      </c>
      <c r="B69" s="113">
        <v>34881</v>
      </c>
      <c r="C69" s="114">
        <v>17.559999999999999</v>
      </c>
      <c r="D69" s="114">
        <v>17.11</v>
      </c>
      <c r="E69" s="115">
        <v>2.63E-2</v>
      </c>
      <c r="F69" s="116"/>
      <c r="G69" s="113">
        <v>34881</v>
      </c>
      <c r="H69" s="114">
        <v>13.49</v>
      </c>
      <c r="I69" s="118"/>
      <c r="J69" s="119">
        <v>34881</v>
      </c>
      <c r="K69" s="120">
        <v>107.65</v>
      </c>
      <c r="L69" s="120">
        <v>115.32</v>
      </c>
      <c r="M69" s="118"/>
      <c r="N69" s="121">
        <v>34881</v>
      </c>
      <c r="O69" s="95">
        <v>71.474800000000002</v>
      </c>
      <c r="P69" s="96">
        <v>-4.1999999999999997E-3</v>
      </c>
    </row>
    <row r="70" spans="1:16">
      <c r="A70" s="112">
        <v>34912</v>
      </c>
      <c r="B70" s="113">
        <v>34912</v>
      </c>
      <c r="C70" s="114">
        <v>17.84</v>
      </c>
      <c r="D70" s="114">
        <v>17.559999999999999</v>
      </c>
      <c r="E70" s="115">
        <v>1.5900000000000001E-2</v>
      </c>
      <c r="F70" s="116"/>
      <c r="G70" s="113">
        <v>34912</v>
      </c>
      <c r="H70" s="114">
        <v>11.52</v>
      </c>
      <c r="I70" s="118"/>
      <c r="J70" s="119">
        <v>34912</v>
      </c>
      <c r="K70" s="120">
        <v>106.93</v>
      </c>
      <c r="L70" s="120">
        <v>118.5</v>
      </c>
      <c r="M70" s="118"/>
      <c r="N70" s="121">
        <v>34912</v>
      </c>
      <c r="O70" s="95">
        <v>72.422300000000007</v>
      </c>
      <c r="P70" s="96">
        <v>1.3299999999999999E-2</v>
      </c>
    </row>
    <row r="71" spans="1:16">
      <c r="A71" s="112">
        <v>34943</v>
      </c>
      <c r="B71" s="113">
        <v>34943</v>
      </c>
      <c r="C71" s="114">
        <v>17.54</v>
      </c>
      <c r="D71" s="114">
        <v>17.899999999999999</v>
      </c>
      <c r="E71" s="115">
        <v>-2.01E-2</v>
      </c>
      <c r="F71" s="116"/>
      <c r="G71" s="113">
        <v>34943</v>
      </c>
      <c r="H71" s="114">
        <v>12.74</v>
      </c>
      <c r="I71" s="118"/>
      <c r="J71" s="119">
        <v>34943</v>
      </c>
      <c r="K71" s="120">
        <v>71.209999999999994</v>
      </c>
      <c r="L71" s="120">
        <v>72.98</v>
      </c>
      <c r="M71" s="118"/>
      <c r="N71" s="121">
        <v>34943</v>
      </c>
      <c r="O71" s="95">
        <v>72.714399999999998</v>
      </c>
      <c r="P71" s="96">
        <v>4.0000000000000001E-3</v>
      </c>
    </row>
    <row r="72" spans="1:16">
      <c r="A72" s="112">
        <v>34973</v>
      </c>
      <c r="B72" s="113">
        <v>34973</v>
      </c>
      <c r="C72" s="114">
        <v>17.64</v>
      </c>
      <c r="D72" s="114">
        <v>17.53</v>
      </c>
      <c r="E72" s="115">
        <v>6.3E-3</v>
      </c>
      <c r="F72" s="116"/>
      <c r="G72" s="113">
        <v>34973</v>
      </c>
      <c r="H72" s="114">
        <v>13.83</v>
      </c>
      <c r="I72" s="118"/>
      <c r="J72" s="119">
        <v>34973</v>
      </c>
      <c r="K72" s="120">
        <v>67.739999999999995</v>
      </c>
      <c r="L72" s="120">
        <v>64.28</v>
      </c>
      <c r="M72" s="118"/>
      <c r="N72" s="121">
        <v>34973</v>
      </c>
      <c r="O72" s="95">
        <v>72.586600000000004</v>
      </c>
      <c r="P72" s="96">
        <v>-1.8E-3</v>
      </c>
    </row>
    <row r="73" spans="1:16">
      <c r="A73" s="112">
        <v>35004</v>
      </c>
      <c r="B73" s="113">
        <v>35004</v>
      </c>
      <c r="C73" s="114">
        <v>18.18</v>
      </c>
      <c r="D73" s="114">
        <v>17.649999999999999</v>
      </c>
      <c r="E73" s="115">
        <v>0.03</v>
      </c>
      <c r="F73" s="116"/>
      <c r="G73" s="113">
        <v>35004</v>
      </c>
      <c r="H73" s="114">
        <v>11.58</v>
      </c>
      <c r="I73" s="118"/>
      <c r="J73" s="119">
        <v>35004</v>
      </c>
      <c r="K73" s="120">
        <v>76.33</v>
      </c>
      <c r="L73" s="120">
        <v>78.81</v>
      </c>
      <c r="M73" s="118"/>
      <c r="N73" s="121">
        <v>35004</v>
      </c>
      <c r="O73" s="95">
        <v>72.777900000000002</v>
      </c>
      <c r="P73" s="96">
        <v>2.5999999999999999E-3</v>
      </c>
    </row>
    <row r="74" spans="1:16">
      <c r="A74" s="112">
        <v>35034</v>
      </c>
      <c r="B74" s="113">
        <v>35034</v>
      </c>
      <c r="C74" s="114">
        <v>19.55</v>
      </c>
      <c r="D74" s="114">
        <v>18.18</v>
      </c>
      <c r="E74" s="115">
        <v>7.5399999999999995E-2</v>
      </c>
      <c r="F74" s="116"/>
      <c r="G74" s="113">
        <v>35034</v>
      </c>
      <c r="H74" s="114">
        <v>12.52</v>
      </c>
      <c r="I74" s="118"/>
      <c r="J74" s="119">
        <v>35034</v>
      </c>
      <c r="K74" s="120">
        <v>65.67</v>
      </c>
      <c r="L74" s="120">
        <v>68.98</v>
      </c>
      <c r="M74" s="118"/>
      <c r="N74" s="121">
        <v>35034</v>
      </c>
      <c r="O74" s="95">
        <v>73.030500000000004</v>
      </c>
      <c r="P74" s="96">
        <v>3.5000000000000001E-3</v>
      </c>
    </row>
    <row r="75" spans="1:16">
      <c r="A75" s="112">
        <v>35065</v>
      </c>
      <c r="B75" s="113">
        <v>35065</v>
      </c>
      <c r="C75" s="114">
        <v>17.739999999999998</v>
      </c>
      <c r="D75" s="114">
        <v>19.52</v>
      </c>
      <c r="E75" s="115">
        <v>-9.1200000000000003E-2</v>
      </c>
      <c r="F75" s="116"/>
      <c r="G75" s="113">
        <v>35065</v>
      </c>
      <c r="H75" s="114">
        <v>12.53</v>
      </c>
      <c r="I75" s="118"/>
      <c r="J75" s="119">
        <v>35065</v>
      </c>
      <c r="K75" s="120">
        <v>75.63</v>
      </c>
      <c r="L75" s="120">
        <v>73.66</v>
      </c>
      <c r="M75" s="118"/>
      <c r="N75" s="121">
        <v>35065</v>
      </c>
      <c r="O75" s="95">
        <v>72.612499999999997</v>
      </c>
      <c r="P75" s="96">
        <v>-5.7000000000000002E-3</v>
      </c>
    </row>
    <row r="76" spans="1:16">
      <c r="A76" s="112">
        <v>35096</v>
      </c>
      <c r="B76" s="113">
        <v>35096</v>
      </c>
      <c r="C76" s="114">
        <v>19.54</v>
      </c>
      <c r="D76" s="114">
        <v>17.72</v>
      </c>
      <c r="E76" s="115">
        <v>0.1027</v>
      </c>
      <c r="F76" s="116"/>
      <c r="G76" s="113">
        <v>35096</v>
      </c>
      <c r="H76" s="114">
        <v>17.04</v>
      </c>
      <c r="I76" s="118"/>
      <c r="J76" s="119">
        <v>35096</v>
      </c>
      <c r="K76" s="120">
        <v>80.42</v>
      </c>
      <c r="L76" s="120">
        <v>85.98</v>
      </c>
      <c r="M76" s="118"/>
      <c r="N76" s="121">
        <v>35096</v>
      </c>
      <c r="O76" s="95">
        <v>73.675200000000004</v>
      </c>
      <c r="P76" s="96">
        <v>1.46E-2</v>
      </c>
    </row>
    <row r="77" spans="1:16">
      <c r="A77" s="112">
        <v>35125</v>
      </c>
      <c r="B77" s="113">
        <v>35125</v>
      </c>
      <c r="C77" s="114">
        <v>21.47</v>
      </c>
      <c r="D77" s="114">
        <v>19.55</v>
      </c>
      <c r="E77" s="115">
        <v>9.8199999999999996E-2</v>
      </c>
      <c r="F77" s="116"/>
      <c r="G77" s="113">
        <v>35125</v>
      </c>
      <c r="H77" s="114">
        <v>18.88</v>
      </c>
      <c r="I77" s="118"/>
      <c r="J77" s="119">
        <v>35125</v>
      </c>
      <c r="K77" s="120">
        <v>82.15</v>
      </c>
      <c r="L77" s="120">
        <v>77.89</v>
      </c>
      <c r="M77" s="118"/>
      <c r="N77" s="121">
        <v>35125</v>
      </c>
      <c r="O77" s="95">
        <v>73.584999999999994</v>
      </c>
      <c r="P77" s="96">
        <v>-1.1999999999999999E-3</v>
      </c>
    </row>
    <row r="78" spans="1:16">
      <c r="A78" s="112">
        <v>35156</v>
      </c>
      <c r="B78" s="113">
        <v>35156</v>
      </c>
      <c r="C78" s="114">
        <v>21.2</v>
      </c>
      <c r="D78" s="114">
        <v>21.38</v>
      </c>
      <c r="E78" s="115">
        <v>-8.3999999999999995E-3</v>
      </c>
      <c r="F78" s="116"/>
      <c r="G78" s="113">
        <v>35156</v>
      </c>
      <c r="H78" s="114">
        <v>15.83</v>
      </c>
      <c r="I78" s="118"/>
      <c r="J78" s="119">
        <v>35156</v>
      </c>
      <c r="K78" s="120">
        <v>84.83</v>
      </c>
      <c r="L78" s="120">
        <v>71.23</v>
      </c>
      <c r="M78" s="118"/>
      <c r="N78" s="121">
        <v>35156</v>
      </c>
      <c r="O78" s="95">
        <v>74.3172</v>
      </c>
      <c r="P78" s="96">
        <v>0.01</v>
      </c>
    </row>
    <row r="79" spans="1:16">
      <c r="A79" s="123">
        <v>35186</v>
      </c>
      <c r="B79" s="124">
        <v>35186</v>
      </c>
      <c r="C79" s="114">
        <v>19.760000000000002</v>
      </c>
      <c r="D79" s="114">
        <v>20.9</v>
      </c>
      <c r="E79" s="115">
        <v>-5.45E-2</v>
      </c>
      <c r="F79" s="116"/>
      <c r="G79" s="124">
        <v>35186</v>
      </c>
      <c r="H79" s="114">
        <v>16.07</v>
      </c>
      <c r="I79" s="118"/>
      <c r="J79" s="119">
        <v>35186</v>
      </c>
      <c r="K79" s="120">
        <v>65.53</v>
      </c>
      <c r="L79" s="120">
        <v>59.19</v>
      </c>
      <c r="M79" s="118"/>
      <c r="N79" s="121">
        <v>35186</v>
      </c>
      <c r="O79" s="95">
        <v>74.872600000000006</v>
      </c>
      <c r="P79" s="96">
        <v>7.4999999999999997E-3</v>
      </c>
    </row>
    <row r="80" spans="1:16">
      <c r="A80" s="112">
        <v>35217</v>
      </c>
      <c r="B80" s="113">
        <v>35217</v>
      </c>
      <c r="C80" s="114">
        <v>20.92</v>
      </c>
      <c r="D80" s="114">
        <v>19.760000000000002</v>
      </c>
      <c r="E80" s="115">
        <v>5.8700000000000002E-2</v>
      </c>
      <c r="F80" s="116"/>
      <c r="G80" s="113">
        <v>35217</v>
      </c>
      <c r="H80" s="114">
        <v>13.68</v>
      </c>
      <c r="I80" s="118"/>
      <c r="J80" s="119">
        <v>35217</v>
      </c>
      <c r="K80" s="120">
        <v>69.09</v>
      </c>
      <c r="L80" s="120">
        <v>72.53</v>
      </c>
      <c r="M80" s="118"/>
      <c r="N80" s="121">
        <v>35217</v>
      </c>
      <c r="O80" s="95">
        <v>75.443299999999994</v>
      </c>
      <c r="P80" s="96">
        <v>7.6E-3</v>
      </c>
    </row>
    <row r="81" spans="1:16">
      <c r="A81" s="112">
        <v>35247</v>
      </c>
      <c r="B81" s="113">
        <v>35247</v>
      </c>
      <c r="C81" s="114">
        <v>20.420000000000002</v>
      </c>
      <c r="D81" s="114">
        <v>20.95</v>
      </c>
      <c r="E81" s="115">
        <v>-2.53E-2</v>
      </c>
      <c r="F81" s="116"/>
      <c r="G81" s="113">
        <v>35247</v>
      </c>
      <c r="H81" s="114">
        <v>19.46</v>
      </c>
      <c r="I81" s="118"/>
      <c r="J81" s="119">
        <v>35247</v>
      </c>
      <c r="K81" s="120">
        <v>80.64</v>
      </c>
      <c r="L81" s="120">
        <v>74.91</v>
      </c>
      <c r="M81" s="118"/>
      <c r="N81" s="121">
        <v>35247</v>
      </c>
      <c r="O81" s="95">
        <v>75.454899999999995</v>
      </c>
      <c r="P81" s="96">
        <v>2.0000000000000001E-4</v>
      </c>
    </row>
    <row r="82" spans="1:16">
      <c r="A82" s="112">
        <v>35278</v>
      </c>
      <c r="B82" s="113">
        <v>35278</v>
      </c>
      <c r="C82" s="114">
        <v>22.25</v>
      </c>
      <c r="D82" s="114">
        <v>20.399999999999999</v>
      </c>
      <c r="E82" s="115">
        <v>9.0700000000000003E-2</v>
      </c>
      <c r="F82" s="116"/>
      <c r="G82" s="113">
        <v>35278</v>
      </c>
      <c r="H82" s="114">
        <v>17.010000000000002</v>
      </c>
      <c r="I82" s="118"/>
      <c r="J82" s="119">
        <v>35278</v>
      </c>
      <c r="K82" s="120">
        <v>81.69</v>
      </c>
      <c r="L82" s="120">
        <v>81.73</v>
      </c>
      <c r="M82" s="118"/>
      <c r="N82" s="121">
        <v>35278</v>
      </c>
      <c r="O82" s="95">
        <v>75.841099999999997</v>
      </c>
      <c r="P82" s="96">
        <v>5.1000000000000004E-3</v>
      </c>
    </row>
    <row r="83" spans="1:16">
      <c r="A83" s="112">
        <v>35309</v>
      </c>
      <c r="B83" s="113">
        <v>35309</v>
      </c>
      <c r="C83" s="114">
        <v>24.38</v>
      </c>
      <c r="D83" s="114">
        <v>23.4</v>
      </c>
      <c r="E83" s="115">
        <v>4.19E-2</v>
      </c>
      <c r="F83" s="116"/>
      <c r="G83" s="113">
        <v>35309</v>
      </c>
      <c r="H83" s="114">
        <v>16.95</v>
      </c>
      <c r="I83" s="118"/>
      <c r="J83" s="119">
        <v>35309</v>
      </c>
      <c r="K83" s="120">
        <v>88.2</v>
      </c>
      <c r="L83" s="120">
        <v>87.05</v>
      </c>
      <c r="M83" s="118"/>
      <c r="N83" s="121">
        <v>35309</v>
      </c>
      <c r="O83" s="95">
        <v>76.315799999999996</v>
      </c>
      <c r="P83" s="96">
        <v>6.3E-3</v>
      </c>
    </row>
    <row r="84" spans="1:16">
      <c r="A84" s="112">
        <v>35339</v>
      </c>
      <c r="B84" s="113">
        <v>35339</v>
      </c>
      <c r="C84" s="114">
        <v>23.35</v>
      </c>
      <c r="D84" s="114">
        <v>24.1</v>
      </c>
      <c r="E84" s="115">
        <v>-3.1099999999999999E-2</v>
      </c>
      <c r="F84" s="116"/>
      <c r="G84" s="113">
        <v>35339</v>
      </c>
      <c r="H84" s="114">
        <v>18.11</v>
      </c>
      <c r="I84" s="118"/>
      <c r="J84" s="119">
        <v>35339</v>
      </c>
      <c r="K84" s="120">
        <v>55.59</v>
      </c>
      <c r="L84" s="120">
        <v>56.88</v>
      </c>
      <c r="M84" s="118"/>
      <c r="N84" s="121">
        <v>35339</v>
      </c>
      <c r="O84" s="95">
        <v>76.338399999999993</v>
      </c>
      <c r="P84" s="96">
        <v>2.9999999999999997E-4</v>
      </c>
    </row>
    <row r="85" spans="1:16">
      <c r="A85" s="112">
        <v>35370</v>
      </c>
      <c r="B85" s="113">
        <v>35370</v>
      </c>
      <c r="C85" s="114">
        <v>23.75</v>
      </c>
      <c r="D85" s="114">
        <v>23.2</v>
      </c>
      <c r="E85" s="115">
        <v>2.3699999999999999E-2</v>
      </c>
      <c r="F85" s="116"/>
      <c r="G85" s="113">
        <v>35370</v>
      </c>
      <c r="H85" s="114">
        <v>17.14</v>
      </c>
      <c r="I85" s="118"/>
      <c r="J85" s="119">
        <v>35370</v>
      </c>
      <c r="K85" s="120">
        <v>57.34</v>
      </c>
      <c r="L85" s="120">
        <v>58.06</v>
      </c>
      <c r="M85" s="118"/>
      <c r="N85" s="121">
        <v>35370</v>
      </c>
      <c r="O85" s="95">
        <v>77.039699999999996</v>
      </c>
      <c r="P85" s="96">
        <v>9.1999999999999998E-3</v>
      </c>
    </row>
    <row r="86" spans="1:16">
      <c r="A86" s="112">
        <v>35400</v>
      </c>
      <c r="B86" s="113">
        <v>35400</v>
      </c>
      <c r="C86" s="114">
        <v>25.92</v>
      </c>
      <c r="D86" s="114">
        <v>23.9</v>
      </c>
      <c r="E86" s="115">
        <v>8.4500000000000006E-2</v>
      </c>
      <c r="F86" s="116"/>
      <c r="G86" s="113">
        <v>35400</v>
      </c>
      <c r="H86" s="114">
        <v>20.92</v>
      </c>
      <c r="I86" s="118"/>
      <c r="J86" s="119">
        <v>35400</v>
      </c>
      <c r="K86" s="120">
        <v>74.98</v>
      </c>
      <c r="L86" s="120">
        <v>80.180000000000007</v>
      </c>
      <c r="M86" s="118"/>
      <c r="N86" s="121">
        <v>35400</v>
      </c>
      <c r="O86" s="95">
        <v>77.533299999999997</v>
      </c>
      <c r="P86" s="96">
        <v>6.4000000000000003E-3</v>
      </c>
    </row>
    <row r="87" spans="1:16">
      <c r="A87" s="112">
        <v>35431</v>
      </c>
      <c r="B87" s="113">
        <v>35431</v>
      </c>
      <c r="C87" s="114">
        <v>24.15</v>
      </c>
      <c r="D87" s="114">
        <v>25.88</v>
      </c>
      <c r="E87" s="115">
        <v>-6.6799999999999998E-2</v>
      </c>
      <c r="F87" s="116"/>
      <c r="G87" s="113">
        <v>35431</v>
      </c>
      <c r="H87" s="114">
        <v>19.47</v>
      </c>
      <c r="I87" s="118"/>
      <c r="J87" s="119">
        <v>35431</v>
      </c>
      <c r="K87" s="120">
        <v>54.06</v>
      </c>
      <c r="L87" s="120">
        <v>53.26</v>
      </c>
      <c r="M87" s="118"/>
      <c r="N87" s="121">
        <v>35431</v>
      </c>
      <c r="O87" s="95">
        <v>77.656199999999998</v>
      </c>
      <c r="P87" s="96">
        <v>1.6000000000000001E-3</v>
      </c>
    </row>
    <row r="88" spans="1:16">
      <c r="A88" s="112">
        <v>35462</v>
      </c>
      <c r="B88" s="113">
        <v>35462</v>
      </c>
      <c r="C88" s="114">
        <v>20.3</v>
      </c>
      <c r="D88" s="114">
        <v>24.09</v>
      </c>
      <c r="E88" s="115">
        <v>-0.1573</v>
      </c>
      <c r="F88" s="116"/>
      <c r="G88" s="113">
        <v>35462</v>
      </c>
      <c r="H88" s="114">
        <v>21.1</v>
      </c>
      <c r="I88" s="118"/>
      <c r="J88" s="119">
        <v>35462</v>
      </c>
      <c r="K88" s="120">
        <v>50.56</v>
      </c>
      <c r="L88" s="120">
        <v>54.5</v>
      </c>
      <c r="M88" s="118"/>
      <c r="N88" s="121">
        <v>35462</v>
      </c>
      <c r="O88" s="95">
        <v>78.583299999999994</v>
      </c>
      <c r="P88" s="96">
        <v>1.1900000000000001E-2</v>
      </c>
    </row>
    <row r="89" spans="1:16">
      <c r="A89" s="112">
        <v>35490</v>
      </c>
      <c r="B89" s="113">
        <v>35490</v>
      </c>
      <c r="C89" s="114">
        <v>20.41</v>
      </c>
      <c r="D89" s="114">
        <v>20.29</v>
      </c>
      <c r="E89" s="115">
        <v>5.8999999999999999E-3</v>
      </c>
      <c r="F89" s="116"/>
      <c r="G89" s="113">
        <v>35490</v>
      </c>
      <c r="H89" s="114">
        <v>22.14</v>
      </c>
      <c r="I89" s="118"/>
      <c r="J89" s="119">
        <v>35490</v>
      </c>
      <c r="K89" s="120">
        <v>58.48</v>
      </c>
      <c r="L89" s="120">
        <v>56.37</v>
      </c>
      <c r="M89" s="118"/>
      <c r="N89" s="121">
        <v>35490</v>
      </c>
      <c r="O89" s="95">
        <v>79.081999999999994</v>
      </c>
      <c r="P89" s="96">
        <v>6.3E-3</v>
      </c>
    </row>
    <row r="90" spans="1:16">
      <c r="A90" s="112">
        <v>35521</v>
      </c>
      <c r="B90" s="113">
        <v>35521</v>
      </c>
      <c r="C90" s="114">
        <v>20.21</v>
      </c>
      <c r="D90" s="114">
        <v>20.41</v>
      </c>
      <c r="E90" s="115">
        <v>-9.7999999999999997E-3</v>
      </c>
      <c r="F90" s="116"/>
      <c r="G90" s="113">
        <v>35521</v>
      </c>
      <c r="H90" s="114">
        <v>20.059999999999999</v>
      </c>
      <c r="I90" s="118"/>
      <c r="J90" s="119">
        <v>35521</v>
      </c>
      <c r="K90" s="120">
        <v>62.84</v>
      </c>
      <c r="L90" s="120">
        <v>62.38</v>
      </c>
      <c r="M90" s="118"/>
      <c r="N90" s="121">
        <v>35521</v>
      </c>
      <c r="O90" s="95">
        <v>79.174700000000001</v>
      </c>
      <c r="P90" s="96">
        <v>1.1999999999999999E-3</v>
      </c>
    </row>
    <row r="91" spans="1:16">
      <c r="A91" s="123">
        <v>35551</v>
      </c>
      <c r="B91" s="124">
        <v>35551</v>
      </c>
      <c r="C91" s="114">
        <v>20.88</v>
      </c>
      <c r="D91" s="114">
        <v>20.079999999999998</v>
      </c>
      <c r="E91" s="115">
        <v>3.9800000000000002E-2</v>
      </c>
      <c r="F91" s="116"/>
      <c r="G91" s="124">
        <v>35551</v>
      </c>
      <c r="H91" s="114">
        <v>19.190000000000001</v>
      </c>
      <c r="I91" s="118"/>
      <c r="J91" s="119">
        <v>35551</v>
      </c>
      <c r="K91" s="120">
        <v>53.58</v>
      </c>
      <c r="L91" s="120">
        <v>53.54</v>
      </c>
      <c r="M91" s="118"/>
      <c r="N91" s="121">
        <v>35551</v>
      </c>
      <c r="O91" s="95">
        <v>79.613299999999995</v>
      </c>
      <c r="P91" s="96">
        <v>5.4999999999999997E-3</v>
      </c>
    </row>
    <row r="92" spans="1:16">
      <c r="A92" s="112">
        <v>35582</v>
      </c>
      <c r="B92" s="113">
        <v>35582</v>
      </c>
      <c r="C92" s="114">
        <v>19.8</v>
      </c>
      <c r="D92" s="114">
        <v>20.64</v>
      </c>
      <c r="E92" s="115">
        <v>-4.07E-2</v>
      </c>
      <c r="F92" s="116"/>
      <c r="G92" s="113">
        <v>35582</v>
      </c>
      <c r="H92" s="114">
        <v>21.53</v>
      </c>
      <c r="I92" s="118"/>
      <c r="J92" s="119">
        <v>35582</v>
      </c>
      <c r="K92" s="120">
        <v>39.049999999999997</v>
      </c>
      <c r="L92" s="120">
        <v>36.69</v>
      </c>
      <c r="M92" s="118"/>
      <c r="N92" s="121">
        <v>35582</v>
      </c>
      <c r="O92" s="95">
        <v>79.979200000000006</v>
      </c>
      <c r="P92" s="96">
        <v>4.5999999999999999E-3</v>
      </c>
    </row>
    <row r="93" spans="1:16">
      <c r="A93" s="112">
        <v>35612</v>
      </c>
      <c r="B93" s="113">
        <v>35612</v>
      </c>
      <c r="C93" s="114">
        <v>20.14</v>
      </c>
      <c r="D93" s="114">
        <v>19.82</v>
      </c>
      <c r="E93" s="115">
        <v>1.61E-2</v>
      </c>
      <c r="F93" s="116"/>
      <c r="G93" s="113">
        <v>35612</v>
      </c>
      <c r="H93" s="114">
        <v>21.48</v>
      </c>
      <c r="I93" s="118"/>
      <c r="J93" s="119">
        <v>35612</v>
      </c>
      <c r="K93" s="120">
        <v>47.7</v>
      </c>
      <c r="L93" s="120">
        <v>47.43</v>
      </c>
      <c r="M93" s="118"/>
      <c r="N93" s="121">
        <v>35612</v>
      </c>
      <c r="O93" s="95">
        <v>80.662400000000005</v>
      </c>
      <c r="P93" s="96">
        <v>8.5000000000000006E-3</v>
      </c>
    </row>
    <row r="94" spans="1:16">
      <c r="A94" s="112">
        <v>35643</v>
      </c>
      <c r="B94" s="113">
        <v>35643</v>
      </c>
      <c r="C94" s="114">
        <v>19.61</v>
      </c>
      <c r="D94" s="114">
        <v>20.149999999999999</v>
      </c>
      <c r="E94" s="115">
        <v>-2.6800000000000001E-2</v>
      </c>
      <c r="F94" s="116"/>
      <c r="G94" s="113">
        <v>35643</v>
      </c>
      <c r="H94" s="114">
        <v>24.76</v>
      </c>
      <c r="I94" s="118"/>
      <c r="J94" s="119">
        <v>35643</v>
      </c>
      <c r="K94" s="120">
        <v>48.58</v>
      </c>
      <c r="L94" s="120">
        <v>46.31</v>
      </c>
      <c r="M94" s="118"/>
      <c r="N94" s="121">
        <v>35643</v>
      </c>
      <c r="O94" s="95">
        <v>81.469399999999993</v>
      </c>
      <c r="P94" s="96">
        <v>0.01</v>
      </c>
    </row>
    <row r="95" spans="1:16">
      <c r="A95" s="112">
        <v>35674</v>
      </c>
      <c r="B95" s="113">
        <v>35674</v>
      </c>
      <c r="C95" s="114">
        <v>21.18</v>
      </c>
      <c r="D95" s="114">
        <v>19.600000000000001</v>
      </c>
      <c r="E95" s="115">
        <v>8.0600000000000005E-2</v>
      </c>
      <c r="F95" s="116"/>
      <c r="G95" s="113">
        <v>35674</v>
      </c>
      <c r="H95" s="114">
        <v>22.91</v>
      </c>
      <c r="I95" s="118"/>
      <c r="J95" s="119">
        <v>35674</v>
      </c>
      <c r="K95" s="120">
        <v>42.69</v>
      </c>
      <c r="L95" s="120">
        <v>41.64</v>
      </c>
      <c r="M95" s="118"/>
      <c r="N95" s="121">
        <v>35674</v>
      </c>
      <c r="O95" s="95">
        <v>82.215599999999995</v>
      </c>
      <c r="P95" s="96">
        <v>9.1999999999999998E-3</v>
      </c>
    </row>
    <row r="96" spans="1:16">
      <c r="A96" s="112">
        <v>35704</v>
      </c>
      <c r="B96" s="113">
        <v>35704</v>
      </c>
      <c r="C96" s="114">
        <v>21.08</v>
      </c>
      <c r="D96" s="114">
        <v>21.16</v>
      </c>
      <c r="E96" s="115">
        <v>-3.8E-3</v>
      </c>
      <c r="F96" s="116"/>
      <c r="G96" s="113">
        <v>35704</v>
      </c>
      <c r="H96" s="114">
        <v>35.090000000000003</v>
      </c>
      <c r="I96" s="118"/>
      <c r="J96" s="119">
        <v>35704</v>
      </c>
      <c r="K96" s="120">
        <v>49.75</v>
      </c>
      <c r="L96" s="120">
        <v>58.69</v>
      </c>
      <c r="M96" s="118"/>
      <c r="N96" s="121">
        <v>35704</v>
      </c>
      <c r="O96" s="95">
        <v>82.944599999999994</v>
      </c>
      <c r="P96" s="96">
        <v>8.8999999999999999E-3</v>
      </c>
    </row>
    <row r="97" spans="1:16">
      <c r="A97" s="112">
        <v>35735</v>
      </c>
      <c r="B97" s="113">
        <v>35735</v>
      </c>
      <c r="C97" s="114">
        <v>19.149999999999999</v>
      </c>
      <c r="D97" s="114">
        <v>21.3</v>
      </c>
      <c r="E97" s="115">
        <v>-0.1009</v>
      </c>
      <c r="F97" s="116"/>
      <c r="G97" s="113">
        <v>35735</v>
      </c>
      <c r="H97" s="114">
        <v>27.43</v>
      </c>
      <c r="I97" s="118"/>
      <c r="J97" s="119">
        <v>35735</v>
      </c>
      <c r="K97" s="120">
        <v>59.69</v>
      </c>
      <c r="L97" s="120">
        <v>79.040000000000006</v>
      </c>
      <c r="M97" s="118"/>
      <c r="N97" s="121">
        <v>35735</v>
      </c>
      <c r="O97" s="95">
        <v>83.597800000000007</v>
      </c>
      <c r="P97" s="96">
        <v>7.9000000000000008E-3</v>
      </c>
    </row>
    <row r="98" spans="1:16">
      <c r="A98" s="112">
        <v>35765</v>
      </c>
      <c r="B98" s="113">
        <v>35765</v>
      </c>
      <c r="C98" s="114">
        <v>17.64</v>
      </c>
      <c r="D98" s="114">
        <v>19.07</v>
      </c>
      <c r="E98" s="115">
        <v>-7.4999999999999997E-2</v>
      </c>
      <c r="F98" s="116"/>
      <c r="G98" s="113">
        <v>35765</v>
      </c>
      <c r="H98" s="114">
        <v>24.01</v>
      </c>
      <c r="I98" s="118"/>
      <c r="J98" s="119">
        <v>35765</v>
      </c>
      <c r="K98" s="120">
        <v>44</v>
      </c>
      <c r="L98" s="120">
        <v>48.36</v>
      </c>
      <c r="M98" s="118"/>
      <c r="N98" s="121">
        <v>35765</v>
      </c>
      <c r="O98" s="95">
        <v>83.953800000000001</v>
      </c>
      <c r="P98" s="96">
        <v>4.3E-3</v>
      </c>
    </row>
    <row r="99" spans="1:16">
      <c r="A99" s="112">
        <v>35796</v>
      </c>
      <c r="B99" s="113">
        <v>35796</v>
      </c>
      <c r="C99" s="114">
        <v>17.21</v>
      </c>
      <c r="D99" s="114">
        <v>17.68</v>
      </c>
      <c r="E99" s="115">
        <v>-2.6599999999999999E-2</v>
      </c>
      <c r="F99" s="116"/>
      <c r="G99" s="113">
        <v>35796</v>
      </c>
      <c r="H99" s="114">
        <v>21.47</v>
      </c>
      <c r="I99" s="118"/>
      <c r="J99" s="119">
        <v>35796</v>
      </c>
      <c r="K99" s="120">
        <v>53.1</v>
      </c>
      <c r="L99" s="120">
        <v>59.82</v>
      </c>
      <c r="M99" s="118"/>
      <c r="N99" s="121">
        <v>35796</v>
      </c>
      <c r="O99" s="95">
        <v>84.321799999999996</v>
      </c>
      <c r="P99" s="96">
        <v>4.4000000000000003E-3</v>
      </c>
    </row>
    <row r="100" spans="1:16">
      <c r="A100" s="112">
        <v>35827</v>
      </c>
      <c r="B100" s="113">
        <v>35827</v>
      </c>
      <c r="C100" s="114">
        <v>15.44</v>
      </c>
      <c r="D100" s="114">
        <v>17.16</v>
      </c>
      <c r="E100" s="115">
        <v>-0.1002</v>
      </c>
      <c r="F100" s="116"/>
      <c r="G100" s="113">
        <v>35827</v>
      </c>
      <c r="H100" s="114">
        <v>18.55</v>
      </c>
      <c r="I100" s="118"/>
      <c r="J100" s="119">
        <v>35827</v>
      </c>
      <c r="K100" s="120">
        <v>77.599999999999994</v>
      </c>
      <c r="L100" s="120">
        <v>101.84</v>
      </c>
      <c r="M100" s="118"/>
      <c r="N100" s="121">
        <v>35827</v>
      </c>
      <c r="O100" s="95">
        <v>84.458299999999994</v>
      </c>
      <c r="P100" s="96">
        <v>1.6000000000000001E-3</v>
      </c>
    </row>
    <row r="101" spans="1:16">
      <c r="A101" s="112">
        <v>35855</v>
      </c>
      <c r="B101" s="113">
        <v>35855</v>
      </c>
      <c r="C101" s="114">
        <v>15.61</v>
      </c>
      <c r="D101" s="114">
        <v>15.5</v>
      </c>
      <c r="E101" s="115">
        <v>7.1000000000000004E-3</v>
      </c>
      <c r="F101" s="116"/>
      <c r="G101" s="113">
        <v>35855</v>
      </c>
      <c r="H101" s="114">
        <v>24.22</v>
      </c>
      <c r="I101" s="118"/>
      <c r="J101" s="119">
        <v>35855</v>
      </c>
      <c r="K101" s="120">
        <v>57.25</v>
      </c>
      <c r="L101" s="120">
        <v>65.5</v>
      </c>
      <c r="M101" s="118"/>
      <c r="N101" s="121">
        <v>35855</v>
      </c>
      <c r="O101" s="95">
        <v>84.488</v>
      </c>
      <c r="P101" s="96">
        <v>4.0000000000000002E-4</v>
      </c>
    </row>
    <row r="102" spans="1:16">
      <c r="A102" s="112">
        <v>35886</v>
      </c>
      <c r="B102" s="113">
        <v>35886</v>
      </c>
      <c r="C102" s="114">
        <v>15.39</v>
      </c>
      <c r="D102" s="114">
        <v>15.6</v>
      </c>
      <c r="E102" s="115">
        <v>-1.35E-2</v>
      </c>
      <c r="F102" s="116"/>
      <c r="G102" s="113">
        <v>35886</v>
      </c>
      <c r="H102" s="114">
        <v>21.18</v>
      </c>
      <c r="I102" s="118"/>
      <c r="J102" s="119">
        <v>35886</v>
      </c>
      <c r="K102" s="120">
        <v>51</v>
      </c>
      <c r="L102" s="120">
        <v>58.77</v>
      </c>
      <c r="M102" s="118"/>
      <c r="N102" s="121">
        <v>35886</v>
      </c>
      <c r="O102" s="95">
        <v>84.777900000000002</v>
      </c>
      <c r="P102" s="96">
        <v>3.3999999999999998E-3</v>
      </c>
    </row>
    <row r="103" spans="1:16">
      <c r="A103" s="123">
        <v>35916</v>
      </c>
      <c r="B103" s="124">
        <v>35916</v>
      </c>
      <c r="C103" s="114">
        <v>15.2</v>
      </c>
      <c r="D103" s="114">
        <v>15.51</v>
      </c>
      <c r="E103" s="115">
        <v>-0.02</v>
      </c>
      <c r="F103" s="116"/>
      <c r="G103" s="124">
        <v>35916</v>
      </c>
      <c r="H103" s="114">
        <v>21.32</v>
      </c>
      <c r="I103" s="118"/>
      <c r="J103" s="119">
        <v>35916</v>
      </c>
      <c r="K103" s="120">
        <v>94.47</v>
      </c>
      <c r="L103" s="120">
        <v>129.80000000000001</v>
      </c>
      <c r="M103" s="118"/>
      <c r="N103" s="121">
        <v>35916</v>
      </c>
      <c r="O103" s="95">
        <v>85.336699999999993</v>
      </c>
      <c r="P103" s="96">
        <v>6.6E-3</v>
      </c>
    </row>
    <row r="104" spans="1:16">
      <c r="A104" s="112">
        <v>35947</v>
      </c>
      <c r="B104" s="113">
        <v>35947</v>
      </c>
      <c r="C104" s="114">
        <v>14.18</v>
      </c>
      <c r="D104" s="114">
        <v>15.2</v>
      </c>
      <c r="E104" s="115">
        <v>-6.7100000000000007E-2</v>
      </c>
      <c r="F104" s="116"/>
      <c r="G104" s="113">
        <v>35947</v>
      </c>
      <c r="H104" s="114">
        <v>19.71</v>
      </c>
      <c r="I104" s="118"/>
      <c r="J104" s="119">
        <v>35947</v>
      </c>
      <c r="K104" s="120">
        <v>76.31</v>
      </c>
      <c r="L104" s="120">
        <v>94.95</v>
      </c>
      <c r="M104" s="118"/>
      <c r="N104" s="121">
        <v>35947</v>
      </c>
      <c r="O104" s="95">
        <v>84.824799999999996</v>
      </c>
      <c r="P104" s="96">
        <v>-6.0000000000000001E-3</v>
      </c>
    </row>
    <row r="105" spans="1:16">
      <c r="A105" s="112">
        <v>35977</v>
      </c>
      <c r="B105" s="113">
        <v>35977</v>
      </c>
      <c r="C105" s="114">
        <v>14.21</v>
      </c>
      <c r="D105" s="114">
        <v>14.3</v>
      </c>
      <c r="E105" s="115">
        <v>-6.3E-3</v>
      </c>
      <c r="F105" s="116"/>
      <c r="G105" s="113">
        <v>35977</v>
      </c>
      <c r="H105" s="114">
        <v>24.8</v>
      </c>
      <c r="I105" s="118"/>
      <c r="J105" s="119">
        <v>35977</v>
      </c>
      <c r="K105" s="120">
        <v>54.05</v>
      </c>
      <c r="L105" s="120">
        <v>64.23</v>
      </c>
      <c r="M105" s="118"/>
      <c r="N105" s="121">
        <v>35977</v>
      </c>
      <c r="O105" s="95">
        <v>84.498599999999996</v>
      </c>
      <c r="P105" s="96">
        <v>-3.8E-3</v>
      </c>
    </row>
    <row r="106" spans="1:16">
      <c r="A106" s="112">
        <v>36008</v>
      </c>
      <c r="B106" s="113">
        <v>36008</v>
      </c>
      <c r="C106" s="114">
        <v>13.34</v>
      </c>
      <c r="D106" s="114">
        <v>14.23</v>
      </c>
      <c r="E106" s="115">
        <v>-6.25E-2</v>
      </c>
      <c r="F106" s="116"/>
      <c r="G106" s="113">
        <v>36008</v>
      </c>
      <c r="H106" s="114">
        <v>44.28</v>
      </c>
      <c r="I106" s="118"/>
      <c r="J106" s="119">
        <v>36008</v>
      </c>
      <c r="K106" s="120">
        <v>97.02</v>
      </c>
      <c r="L106" s="120">
        <v>83.94</v>
      </c>
      <c r="M106" s="118"/>
      <c r="N106" s="121">
        <v>36008</v>
      </c>
      <c r="O106" s="95">
        <v>86.248000000000005</v>
      </c>
      <c r="P106" s="96">
        <v>2.07E-2</v>
      </c>
    </row>
    <row r="107" spans="1:16">
      <c r="A107" s="112">
        <v>36039</v>
      </c>
      <c r="B107" s="113">
        <v>36039</v>
      </c>
      <c r="C107" s="114">
        <v>16.14</v>
      </c>
      <c r="D107" s="114">
        <v>13.27</v>
      </c>
      <c r="E107" s="115">
        <v>0.21629999999999999</v>
      </c>
      <c r="F107" s="116"/>
      <c r="G107" s="113">
        <v>36039</v>
      </c>
      <c r="H107" s="114">
        <v>40.950000000000003</v>
      </c>
      <c r="I107" s="118"/>
      <c r="J107" s="119">
        <v>36039</v>
      </c>
      <c r="K107" s="120">
        <v>62.51</v>
      </c>
      <c r="L107" s="120">
        <v>68.48</v>
      </c>
      <c r="M107" s="118"/>
      <c r="N107" s="121">
        <v>36039</v>
      </c>
      <c r="O107" s="95">
        <v>86.202100000000002</v>
      </c>
      <c r="P107" s="96">
        <v>-5.0000000000000001E-4</v>
      </c>
    </row>
    <row r="108" spans="1:16">
      <c r="A108" s="112">
        <v>36069</v>
      </c>
      <c r="B108" s="113">
        <v>36069</v>
      </c>
      <c r="C108" s="114">
        <v>14.42</v>
      </c>
      <c r="D108" s="114">
        <v>16.149999999999999</v>
      </c>
      <c r="E108" s="115">
        <v>-0.1071</v>
      </c>
      <c r="F108" s="116"/>
      <c r="G108" s="113">
        <v>36069</v>
      </c>
      <c r="H108" s="114">
        <v>28.05</v>
      </c>
      <c r="I108" s="118"/>
      <c r="J108" s="119">
        <v>36069</v>
      </c>
      <c r="K108" s="120">
        <v>54.4</v>
      </c>
      <c r="L108" s="120">
        <v>57.9</v>
      </c>
      <c r="M108" s="118"/>
      <c r="N108" s="121">
        <v>36069</v>
      </c>
      <c r="O108" s="95">
        <v>86.791399999999996</v>
      </c>
      <c r="P108" s="96">
        <v>6.7999999999999996E-3</v>
      </c>
    </row>
    <row r="109" spans="1:16">
      <c r="A109" s="112">
        <v>36100</v>
      </c>
      <c r="B109" s="113">
        <v>36100</v>
      </c>
      <c r="C109" s="114">
        <v>11.22</v>
      </c>
      <c r="D109" s="114">
        <v>14.73</v>
      </c>
      <c r="E109" s="115">
        <v>-0.23830000000000001</v>
      </c>
      <c r="F109" s="116"/>
      <c r="G109" s="113">
        <v>36100</v>
      </c>
      <c r="H109" s="114">
        <v>26.01</v>
      </c>
      <c r="I109" s="118"/>
      <c r="J109" s="119">
        <v>36100</v>
      </c>
      <c r="K109" s="120">
        <v>67.97</v>
      </c>
      <c r="L109" s="120">
        <v>88.07</v>
      </c>
      <c r="M109" s="118"/>
      <c r="N109" s="121">
        <v>36100</v>
      </c>
      <c r="O109" s="95">
        <v>86.7256</v>
      </c>
      <c r="P109" s="96">
        <v>-8.0000000000000004E-4</v>
      </c>
    </row>
    <row r="110" spans="1:16">
      <c r="A110" s="112">
        <v>36130</v>
      </c>
      <c r="B110" s="113">
        <v>36130</v>
      </c>
      <c r="C110" s="114">
        <v>12.05</v>
      </c>
      <c r="D110" s="114">
        <v>11.28</v>
      </c>
      <c r="E110" s="115">
        <v>6.83E-2</v>
      </c>
      <c r="F110" s="116"/>
      <c r="G110" s="113">
        <v>36130</v>
      </c>
      <c r="H110" s="114">
        <v>24.42</v>
      </c>
      <c r="I110" s="118"/>
      <c r="J110" s="119">
        <v>36130</v>
      </c>
      <c r="K110" s="120">
        <v>75.959999999999994</v>
      </c>
      <c r="L110" s="120">
        <v>86.28</v>
      </c>
      <c r="M110" s="118"/>
      <c r="N110" s="121">
        <v>36130</v>
      </c>
      <c r="O110" s="95">
        <v>87.118499999999997</v>
      </c>
      <c r="P110" s="96">
        <v>4.4999999999999997E-3</v>
      </c>
    </row>
    <row r="111" spans="1:16">
      <c r="A111" s="112">
        <v>36161</v>
      </c>
      <c r="B111" s="113">
        <v>36161</v>
      </c>
      <c r="C111" s="114">
        <v>12.75</v>
      </c>
      <c r="D111" s="114">
        <v>12.15</v>
      </c>
      <c r="E111" s="115">
        <v>4.9399999999999999E-2</v>
      </c>
      <c r="F111" s="116"/>
      <c r="G111" s="113">
        <v>36161</v>
      </c>
      <c r="H111" s="114">
        <v>26.25</v>
      </c>
      <c r="I111" s="118"/>
      <c r="J111" s="119">
        <v>36161</v>
      </c>
      <c r="K111" s="120">
        <v>63.99</v>
      </c>
      <c r="L111" s="120">
        <v>69.459999999999994</v>
      </c>
      <c r="M111" s="118"/>
      <c r="N111" s="121">
        <v>36161</v>
      </c>
      <c r="O111" s="95">
        <v>87.494900000000001</v>
      </c>
      <c r="P111" s="96">
        <v>4.3E-3</v>
      </c>
    </row>
    <row r="112" spans="1:16">
      <c r="A112" s="112">
        <v>36192</v>
      </c>
      <c r="B112" s="113">
        <v>36192</v>
      </c>
      <c r="C112" s="114">
        <v>12.27</v>
      </c>
      <c r="D112" s="114">
        <v>12.79</v>
      </c>
      <c r="E112" s="115">
        <v>-4.07E-2</v>
      </c>
      <c r="F112" s="116"/>
      <c r="G112" s="113">
        <v>36192</v>
      </c>
      <c r="H112" s="114">
        <v>27.88</v>
      </c>
      <c r="I112" s="118"/>
      <c r="J112" s="119">
        <v>36192</v>
      </c>
      <c r="K112" s="120">
        <v>58.32</v>
      </c>
      <c r="L112" s="120">
        <v>67.28</v>
      </c>
      <c r="M112" s="118"/>
      <c r="N112" s="121">
        <v>36192</v>
      </c>
      <c r="O112" s="95">
        <v>88.027000000000001</v>
      </c>
      <c r="P112" s="96">
        <v>6.1000000000000004E-3</v>
      </c>
    </row>
    <row r="113" spans="1:16">
      <c r="A113" s="112">
        <v>36220</v>
      </c>
      <c r="B113" s="113">
        <v>36220</v>
      </c>
      <c r="C113" s="114">
        <v>16.760000000000002</v>
      </c>
      <c r="D113" s="114">
        <v>12.35</v>
      </c>
      <c r="E113" s="115">
        <v>0.35709999999999997</v>
      </c>
      <c r="F113" s="116"/>
      <c r="G113" s="113">
        <v>36220</v>
      </c>
      <c r="H113" s="114">
        <v>23.26</v>
      </c>
      <c r="I113" s="118"/>
      <c r="J113" s="119">
        <v>36220</v>
      </c>
      <c r="K113" s="120">
        <v>83.4</v>
      </c>
      <c r="L113" s="120">
        <v>89.74</v>
      </c>
      <c r="M113" s="118"/>
      <c r="N113" s="121">
        <v>36220</v>
      </c>
      <c r="O113" s="95">
        <v>88.226699999999994</v>
      </c>
      <c r="P113" s="96">
        <v>2.3E-3</v>
      </c>
    </row>
    <row r="114" spans="1:16">
      <c r="A114" s="112">
        <v>36251</v>
      </c>
      <c r="B114" s="113">
        <v>36251</v>
      </c>
      <c r="C114" s="114">
        <v>18.66</v>
      </c>
      <c r="D114" s="114">
        <v>16.68</v>
      </c>
      <c r="E114" s="115">
        <v>0.1187</v>
      </c>
      <c r="F114" s="116"/>
      <c r="G114" s="113">
        <v>36251</v>
      </c>
      <c r="H114" s="114">
        <v>25.07</v>
      </c>
      <c r="I114" s="118"/>
      <c r="J114" s="119">
        <v>36251</v>
      </c>
      <c r="K114" s="120">
        <v>106.2</v>
      </c>
      <c r="L114" s="120">
        <v>112.34</v>
      </c>
      <c r="M114" s="118"/>
      <c r="N114" s="121">
        <v>36251</v>
      </c>
      <c r="O114" s="95">
        <v>88.429500000000004</v>
      </c>
      <c r="P114" s="96">
        <v>2.3E-3</v>
      </c>
    </row>
    <row r="115" spans="1:16">
      <c r="A115" s="123">
        <v>36281</v>
      </c>
      <c r="B115" s="124">
        <v>36281</v>
      </c>
      <c r="C115" s="114">
        <v>16.84</v>
      </c>
      <c r="D115" s="114">
        <v>18.5</v>
      </c>
      <c r="E115" s="115">
        <v>-8.9700000000000002E-2</v>
      </c>
      <c r="F115" s="116"/>
      <c r="G115" s="124">
        <v>36281</v>
      </c>
      <c r="H115" s="114">
        <v>25.39</v>
      </c>
      <c r="I115" s="118"/>
      <c r="J115" s="119">
        <v>36281</v>
      </c>
      <c r="K115" s="120">
        <v>85.44</v>
      </c>
      <c r="L115" s="120">
        <v>89.38</v>
      </c>
      <c r="M115" s="118"/>
      <c r="N115" s="121">
        <v>36281</v>
      </c>
      <c r="O115" s="95">
        <v>88.988600000000005</v>
      </c>
      <c r="P115" s="96">
        <v>6.3E-3</v>
      </c>
    </row>
    <row r="116" spans="1:16">
      <c r="A116" s="112">
        <v>36312</v>
      </c>
      <c r="B116" s="113">
        <v>36312</v>
      </c>
      <c r="C116" s="114">
        <v>19.29</v>
      </c>
      <c r="D116" s="114">
        <v>16.8</v>
      </c>
      <c r="E116" s="115">
        <v>0.1482</v>
      </c>
      <c r="F116" s="116"/>
      <c r="G116" s="113">
        <v>36312</v>
      </c>
      <c r="H116" s="114">
        <v>21.09</v>
      </c>
      <c r="I116" s="118"/>
      <c r="J116" s="119">
        <v>36312</v>
      </c>
      <c r="K116" s="120">
        <v>79.41</v>
      </c>
      <c r="L116" s="120">
        <v>75.959999999999994</v>
      </c>
      <c r="M116" s="118"/>
      <c r="N116" s="121">
        <v>36312</v>
      </c>
      <c r="O116" s="95">
        <v>88.918800000000005</v>
      </c>
      <c r="P116" s="96">
        <v>-8.0000000000000004E-4</v>
      </c>
    </row>
    <row r="117" spans="1:16">
      <c r="A117" s="112">
        <v>36342</v>
      </c>
      <c r="B117" s="113">
        <v>36342</v>
      </c>
      <c r="C117" s="114">
        <v>20.53</v>
      </c>
      <c r="D117" s="114">
        <v>19.350000000000001</v>
      </c>
      <c r="E117" s="115">
        <v>6.0999999999999999E-2</v>
      </c>
      <c r="F117" s="116"/>
      <c r="G117" s="113">
        <v>36342</v>
      </c>
      <c r="H117" s="114">
        <v>24.64</v>
      </c>
      <c r="I117" s="118"/>
      <c r="J117" s="119">
        <v>36342</v>
      </c>
      <c r="K117" s="120">
        <v>62.14</v>
      </c>
      <c r="L117" s="120">
        <v>66.84</v>
      </c>
      <c r="M117" s="118"/>
      <c r="N117" s="121">
        <v>36342</v>
      </c>
      <c r="O117" s="95">
        <v>89.433300000000003</v>
      </c>
      <c r="P117" s="96">
        <v>5.7999999999999996E-3</v>
      </c>
    </row>
    <row r="118" spans="1:16">
      <c r="A118" s="112">
        <v>36373</v>
      </c>
      <c r="B118" s="113">
        <v>36373</v>
      </c>
      <c r="C118" s="114">
        <v>22.11</v>
      </c>
      <c r="D118" s="114">
        <v>20.399999999999999</v>
      </c>
      <c r="E118" s="115">
        <v>8.3799999999999999E-2</v>
      </c>
      <c r="F118" s="116"/>
      <c r="G118" s="113">
        <v>36373</v>
      </c>
      <c r="H118" s="114">
        <v>24.45</v>
      </c>
      <c r="I118" s="118"/>
      <c r="J118" s="119">
        <v>36373</v>
      </c>
      <c r="K118" s="120">
        <v>62.86</v>
      </c>
      <c r="L118" s="120">
        <v>65.260000000000005</v>
      </c>
      <c r="M118" s="118"/>
      <c r="N118" s="121">
        <v>36373</v>
      </c>
      <c r="O118" s="95">
        <v>89.792400000000001</v>
      </c>
      <c r="P118" s="96">
        <v>4.0000000000000001E-3</v>
      </c>
    </row>
    <row r="119" spans="1:16">
      <c r="A119" s="112">
        <v>36404</v>
      </c>
      <c r="B119" s="113">
        <v>36404</v>
      </c>
      <c r="C119" s="114">
        <v>24.51</v>
      </c>
      <c r="D119" s="114">
        <v>22.11</v>
      </c>
      <c r="E119" s="115">
        <v>0.1085</v>
      </c>
      <c r="F119" s="116"/>
      <c r="G119" s="113">
        <v>36404</v>
      </c>
      <c r="H119" s="114">
        <v>25.41</v>
      </c>
      <c r="I119" s="118"/>
      <c r="J119" s="119">
        <v>36404</v>
      </c>
      <c r="K119" s="120">
        <v>69.58</v>
      </c>
      <c r="L119" s="120">
        <v>75.540000000000006</v>
      </c>
      <c r="M119" s="118"/>
      <c r="N119" s="121">
        <v>36404</v>
      </c>
      <c r="O119" s="95">
        <v>89.429900000000004</v>
      </c>
      <c r="P119" s="96">
        <v>-4.0000000000000001E-3</v>
      </c>
    </row>
    <row r="120" spans="1:16">
      <c r="A120" s="112">
        <v>36434</v>
      </c>
      <c r="B120" s="113">
        <v>36434</v>
      </c>
      <c r="C120" s="114">
        <v>21.75</v>
      </c>
      <c r="D120" s="114">
        <v>24.45</v>
      </c>
      <c r="E120" s="115">
        <v>-0.1104</v>
      </c>
      <c r="F120" s="116"/>
      <c r="G120" s="113">
        <v>36434</v>
      </c>
      <c r="H120" s="114">
        <v>22.2</v>
      </c>
      <c r="I120" s="118"/>
      <c r="J120" s="119">
        <v>36434</v>
      </c>
      <c r="K120" s="120">
        <v>72.349999999999994</v>
      </c>
      <c r="L120" s="120">
        <v>79.38</v>
      </c>
      <c r="M120" s="118"/>
      <c r="N120" s="121">
        <v>36434</v>
      </c>
      <c r="O120" s="95">
        <v>90.522999999999996</v>
      </c>
      <c r="P120" s="96">
        <v>1.2200000000000001E-2</v>
      </c>
    </row>
    <row r="121" spans="1:16">
      <c r="A121" s="112">
        <v>36465</v>
      </c>
      <c r="B121" s="113">
        <v>36465</v>
      </c>
      <c r="C121" s="114">
        <v>24.59</v>
      </c>
      <c r="D121" s="114">
        <v>22</v>
      </c>
      <c r="E121" s="115">
        <v>0.1177</v>
      </c>
      <c r="F121" s="116"/>
      <c r="G121" s="113">
        <v>36465</v>
      </c>
      <c r="H121" s="114">
        <v>24.18</v>
      </c>
      <c r="I121" s="118"/>
      <c r="J121" s="119">
        <v>36465</v>
      </c>
      <c r="K121" s="120">
        <v>57.96</v>
      </c>
      <c r="L121" s="120">
        <v>60.39</v>
      </c>
      <c r="M121" s="118"/>
      <c r="N121" s="121">
        <v>36465</v>
      </c>
      <c r="O121" s="95">
        <v>90.961799999999997</v>
      </c>
      <c r="P121" s="96">
        <v>4.7999999999999996E-3</v>
      </c>
    </row>
    <row r="122" spans="1:16">
      <c r="A122" s="112">
        <v>36495</v>
      </c>
      <c r="B122" s="113">
        <v>36495</v>
      </c>
      <c r="C122" s="114">
        <v>25.6</v>
      </c>
      <c r="D122" s="114">
        <v>24.63</v>
      </c>
      <c r="E122" s="115">
        <v>3.9399999999999998E-2</v>
      </c>
      <c r="F122" s="116"/>
      <c r="G122" s="113">
        <v>36495</v>
      </c>
      <c r="H122" s="114">
        <v>24.64</v>
      </c>
      <c r="I122" s="118"/>
      <c r="J122" s="119">
        <v>36495</v>
      </c>
      <c r="K122" s="120">
        <v>86.08</v>
      </c>
      <c r="L122" s="120">
        <v>95.51</v>
      </c>
      <c r="M122" s="118"/>
      <c r="N122" s="121">
        <v>36495</v>
      </c>
      <c r="O122" s="95">
        <v>91.663399999999996</v>
      </c>
      <c r="P122" s="96">
        <v>7.7000000000000002E-3</v>
      </c>
    </row>
    <row r="123" spans="1:16">
      <c r="A123" s="112">
        <v>36526</v>
      </c>
      <c r="B123" s="113">
        <v>36526</v>
      </c>
      <c r="C123" s="114">
        <v>27.64</v>
      </c>
      <c r="D123" s="114">
        <v>25.2</v>
      </c>
      <c r="E123" s="115">
        <v>9.6799999999999997E-2</v>
      </c>
      <c r="F123" s="116"/>
      <c r="G123" s="113">
        <v>36526</v>
      </c>
      <c r="H123" s="114">
        <v>24.95</v>
      </c>
      <c r="I123" s="118"/>
      <c r="J123" s="119">
        <v>36526</v>
      </c>
      <c r="K123" s="120">
        <v>64.459999999999994</v>
      </c>
      <c r="L123" s="120">
        <v>65.569999999999993</v>
      </c>
      <c r="M123" s="118"/>
      <c r="N123" s="121">
        <v>36526</v>
      </c>
      <c r="O123" s="95">
        <v>91.537999999999997</v>
      </c>
      <c r="P123" s="96">
        <v>-1.4E-3</v>
      </c>
    </row>
    <row r="124" spans="1:16">
      <c r="A124" s="112">
        <v>36557</v>
      </c>
      <c r="B124" s="113">
        <v>36557</v>
      </c>
      <c r="C124" s="114">
        <v>30.43</v>
      </c>
      <c r="D124" s="114">
        <v>27.6</v>
      </c>
      <c r="E124" s="115">
        <v>0.10249999999999999</v>
      </c>
      <c r="F124" s="116"/>
      <c r="G124" s="113">
        <v>36557</v>
      </c>
      <c r="H124" s="114">
        <v>23.37</v>
      </c>
      <c r="I124" s="118"/>
      <c r="J124" s="119">
        <v>36557</v>
      </c>
      <c r="K124" s="120">
        <v>63.54</v>
      </c>
      <c r="L124" s="120">
        <v>57.65</v>
      </c>
      <c r="M124" s="118"/>
      <c r="N124" s="121">
        <v>36557</v>
      </c>
      <c r="O124" s="95">
        <v>91.823899999999995</v>
      </c>
      <c r="P124" s="96">
        <v>3.0999999999999999E-3</v>
      </c>
    </row>
    <row r="125" spans="1:16">
      <c r="A125" s="112">
        <v>36586</v>
      </c>
      <c r="B125" s="113">
        <v>36586</v>
      </c>
      <c r="C125" s="114">
        <v>26.9</v>
      </c>
      <c r="D125" s="114">
        <v>30.49</v>
      </c>
      <c r="E125" s="115">
        <v>-0.1177</v>
      </c>
      <c r="F125" s="116"/>
      <c r="G125" s="113">
        <v>36586</v>
      </c>
      <c r="H125" s="114">
        <v>24.11</v>
      </c>
      <c r="I125" s="118"/>
      <c r="J125" s="119">
        <v>36586</v>
      </c>
      <c r="K125" s="120">
        <v>50.1</v>
      </c>
      <c r="L125" s="120">
        <v>55.03</v>
      </c>
      <c r="M125" s="118"/>
      <c r="N125" s="121">
        <v>36586</v>
      </c>
      <c r="O125" s="95">
        <v>92.150400000000005</v>
      </c>
      <c r="P125" s="96">
        <v>3.5999999999999999E-3</v>
      </c>
    </row>
    <row r="126" spans="1:16">
      <c r="A126" s="112">
        <v>36617</v>
      </c>
      <c r="B126" s="113">
        <v>36617</v>
      </c>
      <c r="C126" s="114">
        <v>25.74</v>
      </c>
      <c r="D126" s="114">
        <v>26.85</v>
      </c>
      <c r="E126" s="115">
        <v>-4.1300000000000003E-2</v>
      </c>
      <c r="F126" s="116"/>
      <c r="G126" s="113">
        <v>36617</v>
      </c>
      <c r="H126" s="114">
        <v>26.2</v>
      </c>
      <c r="I126" s="118"/>
      <c r="J126" s="119">
        <v>36617</v>
      </c>
      <c r="K126" s="120">
        <v>48.68</v>
      </c>
      <c r="L126" s="120">
        <v>53.3</v>
      </c>
      <c r="M126" s="118"/>
      <c r="N126" s="121">
        <v>36617</v>
      </c>
      <c r="O126" s="95">
        <v>92.698899999999995</v>
      </c>
      <c r="P126" s="96">
        <v>6.0000000000000001E-3</v>
      </c>
    </row>
    <row r="127" spans="1:16">
      <c r="A127" s="123">
        <v>36647</v>
      </c>
      <c r="B127" s="124">
        <v>36647</v>
      </c>
      <c r="C127" s="114">
        <v>29.01</v>
      </c>
      <c r="D127" s="114">
        <v>25.55</v>
      </c>
      <c r="E127" s="115">
        <v>0.13539999999999999</v>
      </c>
      <c r="F127" s="116"/>
      <c r="G127" s="124">
        <v>36647</v>
      </c>
      <c r="H127" s="114">
        <v>23.65</v>
      </c>
      <c r="I127" s="118"/>
      <c r="J127" s="119">
        <v>36647</v>
      </c>
      <c r="K127" s="120">
        <v>79.48</v>
      </c>
      <c r="L127" s="120">
        <v>77.27</v>
      </c>
      <c r="M127" s="118"/>
      <c r="N127" s="121">
        <v>36647</v>
      </c>
      <c r="O127" s="95">
        <v>92.9499</v>
      </c>
      <c r="P127" s="96">
        <v>2.7000000000000001E-3</v>
      </c>
    </row>
    <row r="128" spans="1:16">
      <c r="A128" s="112">
        <v>36678</v>
      </c>
      <c r="B128" s="113">
        <v>36678</v>
      </c>
      <c r="C128" s="114">
        <v>32.5</v>
      </c>
      <c r="D128" s="114">
        <v>29</v>
      </c>
      <c r="E128" s="115">
        <v>0.1207</v>
      </c>
      <c r="F128" s="116"/>
      <c r="G128" s="113">
        <v>36678</v>
      </c>
      <c r="H128" s="114">
        <v>19.54</v>
      </c>
      <c r="I128" s="118"/>
      <c r="J128" s="119">
        <v>36678</v>
      </c>
      <c r="K128" s="120">
        <v>64.72</v>
      </c>
      <c r="L128" s="120">
        <v>73.569999999999993</v>
      </c>
      <c r="M128" s="118"/>
      <c r="N128" s="121">
        <v>36678</v>
      </c>
      <c r="O128" s="95">
        <v>92.986199999999997</v>
      </c>
      <c r="P128" s="96">
        <v>4.0000000000000002E-4</v>
      </c>
    </row>
    <row r="129" spans="1:16">
      <c r="A129" s="112">
        <v>36708</v>
      </c>
      <c r="B129" s="113">
        <v>36708</v>
      </c>
      <c r="C129" s="114">
        <v>27.43</v>
      </c>
      <c r="D129" s="114">
        <v>31.15</v>
      </c>
      <c r="E129" s="115">
        <v>-0.11940000000000001</v>
      </c>
      <c r="F129" s="116"/>
      <c r="G129" s="113">
        <v>36708</v>
      </c>
      <c r="H129" s="114">
        <v>20.74</v>
      </c>
      <c r="I129" s="118"/>
      <c r="J129" s="119">
        <v>36708</v>
      </c>
      <c r="K129" s="120">
        <v>51.9</v>
      </c>
      <c r="L129" s="120">
        <v>57.32</v>
      </c>
      <c r="M129" s="118"/>
      <c r="N129" s="121">
        <v>36708</v>
      </c>
      <c r="O129" s="95">
        <v>92.8048</v>
      </c>
      <c r="P129" s="96">
        <v>-2E-3</v>
      </c>
    </row>
    <row r="130" spans="1:16">
      <c r="A130" s="112">
        <v>36739</v>
      </c>
      <c r="B130" s="113">
        <v>36739</v>
      </c>
      <c r="C130" s="114">
        <v>33.119999999999997</v>
      </c>
      <c r="D130" s="114">
        <v>27.36</v>
      </c>
      <c r="E130" s="115">
        <v>0.21049999999999999</v>
      </c>
      <c r="F130" s="116"/>
      <c r="G130" s="113">
        <v>36739</v>
      </c>
      <c r="H130" s="114">
        <v>16.84</v>
      </c>
      <c r="I130" s="118"/>
      <c r="J130" s="119">
        <v>36739</v>
      </c>
      <c r="K130" s="120">
        <v>46.49</v>
      </c>
      <c r="L130" s="120">
        <v>49.19</v>
      </c>
      <c r="M130" s="118"/>
      <c r="N130" s="121">
        <v>36739</v>
      </c>
      <c r="O130" s="95">
        <v>92.552099999999996</v>
      </c>
      <c r="P130" s="96">
        <v>-2.7000000000000001E-3</v>
      </c>
    </row>
    <row r="131" spans="1:16">
      <c r="A131" s="112">
        <v>36770</v>
      </c>
      <c r="B131" s="113">
        <v>36770</v>
      </c>
      <c r="C131" s="114">
        <v>30.84</v>
      </c>
      <c r="D131" s="114">
        <v>33</v>
      </c>
      <c r="E131" s="115">
        <v>-6.5500000000000003E-2</v>
      </c>
      <c r="F131" s="116"/>
      <c r="G131" s="113">
        <v>36770</v>
      </c>
      <c r="H131" s="114">
        <v>20.57</v>
      </c>
      <c r="I131" s="118"/>
      <c r="J131" s="119">
        <v>36770</v>
      </c>
      <c r="K131" s="120">
        <v>52.69</v>
      </c>
      <c r="L131" s="120">
        <v>64.44</v>
      </c>
      <c r="M131" s="118"/>
      <c r="N131" s="121">
        <v>36770</v>
      </c>
      <c r="O131" s="95">
        <v>92.979200000000006</v>
      </c>
      <c r="P131" s="96">
        <v>4.5999999999999999E-3</v>
      </c>
    </row>
    <row r="132" spans="1:16">
      <c r="A132" s="112">
        <v>36800</v>
      </c>
      <c r="B132" s="113">
        <v>36800</v>
      </c>
      <c r="C132" s="114">
        <v>32.700000000000003</v>
      </c>
      <c r="D132" s="114">
        <v>30.97</v>
      </c>
      <c r="E132" s="115">
        <v>5.5899999999999998E-2</v>
      </c>
      <c r="F132" s="116"/>
      <c r="G132" s="113">
        <v>36800</v>
      </c>
      <c r="H132" s="114">
        <v>23.63</v>
      </c>
      <c r="I132" s="118"/>
      <c r="J132" s="119">
        <v>36800</v>
      </c>
      <c r="K132" s="120">
        <v>76.459999999999994</v>
      </c>
      <c r="L132" s="120">
        <v>82.39</v>
      </c>
      <c r="M132" s="118"/>
      <c r="N132" s="121">
        <v>36800</v>
      </c>
      <c r="O132" s="95">
        <v>92.617900000000006</v>
      </c>
      <c r="P132" s="96">
        <v>-3.8999999999999998E-3</v>
      </c>
    </row>
    <row r="133" spans="1:16">
      <c r="A133" s="112">
        <v>36831</v>
      </c>
      <c r="B133" s="113">
        <v>36831</v>
      </c>
      <c r="C133" s="114">
        <v>33.82</v>
      </c>
      <c r="D133" s="114">
        <v>32.69</v>
      </c>
      <c r="E133" s="115">
        <v>3.4599999999999999E-2</v>
      </c>
      <c r="F133" s="116"/>
      <c r="G133" s="113">
        <v>36831</v>
      </c>
      <c r="H133" s="114">
        <v>29.65</v>
      </c>
      <c r="I133" s="118"/>
      <c r="J133" s="119">
        <v>36831</v>
      </c>
      <c r="K133" s="120">
        <v>45.06</v>
      </c>
      <c r="L133" s="120">
        <v>44.36</v>
      </c>
      <c r="M133" s="118"/>
      <c r="N133" s="121">
        <v>36831</v>
      </c>
      <c r="O133" s="95">
        <v>92.643799999999999</v>
      </c>
      <c r="P133" s="96">
        <v>2.9999999999999997E-4</v>
      </c>
    </row>
    <row r="134" spans="1:16">
      <c r="A134" s="112">
        <v>36861</v>
      </c>
      <c r="B134" s="113">
        <v>36861</v>
      </c>
      <c r="C134" s="114">
        <v>26.8</v>
      </c>
      <c r="D134" s="114">
        <v>33.76</v>
      </c>
      <c r="E134" s="115">
        <v>-0.20619999999999999</v>
      </c>
      <c r="F134" s="116"/>
      <c r="G134" s="113">
        <v>36861</v>
      </c>
      <c r="H134" s="114">
        <v>26.85</v>
      </c>
      <c r="I134" s="118"/>
      <c r="J134" s="119">
        <v>36861</v>
      </c>
      <c r="K134" s="120">
        <v>45.4</v>
      </c>
      <c r="L134" s="120">
        <v>46.17</v>
      </c>
      <c r="M134" s="118"/>
      <c r="N134" s="121">
        <v>36861</v>
      </c>
      <c r="O134" s="95">
        <v>92.341499999999996</v>
      </c>
      <c r="P134" s="96">
        <v>-3.3E-3</v>
      </c>
    </row>
    <row r="135" spans="1:16">
      <c r="A135" s="112">
        <v>36892</v>
      </c>
      <c r="B135" s="113">
        <v>36892</v>
      </c>
      <c r="C135" s="114">
        <v>28.66</v>
      </c>
      <c r="D135" s="114">
        <v>26.9</v>
      </c>
      <c r="E135" s="115">
        <v>6.54E-2</v>
      </c>
      <c r="F135" s="116"/>
      <c r="G135" s="113">
        <v>36892</v>
      </c>
      <c r="H135" s="114">
        <v>22.02</v>
      </c>
      <c r="I135" s="118"/>
      <c r="J135" s="119">
        <v>36892</v>
      </c>
      <c r="K135" s="120">
        <v>46.9</v>
      </c>
      <c r="L135" s="120">
        <v>53.7</v>
      </c>
      <c r="M135" s="118"/>
      <c r="N135" s="121">
        <v>36892</v>
      </c>
      <c r="O135" s="95">
        <v>91.902000000000001</v>
      </c>
      <c r="P135" s="96">
        <v>-4.7999999999999996E-3</v>
      </c>
    </row>
    <row r="136" spans="1:16">
      <c r="A136" s="112">
        <v>36923</v>
      </c>
      <c r="B136" s="113">
        <v>36923</v>
      </c>
      <c r="C136" s="114">
        <v>27.39</v>
      </c>
      <c r="D136" s="114">
        <v>28.7</v>
      </c>
      <c r="E136" s="115">
        <v>-4.5600000000000002E-2</v>
      </c>
      <c r="F136" s="116"/>
      <c r="G136" s="113">
        <v>36923</v>
      </c>
      <c r="H136" s="114">
        <v>28.35</v>
      </c>
      <c r="I136" s="118"/>
      <c r="J136" s="119">
        <v>36923</v>
      </c>
      <c r="K136" s="120">
        <v>55.09</v>
      </c>
      <c r="L136" s="120">
        <v>63.69</v>
      </c>
      <c r="M136" s="118"/>
      <c r="N136" s="121">
        <v>36923</v>
      </c>
      <c r="O136" s="95">
        <v>91.303399999999996</v>
      </c>
      <c r="P136" s="96">
        <v>-6.4999999999999997E-3</v>
      </c>
    </row>
    <row r="137" spans="1:16">
      <c r="A137" s="112">
        <v>36951</v>
      </c>
      <c r="B137" s="113">
        <v>36951</v>
      </c>
      <c r="C137" s="114">
        <v>26.29</v>
      </c>
      <c r="D137" s="114">
        <v>27.41</v>
      </c>
      <c r="E137" s="115">
        <v>-4.0899999999999999E-2</v>
      </c>
      <c r="F137" s="116"/>
      <c r="G137" s="113">
        <v>36951</v>
      </c>
      <c r="H137" s="114">
        <v>28.64</v>
      </c>
      <c r="I137" s="118"/>
      <c r="J137" s="119">
        <v>36951</v>
      </c>
      <c r="K137" s="120">
        <v>61.71</v>
      </c>
      <c r="L137" s="120">
        <v>66.72</v>
      </c>
      <c r="M137" s="118"/>
      <c r="N137" s="121">
        <v>36951</v>
      </c>
      <c r="O137" s="95">
        <v>91.116200000000006</v>
      </c>
      <c r="P137" s="96">
        <v>-2.0999999999999999E-3</v>
      </c>
    </row>
    <row r="138" spans="1:16">
      <c r="A138" s="112">
        <v>36982</v>
      </c>
      <c r="B138" s="113">
        <v>36982</v>
      </c>
      <c r="C138" s="114">
        <v>28.46</v>
      </c>
      <c r="D138" s="114">
        <v>26.35</v>
      </c>
      <c r="E138" s="115">
        <v>8.0100000000000005E-2</v>
      </c>
      <c r="F138" s="116"/>
      <c r="G138" s="113">
        <v>36982</v>
      </c>
      <c r="H138" s="114">
        <v>25.48</v>
      </c>
      <c r="I138" s="118"/>
      <c r="J138" s="119">
        <v>36982</v>
      </c>
      <c r="K138" s="120">
        <v>50.57</v>
      </c>
      <c r="L138" s="120">
        <v>52.77</v>
      </c>
      <c r="M138" s="118"/>
      <c r="N138" s="121">
        <v>36982</v>
      </c>
      <c r="O138" s="95">
        <v>90.789100000000005</v>
      </c>
      <c r="P138" s="96">
        <v>-3.5999999999999999E-3</v>
      </c>
    </row>
    <row r="139" spans="1:16">
      <c r="A139" s="123">
        <v>37012</v>
      </c>
      <c r="B139" s="124">
        <v>37012</v>
      </c>
      <c r="C139" s="114">
        <v>28.37</v>
      </c>
      <c r="D139" s="114">
        <v>28.43</v>
      </c>
      <c r="E139" s="115">
        <v>-2.0999999999999999E-3</v>
      </c>
      <c r="F139" s="116"/>
      <c r="G139" s="124">
        <v>37012</v>
      </c>
      <c r="H139" s="114">
        <v>22.64</v>
      </c>
      <c r="I139" s="118"/>
      <c r="J139" s="119">
        <v>37012</v>
      </c>
      <c r="K139" s="120">
        <v>60.38</v>
      </c>
      <c r="L139" s="120">
        <v>61.34</v>
      </c>
      <c r="M139" s="118"/>
      <c r="N139" s="121">
        <v>37012</v>
      </c>
      <c r="O139" s="95">
        <v>90.355500000000006</v>
      </c>
      <c r="P139" s="96">
        <v>-4.7999999999999996E-3</v>
      </c>
    </row>
    <row r="140" spans="1:16">
      <c r="A140" s="112">
        <v>37043</v>
      </c>
      <c r="B140" s="113">
        <v>37043</v>
      </c>
      <c r="C140" s="114">
        <v>26.25</v>
      </c>
      <c r="D140" s="114">
        <v>28.48</v>
      </c>
      <c r="E140" s="115">
        <v>-7.8299999999999995E-2</v>
      </c>
      <c r="F140" s="116"/>
      <c r="G140" s="113">
        <v>37043</v>
      </c>
      <c r="H140" s="114">
        <v>19.059999999999999</v>
      </c>
      <c r="I140" s="118"/>
      <c r="J140" s="119">
        <v>37043</v>
      </c>
      <c r="K140" s="120">
        <v>72.06</v>
      </c>
      <c r="L140" s="120">
        <v>79.31</v>
      </c>
      <c r="M140" s="118"/>
      <c r="N140" s="121">
        <v>37043</v>
      </c>
      <c r="O140" s="95">
        <v>89.878399999999999</v>
      </c>
      <c r="P140" s="96">
        <v>-5.3E-3</v>
      </c>
    </row>
    <row r="141" spans="1:16">
      <c r="A141" s="112">
        <v>37073</v>
      </c>
      <c r="B141" s="113">
        <v>37073</v>
      </c>
      <c r="C141" s="114">
        <v>26.35</v>
      </c>
      <c r="D141" s="114">
        <v>26.31</v>
      </c>
      <c r="E141" s="115">
        <v>1.5E-3</v>
      </c>
      <c r="F141" s="116"/>
      <c r="G141" s="113">
        <v>37073</v>
      </c>
      <c r="H141" s="114">
        <v>21.62</v>
      </c>
      <c r="I141" s="118"/>
      <c r="J141" s="119">
        <v>37073</v>
      </c>
      <c r="K141" s="120">
        <v>61.07</v>
      </c>
      <c r="L141" s="120">
        <v>65.489999999999995</v>
      </c>
      <c r="M141" s="118"/>
      <c r="N141" s="121">
        <v>37073</v>
      </c>
      <c r="O141" s="95">
        <v>89.302800000000005</v>
      </c>
      <c r="P141" s="96">
        <v>-6.4000000000000003E-3</v>
      </c>
    </row>
    <row r="142" spans="1:16">
      <c r="A142" s="112">
        <v>37104</v>
      </c>
      <c r="B142" s="113">
        <v>37104</v>
      </c>
      <c r="C142" s="114">
        <v>27.2</v>
      </c>
      <c r="D142" s="114">
        <v>26.35</v>
      </c>
      <c r="E142" s="115">
        <v>3.2300000000000002E-2</v>
      </c>
      <c r="F142" s="116"/>
      <c r="G142" s="113">
        <v>37104</v>
      </c>
      <c r="H142" s="114">
        <v>24.92</v>
      </c>
      <c r="I142" s="118"/>
      <c r="J142" s="119">
        <v>37104</v>
      </c>
      <c r="K142" s="120">
        <v>64.11</v>
      </c>
      <c r="L142" s="120">
        <v>55.23</v>
      </c>
      <c r="M142" s="118"/>
      <c r="N142" s="121">
        <v>37104</v>
      </c>
      <c r="O142" s="95">
        <v>89.200299999999999</v>
      </c>
      <c r="P142" s="96">
        <v>-1.1000000000000001E-3</v>
      </c>
    </row>
    <row r="143" spans="1:16">
      <c r="A143" s="112">
        <v>37135</v>
      </c>
      <c r="B143" s="113">
        <v>37135</v>
      </c>
      <c r="C143" s="114">
        <v>23.43</v>
      </c>
      <c r="D143" s="114">
        <v>27.17</v>
      </c>
      <c r="E143" s="115">
        <v>-0.13769999999999999</v>
      </c>
      <c r="F143" s="116"/>
      <c r="G143" s="113">
        <v>37135</v>
      </c>
      <c r="H143" s="114">
        <v>31.93</v>
      </c>
      <c r="I143" s="118"/>
      <c r="J143" s="119">
        <v>37135</v>
      </c>
      <c r="K143" s="120">
        <v>498.65</v>
      </c>
      <c r="L143" s="120">
        <v>260.17</v>
      </c>
      <c r="M143" s="118"/>
      <c r="N143" s="121">
        <v>37135</v>
      </c>
      <c r="O143" s="95">
        <v>88.748500000000007</v>
      </c>
      <c r="P143" s="96">
        <v>-5.1000000000000004E-3</v>
      </c>
    </row>
    <row r="144" spans="1:16">
      <c r="A144" s="112">
        <v>37165</v>
      </c>
      <c r="B144" s="113">
        <v>37165</v>
      </c>
      <c r="C144" s="114">
        <v>21.18</v>
      </c>
      <c r="D144" s="114">
        <v>23.5</v>
      </c>
      <c r="E144" s="115">
        <v>-9.8699999999999996E-2</v>
      </c>
      <c r="F144" s="116"/>
      <c r="G144" s="113">
        <v>37165</v>
      </c>
      <c r="H144" s="114">
        <v>33.56</v>
      </c>
      <c r="I144" s="118"/>
      <c r="J144" s="119">
        <v>37165</v>
      </c>
      <c r="K144" s="120">
        <v>512.53</v>
      </c>
      <c r="L144" s="120">
        <v>261.35000000000002</v>
      </c>
      <c r="M144" s="118"/>
      <c r="N144" s="121">
        <v>37165</v>
      </c>
      <c r="O144" s="95">
        <v>88.505200000000002</v>
      </c>
      <c r="P144" s="96">
        <v>-2.7000000000000001E-3</v>
      </c>
    </row>
    <row r="145" spans="1:16">
      <c r="A145" s="112">
        <v>37196</v>
      </c>
      <c r="B145" s="113">
        <v>37196</v>
      </c>
      <c r="C145" s="114">
        <v>19.440000000000001</v>
      </c>
      <c r="D145" s="114">
        <v>21.26</v>
      </c>
      <c r="E145" s="115">
        <v>-8.5599999999999996E-2</v>
      </c>
      <c r="F145" s="116"/>
      <c r="G145" s="113">
        <v>37196</v>
      </c>
      <c r="H145" s="114">
        <v>23.84</v>
      </c>
      <c r="I145" s="118"/>
      <c r="J145" s="119">
        <v>37196</v>
      </c>
      <c r="K145" s="120">
        <v>306.79000000000002</v>
      </c>
      <c r="L145" s="120">
        <v>149.80000000000001</v>
      </c>
      <c r="M145" s="118"/>
      <c r="N145" s="121">
        <v>37196</v>
      </c>
      <c r="O145" s="95">
        <v>87.97</v>
      </c>
      <c r="P145" s="96">
        <v>-6.0000000000000001E-3</v>
      </c>
    </row>
    <row r="146" spans="1:16">
      <c r="A146" s="112">
        <v>37226</v>
      </c>
      <c r="B146" s="113">
        <v>37226</v>
      </c>
      <c r="C146" s="114">
        <v>19.84</v>
      </c>
      <c r="D146" s="114">
        <v>19.399999999999999</v>
      </c>
      <c r="E146" s="115">
        <v>2.2700000000000001E-2</v>
      </c>
      <c r="F146" s="116"/>
      <c r="G146" s="113">
        <v>37226</v>
      </c>
      <c r="H146" s="114">
        <v>23.8</v>
      </c>
      <c r="I146" s="118"/>
      <c r="J146" s="119">
        <v>37226</v>
      </c>
      <c r="K146" s="120">
        <v>236.1</v>
      </c>
      <c r="L146" s="120">
        <v>126.2</v>
      </c>
      <c r="M146" s="118"/>
      <c r="N146" s="121">
        <v>37226</v>
      </c>
      <c r="O146" s="95">
        <v>87.932400000000001</v>
      </c>
      <c r="P146" s="96">
        <v>-4.0000000000000002E-4</v>
      </c>
    </row>
    <row r="147" spans="1:16">
      <c r="A147" s="112">
        <v>37257</v>
      </c>
      <c r="B147" s="113">
        <v>37257</v>
      </c>
      <c r="C147" s="114">
        <v>19.48</v>
      </c>
      <c r="D147" s="114">
        <v>19.899999999999999</v>
      </c>
      <c r="E147" s="115">
        <v>-2.1100000000000001E-2</v>
      </c>
      <c r="F147" s="116"/>
      <c r="G147" s="113">
        <v>37257</v>
      </c>
      <c r="H147" s="114">
        <v>21.09</v>
      </c>
      <c r="I147" s="118"/>
      <c r="J147" s="119">
        <v>37257</v>
      </c>
      <c r="K147" s="120">
        <v>172.48</v>
      </c>
      <c r="L147" s="120">
        <v>106.92</v>
      </c>
      <c r="M147" s="118"/>
      <c r="N147" s="121">
        <v>37257</v>
      </c>
      <c r="O147" s="95">
        <v>88.517600000000002</v>
      </c>
      <c r="P147" s="96">
        <v>6.7000000000000002E-3</v>
      </c>
    </row>
    <row r="148" spans="1:16">
      <c r="A148" s="112">
        <v>37288</v>
      </c>
      <c r="B148" s="113">
        <v>37288</v>
      </c>
      <c r="C148" s="114">
        <v>21.74</v>
      </c>
      <c r="D148" s="114">
        <v>19.47</v>
      </c>
      <c r="E148" s="115">
        <v>0.1166</v>
      </c>
      <c r="F148" s="116"/>
      <c r="G148" s="113">
        <v>37288</v>
      </c>
      <c r="H148" s="114">
        <v>21.59</v>
      </c>
      <c r="I148" s="118"/>
      <c r="J148" s="119">
        <v>37288</v>
      </c>
      <c r="K148" s="120">
        <v>146.19</v>
      </c>
      <c r="L148" s="120">
        <v>95.78</v>
      </c>
      <c r="M148" s="118"/>
      <c r="N148" s="121">
        <v>37288</v>
      </c>
      <c r="O148" s="95">
        <v>88.527799999999999</v>
      </c>
      <c r="P148" s="96">
        <v>1E-4</v>
      </c>
    </row>
    <row r="149" spans="1:16">
      <c r="A149" s="112">
        <v>37316</v>
      </c>
      <c r="B149" s="113">
        <v>37316</v>
      </c>
      <c r="C149" s="114">
        <v>26.31</v>
      </c>
      <c r="D149" s="114">
        <v>21.8</v>
      </c>
      <c r="E149" s="115">
        <v>0.2069</v>
      </c>
      <c r="F149" s="116"/>
      <c r="G149" s="113">
        <v>37316</v>
      </c>
      <c r="H149" s="114">
        <v>17.399999999999999</v>
      </c>
      <c r="I149" s="118"/>
      <c r="J149" s="119">
        <v>37316</v>
      </c>
      <c r="K149" s="120">
        <v>151.97999999999999</v>
      </c>
      <c r="L149" s="120">
        <v>99.12</v>
      </c>
      <c r="M149" s="118"/>
      <c r="N149" s="121">
        <v>37316</v>
      </c>
      <c r="O149" s="95">
        <v>89.168599999999998</v>
      </c>
      <c r="P149" s="96">
        <v>7.1999999999999998E-3</v>
      </c>
    </row>
    <row r="150" spans="1:16">
      <c r="A150" s="112">
        <v>37347</v>
      </c>
      <c r="B150" s="113">
        <v>37347</v>
      </c>
      <c r="C150" s="114">
        <v>27.29</v>
      </c>
      <c r="D150" s="114">
        <v>26.46</v>
      </c>
      <c r="E150" s="115">
        <v>3.1399999999999997E-2</v>
      </c>
      <c r="F150" s="116"/>
      <c r="G150" s="113">
        <v>37347</v>
      </c>
      <c r="H150" s="114">
        <v>21.91</v>
      </c>
      <c r="I150" s="118"/>
      <c r="J150" s="119">
        <v>37347</v>
      </c>
      <c r="K150" s="120">
        <v>157.5</v>
      </c>
      <c r="L150" s="120">
        <v>100.74</v>
      </c>
      <c r="M150" s="118"/>
      <c r="N150" s="121">
        <v>37347</v>
      </c>
      <c r="O150" s="95">
        <v>89.603999999999999</v>
      </c>
      <c r="P150" s="96">
        <v>4.8999999999999998E-3</v>
      </c>
    </row>
    <row r="151" spans="1:16">
      <c r="A151" s="123">
        <v>37377</v>
      </c>
      <c r="B151" s="124">
        <v>37377</v>
      </c>
      <c r="C151" s="114">
        <v>25.31</v>
      </c>
      <c r="D151" s="114">
        <v>27.25</v>
      </c>
      <c r="E151" s="115">
        <v>-7.1199999999999999E-2</v>
      </c>
      <c r="F151" s="116"/>
      <c r="G151" s="124">
        <v>37377</v>
      </c>
      <c r="H151" s="114">
        <v>19.98</v>
      </c>
      <c r="I151" s="118"/>
      <c r="J151" s="119">
        <v>37377</v>
      </c>
      <c r="K151" s="120">
        <v>163.32</v>
      </c>
      <c r="L151" s="120">
        <v>142.25</v>
      </c>
      <c r="M151" s="118"/>
      <c r="N151" s="121">
        <v>37377</v>
      </c>
      <c r="O151" s="95">
        <v>89.963999999999999</v>
      </c>
      <c r="P151" s="96">
        <v>4.0000000000000001E-3</v>
      </c>
    </row>
    <row r="152" spans="1:16">
      <c r="A152" s="112">
        <v>37408</v>
      </c>
      <c r="B152" s="113">
        <v>37408</v>
      </c>
      <c r="C152" s="114">
        <v>26.86</v>
      </c>
      <c r="D152" s="114">
        <v>25.26</v>
      </c>
      <c r="E152" s="115">
        <v>6.3299999999999995E-2</v>
      </c>
      <c r="F152" s="116"/>
      <c r="G152" s="113">
        <v>37408</v>
      </c>
      <c r="H152" s="114">
        <v>25.4</v>
      </c>
      <c r="I152" s="118"/>
      <c r="J152" s="119">
        <v>37408</v>
      </c>
      <c r="K152" s="120">
        <v>149.33000000000001</v>
      </c>
      <c r="L152" s="120">
        <v>127.79</v>
      </c>
      <c r="M152" s="118"/>
      <c r="N152" s="121">
        <v>37408</v>
      </c>
      <c r="O152" s="95">
        <v>90.706100000000006</v>
      </c>
      <c r="P152" s="96">
        <v>8.2000000000000007E-3</v>
      </c>
    </row>
    <row r="153" spans="1:16">
      <c r="A153" s="112">
        <v>37438</v>
      </c>
      <c r="B153" s="113">
        <v>37438</v>
      </c>
      <c r="C153" s="114">
        <v>27.02</v>
      </c>
      <c r="D153" s="114">
        <v>26.89</v>
      </c>
      <c r="E153" s="115">
        <v>4.7999999999999996E-3</v>
      </c>
      <c r="F153" s="116"/>
      <c r="G153" s="113">
        <v>37438</v>
      </c>
      <c r="H153" s="114">
        <v>32.03</v>
      </c>
      <c r="I153" s="118"/>
      <c r="J153" s="119">
        <v>37438</v>
      </c>
      <c r="K153" s="120">
        <v>122.78</v>
      </c>
      <c r="L153" s="120">
        <v>94.35</v>
      </c>
      <c r="M153" s="118"/>
      <c r="N153" s="121">
        <v>37438</v>
      </c>
      <c r="O153" s="95">
        <v>90.676900000000003</v>
      </c>
      <c r="P153" s="96">
        <v>-2.9999999999999997E-4</v>
      </c>
    </row>
    <row r="154" spans="1:16">
      <c r="A154" s="112">
        <v>37469</v>
      </c>
      <c r="B154" s="113">
        <v>37469</v>
      </c>
      <c r="C154" s="114">
        <v>28.98</v>
      </c>
      <c r="D154" s="114">
        <v>27</v>
      </c>
      <c r="E154" s="115">
        <v>7.3300000000000004E-2</v>
      </c>
      <c r="F154" s="116"/>
      <c r="G154" s="113">
        <v>37469</v>
      </c>
      <c r="H154" s="114">
        <v>32.64</v>
      </c>
      <c r="I154" s="118"/>
      <c r="J154" s="119">
        <v>37469</v>
      </c>
      <c r="K154" s="120">
        <v>127.06</v>
      </c>
      <c r="L154" s="120">
        <v>101.7</v>
      </c>
      <c r="M154" s="118"/>
      <c r="N154" s="121">
        <v>37469</v>
      </c>
      <c r="O154" s="95">
        <v>90.5762</v>
      </c>
      <c r="P154" s="96">
        <v>-1.1000000000000001E-3</v>
      </c>
    </row>
    <row r="155" spans="1:16">
      <c r="A155" s="112">
        <v>37500</v>
      </c>
      <c r="B155" s="113">
        <v>37500</v>
      </c>
      <c r="C155" s="114">
        <v>30.45</v>
      </c>
      <c r="D155" s="114">
        <v>29</v>
      </c>
      <c r="E155" s="115">
        <v>0.05</v>
      </c>
      <c r="F155" s="116"/>
      <c r="G155" s="113">
        <v>37500</v>
      </c>
      <c r="H155" s="114">
        <v>39.69</v>
      </c>
      <c r="I155" s="118"/>
      <c r="J155" s="119">
        <v>37500</v>
      </c>
      <c r="K155" s="120">
        <v>174.9</v>
      </c>
      <c r="L155" s="120">
        <v>174.53</v>
      </c>
      <c r="M155" s="118"/>
      <c r="N155" s="121">
        <v>37500</v>
      </c>
      <c r="O155" s="95">
        <v>90.653099999999995</v>
      </c>
      <c r="P155" s="96">
        <v>8.0000000000000004E-4</v>
      </c>
    </row>
    <row r="156" spans="1:16">
      <c r="A156" s="112">
        <v>37530</v>
      </c>
      <c r="B156" s="113">
        <v>37530</v>
      </c>
      <c r="C156" s="114">
        <v>27.22</v>
      </c>
      <c r="D156" s="114">
        <v>30.45</v>
      </c>
      <c r="E156" s="115">
        <v>-0.1061</v>
      </c>
      <c r="F156" s="116"/>
      <c r="G156" s="113">
        <v>37530</v>
      </c>
      <c r="H156" s="114">
        <v>31.14</v>
      </c>
      <c r="I156" s="118"/>
      <c r="J156" s="119">
        <v>37530</v>
      </c>
      <c r="K156" s="120">
        <v>172.03</v>
      </c>
      <c r="L156" s="120">
        <v>167.03</v>
      </c>
      <c r="M156" s="118"/>
      <c r="N156" s="121">
        <v>37530</v>
      </c>
      <c r="O156" s="95">
        <v>90.464299999999994</v>
      </c>
      <c r="P156" s="96">
        <v>-2.0999999999999999E-3</v>
      </c>
    </row>
    <row r="157" spans="1:16">
      <c r="A157" s="112">
        <v>37561</v>
      </c>
      <c r="B157" s="113">
        <v>37561</v>
      </c>
      <c r="C157" s="114">
        <v>26.89</v>
      </c>
      <c r="D157" s="114">
        <v>27.2</v>
      </c>
      <c r="E157" s="115">
        <v>-1.14E-2</v>
      </c>
      <c r="F157" s="116"/>
      <c r="G157" s="113">
        <v>37561</v>
      </c>
      <c r="H157" s="114">
        <v>27.5</v>
      </c>
      <c r="I157" s="118"/>
      <c r="J157" s="119">
        <v>37561</v>
      </c>
      <c r="K157" s="120">
        <v>159.13</v>
      </c>
      <c r="L157" s="120">
        <v>155.01</v>
      </c>
      <c r="M157" s="118"/>
      <c r="N157" s="121">
        <v>37561</v>
      </c>
      <c r="O157" s="95">
        <v>90.971100000000007</v>
      </c>
      <c r="P157" s="96">
        <v>5.5999999999999999E-3</v>
      </c>
    </row>
    <row r="158" spans="1:16">
      <c r="A158" s="112">
        <v>37591</v>
      </c>
      <c r="B158" s="113">
        <v>37591</v>
      </c>
      <c r="C158" s="114">
        <v>31.2</v>
      </c>
      <c r="D158" s="114">
        <v>26.9</v>
      </c>
      <c r="E158" s="115">
        <v>0.15989999999999999</v>
      </c>
      <c r="F158" s="116"/>
      <c r="G158" s="113">
        <v>37591</v>
      </c>
      <c r="H158" s="114">
        <v>28.62</v>
      </c>
      <c r="I158" s="118"/>
      <c r="J158" s="119">
        <v>37591</v>
      </c>
      <c r="K158" s="120">
        <v>175.81</v>
      </c>
      <c r="L158" s="120">
        <v>183</v>
      </c>
      <c r="M158" s="118"/>
      <c r="N158" s="121">
        <v>37591</v>
      </c>
      <c r="O158" s="95">
        <v>90.465199999999996</v>
      </c>
      <c r="P158" s="96">
        <v>-5.5999999999999999E-3</v>
      </c>
    </row>
    <row r="159" spans="1:16">
      <c r="A159" s="112">
        <v>37622</v>
      </c>
      <c r="B159" s="113">
        <v>37622</v>
      </c>
      <c r="C159" s="114">
        <v>33.51</v>
      </c>
      <c r="D159" s="114">
        <v>31.6</v>
      </c>
      <c r="E159" s="115">
        <v>6.0400000000000002E-2</v>
      </c>
      <c r="F159" s="116"/>
      <c r="G159" s="113">
        <v>37622</v>
      </c>
      <c r="H159" s="114">
        <v>31.17</v>
      </c>
      <c r="I159" s="118"/>
      <c r="J159" s="119">
        <v>37622</v>
      </c>
      <c r="K159" s="120">
        <v>206.43</v>
      </c>
      <c r="L159" s="120">
        <v>245.82</v>
      </c>
      <c r="M159" s="118"/>
      <c r="N159" s="121">
        <v>37622</v>
      </c>
      <c r="O159" s="95">
        <v>91.236099999999993</v>
      </c>
      <c r="P159" s="96">
        <v>8.5000000000000006E-3</v>
      </c>
    </row>
    <row r="160" spans="1:16">
      <c r="A160" s="112">
        <v>37653</v>
      </c>
      <c r="B160" s="113">
        <v>37653</v>
      </c>
      <c r="C160" s="114">
        <v>36.6</v>
      </c>
      <c r="D160" s="114">
        <v>33.33</v>
      </c>
      <c r="E160" s="115">
        <v>9.8100000000000007E-2</v>
      </c>
      <c r="F160" s="116"/>
      <c r="G160" s="113">
        <v>37653</v>
      </c>
      <c r="H160" s="114">
        <v>29.63</v>
      </c>
      <c r="I160" s="118"/>
      <c r="J160" s="119">
        <v>37653</v>
      </c>
      <c r="K160" s="120">
        <v>239.61</v>
      </c>
      <c r="L160" s="120">
        <v>296.76</v>
      </c>
      <c r="M160" s="118"/>
      <c r="N160" s="121">
        <v>37653</v>
      </c>
      <c r="O160" s="95">
        <v>91.344499999999996</v>
      </c>
      <c r="P160" s="96">
        <v>1.1999999999999999E-3</v>
      </c>
    </row>
    <row r="161" spans="1:16">
      <c r="A161" s="112">
        <v>37681</v>
      </c>
      <c r="B161" s="113">
        <v>37681</v>
      </c>
      <c r="C161" s="114">
        <v>31.04</v>
      </c>
      <c r="D161" s="114">
        <v>36.450000000000003</v>
      </c>
      <c r="E161" s="115">
        <v>-0.1484</v>
      </c>
      <c r="F161" s="116"/>
      <c r="G161" s="113">
        <v>37681</v>
      </c>
      <c r="H161" s="114">
        <v>29.15</v>
      </c>
      <c r="I161" s="118"/>
      <c r="J161" s="119">
        <v>37681</v>
      </c>
      <c r="K161" s="120">
        <v>358.71</v>
      </c>
      <c r="L161" s="120">
        <v>362.41</v>
      </c>
      <c r="M161" s="118"/>
      <c r="N161" s="121">
        <v>37681</v>
      </c>
      <c r="O161" s="95">
        <v>91.104399999999998</v>
      </c>
      <c r="P161" s="96">
        <v>-2.5999999999999999E-3</v>
      </c>
    </row>
    <row r="162" spans="1:16">
      <c r="A162" s="112">
        <v>37712</v>
      </c>
      <c r="B162" s="113">
        <v>37712</v>
      </c>
      <c r="C162" s="114">
        <v>25.8</v>
      </c>
      <c r="D162" s="114">
        <v>31.16</v>
      </c>
      <c r="E162" s="115">
        <v>-0.17199999999999999</v>
      </c>
      <c r="F162" s="116"/>
      <c r="G162" s="113">
        <v>37712</v>
      </c>
      <c r="H162" s="114">
        <v>21.21</v>
      </c>
      <c r="I162" s="118"/>
      <c r="J162" s="119">
        <v>37712</v>
      </c>
      <c r="K162" s="120">
        <v>255.78</v>
      </c>
      <c r="L162" s="120">
        <v>212.61</v>
      </c>
      <c r="M162" s="118"/>
      <c r="N162" s="121">
        <v>37712</v>
      </c>
      <c r="O162" s="95">
        <v>90.561700000000002</v>
      </c>
      <c r="P162" s="96">
        <v>-6.0000000000000001E-3</v>
      </c>
    </row>
    <row r="163" spans="1:16">
      <c r="A163" s="123">
        <v>37742</v>
      </c>
      <c r="B163" s="124">
        <v>37742</v>
      </c>
      <c r="C163" s="114">
        <v>29.56</v>
      </c>
      <c r="D163" s="114">
        <v>25.95</v>
      </c>
      <c r="E163" s="115">
        <v>0.1391</v>
      </c>
      <c r="F163" s="116"/>
      <c r="G163" s="124">
        <v>37742</v>
      </c>
      <c r="H163" s="114">
        <v>19.47</v>
      </c>
      <c r="I163" s="118"/>
      <c r="J163" s="119">
        <v>37742</v>
      </c>
      <c r="K163" s="120">
        <v>162.12</v>
      </c>
      <c r="L163" s="120">
        <v>153.4</v>
      </c>
      <c r="M163" s="118"/>
      <c r="N163" s="121">
        <v>37742</v>
      </c>
      <c r="O163" s="95">
        <v>90.537000000000006</v>
      </c>
      <c r="P163" s="96">
        <v>-2.9999999999999997E-4</v>
      </c>
    </row>
    <row r="164" spans="1:16">
      <c r="A164" s="112">
        <v>37773</v>
      </c>
      <c r="B164" s="113">
        <v>37773</v>
      </c>
      <c r="C164" s="114">
        <v>30.19</v>
      </c>
      <c r="D164" s="114">
        <v>29.49</v>
      </c>
      <c r="E164" s="115">
        <v>2.3699999999999999E-2</v>
      </c>
      <c r="F164" s="116"/>
      <c r="G164" s="113">
        <v>37773</v>
      </c>
      <c r="H164" s="114">
        <v>19.52</v>
      </c>
      <c r="I164" s="118"/>
      <c r="J164" s="119">
        <v>37773</v>
      </c>
      <c r="K164" s="120">
        <v>145.77000000000001</v>
      </c>
      <c r="L164" s="120">
        <v>127.83</v>
      </c>
      <c r="M164" s="118"/>
      <c r="N164" s="121">
        <v>37773</v>
      </c>
      <c r="O164" s="95">
        <v>90.652699999999996</v>
      </c>
      <c r="P164" s="96">
        <v>1.2999999999999999E-3</v>
      </c>
    </row>
    <row r="165" spans="1:16">
      <c r="A165" s="112">
        <v>37803</v>
      </c>
      <c r="B165" s="113">
        <v>37803</v>
      </c>
      <c r="C165" s="114">
        <v>30.54</v>
      </c>
      <c r="D165" s="114">
        <v>30.12</v>
      </c>
      <c r="E165" s="115">
        <v>1.3899999999999999E-2</v>
      </c>
      <c r="F165" s="116"/>
      <c r="G165" s="113">
        <v>37803</v>
      </c>
      <c r="H165" s="114">
        <v>19.489999999999998</v>
      </c>
      <c r="I165" s="118"/>
      <c r="J165" s="119">
        <v>37803</v>
      </c>
      <c r="K165" s="120">
        <v>134.9</v>
      </c>
      <c r="L165" s="120">
        <v>108.39</v>
      </c>
      <c r="M165" s="118"/>
      <c r="N165" s="121">
        <v>37803</v>
      </c>
      <c r="O165" s="95">
        <v>91.118499999999997</v>
      </c>
      <c r="P165" s="96">
        <v>5.1000000000000004E-3</v>
      </c>
    </row>
    <row r="166" spans="1:16">
      <c r="A166" s="112">
        <v>37834</v>
      </c>
      <c r="B166" s="113">
        <v>37834</v>
      </c>
      <c r="C166" s="114">
        <v>31.57</v>
      </c>
      <c r="D166" s="114">
        <v>30.58</v>
      </c>
      <c r="E166" s="115">
        <v>3.2399999999999998E-2</v>
      </c>
      <c r="F166" s="116"/>
      <c r="G166" s="113">
        <v>37834</v>
      </c>
      <c r="H166" s="114">
        <v>18.63</v>
      </c>
      <c r="I166" s="118"/>
      <c r="J166" s="119">
        <v>37834</v>
      </c>
      <c r="K166" s="120">
        <v>138.22999999999999</v>
      </c>
      <c r="L166" s="120">
        <v>109.65</v>
      </c>
      <c r="M166" s="118"/>
      <c r="N166" s="121">
        <v>37834</v>
      </c>
      <c r="O166" s="95">
        <v>90.919700000000006</v>
      </c>
      <c r="P166" s="96">
        <v>-2.2000000000000001E-3</v>
      </c>
    </row>
    <row r="167" spans="1:16">
      <c r="A167" s="112">
        <v>37865</v>
      </c>
      <c r="B167" s="113">
        <v>37865</v>
      </c>
      <c r="C167" s="114">
        <v>29.2</v>
      </c>
      <c r="D167" s="114">
        <v>31.28</v>
      </c>
      <c r="E167" s="115">
        <v>-6.6500000000000004E-2</v>
      </c>
      <c r="F167" s="116"/>
      <c r="G167" s="113">
        <v>37865</v>
      </c>
      <c r="H167" s="114">
        <v>22.72</v>
      </c>
      <c r="I167" s="118"/>
      <c r="J167" s="119">
        <v>37865</v>
      </c>
      <c r="K167" s="120">
        <v>118.2</v>
      </c>
      <c r="L167" s="120">
        <v>99.72</v>
      </c>
      <c r="M167" s="118"/>
      <c r="N167" s="121">
        <v>37865</v>
      </c>
      <c r="O167" s="95">
        <v>91.505899999999997</v>
      </c>
      <c r="P167" s="96">
        <v>6.4000000000000003E-3</v>
      </c>
    </row>
    <row r="168" spans="1:16">
      <c r="A168" s="112">
        <v>37895</v>
      </c>
      <c r="B168" s="113">
        <v>37895</v>
      </c>
      <c r="C168" s="114">
        <v>29.11</v>
      </c>
      <c r="D168" s="114">
        <v>29.15</v>
      </c>
      <c r="E168" s="115">
        <v>-1.4E-3</v>
      </c>
      <c r="F168" s="116"/>
      <c r="G168" s="113">
        <v>37895</v>
      </c>
      <c r="H168" s="114">
        <v>16.100000000000001</v>
      </c>
      <c r="I168" s="118"/>
      <c r="J168" s="119">
        <v>37895</v>
      </c>
      <c r="K168" s="120">
        <v>108.32</v>
      </c>
      <c r="L168" s="120">
        <v>93.03</v>
      </c>
      <c r="M168" s="118"/>
      <c r="N168" s="121">
        <v>37895</v>
      </c>
      <c r="O168" s="95">
        <v>91.618600000000001</v>
      </c>
      <c r="P168" s="96">
        <v>1.1999999999999999E-3</v>
      </c>
    </row>
    <row r="169" spans="1:16">
      <c r="A169" s="112">
        <v>37926</v>
      </c>
      <c r="B169" s="113">
        <v>37926</v>
      </c>
      <c r="C169" s="114">
        <v>30.41</v>
      </c>
      <c r="D169" s="114">
        <v>29.13</v>
      </c>
      <c r="E169" s="115">
        <v>4.3900000000000002E-2</v>
      </c>
      <c r="F169" s="116"/>
      <c r="G169" s="113">
        <v>37926</v>
      </c>
      <c r="H169" s="114">
        <v>16.32</v>
      </c>
      <c r="I169" s="118"/>
      <c r="J169" s="119">
        <v>37926</v>
      </c>
      <c r="K169" s="120">
        <v>118.09</v>
      </c>
      <c r="L169" s="120">
        <v>93.33</v>
      </c>
      <c r="M169" s="118"/>
      <c r="N169" s="121">
        <v>37926</v>
      </c>
      <c r="O169" s="95">
        <v>92.232900000000001</v>
      </c>
      <c r="P169" s="96">
        <v>6.7000000000000002E-3</v>
      </c>
    </row>
    <row r="170" spans="1:16">
      <c r="A170" s="112">
        <v>37956</v>
      </c>
      <c r="B170" s="113">
        <v>37956</v>
      </c>
      <c r="C170" s="114">
        <v>32.520000000000003</v>
      </c>
      <c r="D170" s="114">
        <v>30.26</v>
      </c>
      <c r="E170" s="115">
        <v>7.4700000000000003E-2</v>
      </c>
      <c r="F170" s="116"/>
      <c r="G170" s="113">
        <v>37956</v>
      </c>
      <c r="H170" s="114">
        <v>18.309999999999999</v>
      </c>
      <c r="I170" s="118"/>
      <c r="J170" s="119">
        <v>37956</v>
      </c>
      <c r="K170" s="120">
        <v>129.47</v>
      </c>
      <c r="L170" s="120">
        <v>107.44</v>
      </c>
      <c r="M170" s="118"/>
      <c r="N170" s="121">
        <v>37956</v>
      </c>
      <c r="O170" s="95">
        <v>92.260199999999998</v>
      </c>
      <c r="P170" s="96">
        <v>2.9999999999999997E-4</v>
      </c>
    </row>
    <row r="171" spans="1:16">
      <c r="A171" s="112">
        <v>37987</v>
      </c>
      <c r="B171" s="113">
        <v>37987</v>
      </c>
      <c r="C171" s="114">
        <v>33.049999999999997</v>
      </c>
      <c r="D171" s="114">
        <v>32.4</v>
      </c>
      <c r="E171" s="115">
        <v>2.01E-2</v>
      </c>
      <c r="F171" s="116"/>
      <c r="G171" s="113">
        <v>37987</v>
      </c>
      <c r="H171" s="114">
        <v>16.63</v>
      </c>
      <c r="I171" s="118"/>
      <c r="J171" s="119">
        <v>37987</v>
      </c>
      <c r="K171" s="120">
        <v>113.47</v>
      </c>
      <c r="L171" s="120">
        <v>106.72</v>
      </c>
      <c r="M171" s="118"/>
      <c r="N171" s="121">
        <v>37987</v>
      </c>
      <c r="O171" s="95">
        <v>92.400599999999997</v>
      </c>
      <c r="P171" s="96">
        <v>1.5E-3</v>
      </c>
    </row>
    <row r="172" spans="1:16">
      <c r="A172" s="112">
        <v>38018</v>
      </c>
      <c r="B172" s="113">
        <v>38018</v>
      </c>
      <c r="C172" s="114">
        <v>36.159999999999997</v>
      </c>
      <c r="D172" s="114">
        <v>33.200000000000003</v>
      </c>
      <c r="E172" s="115">
        <v>8.9200000000000002E-2</v>
      </c>
      <c r="F172" s="116"/>
      <c r="G172" s="113">
        <v>38018</v>
      </c>
      <c r="H172" s="114">
        <v>14.55</v>
      </c>
      <c r="I172" s="118"/>
      <c r="J172" s="119">
        <v>38018</v>
      </c>
      <c r="K172" s="120">
        <v>115.08</v>
      </c>
      <c r="L172" s="120">
        <v>104.11</v>
      </c>
      <c r="M172" s="118"/>
      <c r="N172" s="121">
        <v>38018</v>
      </c>
      <c r="O172" s="95">
        <v>92.957999999999998</v>
      </c>
      <c r="P172" s="96">
        <v>6.0000000000000001E-3</v>
      </c>
    </row>
    <row r="173" spans="1:16">
      <c r="A173" s="112">
        <v>38047</v>
      </c>
      <c r="B173" s="113">
        <v>38047</v>
      </c>
      <c r="C173" s="114">
        <v>35.76</v>
      </c>
      <c r="D173" s="114">
        <v>36.159999999999997</v>
      </c>
      <c r="E173" s="115">
        <v>-1.11E-2</v>
      </c>
      <c r="F173" s="116"/>
      <c r="G173" s="113">
        <v>38047</v>
      </c>
      <c r="H173" s="114">
        <v>16.739999999999998</v>
      </c>
      <c r="I173" s="118"/>
      <c r="J173" s="119">
        <v>38047</v>
      </c>
      <c r="K173" s="120">
        <v>138.53</v>
      </c>
      <c r="L173" s="120">
        <v>109.12</v>
      </c>
      <c r="M173" s="118"/>
      <c r="N173" s="121">
        <v>38047</v>
      </c>
      <c r="O173" s="95">
        <v>92.586100000000002</v>
      </c>
      <c r="P173" s="96">
        <v>-4.0000000000000001E-3</v>
      </c>
    </row>
    <row r="174" spans="1:16">
      <c r="A174" s="112">
        <v>38078</v>
      </c>
      <c r="B174" s="113">
        <v>38078</v>
      </c>
      <c r="C174" s="114">
        <v>37.380000000000003</v>
      </c>
      <c r="D174" s="114">
        <v>35.82</v>
      </c>
      <c r="E174" s="115">
        <v>4.36E-2</v>
      </c>
      <c r="F174" s="116"/>
      <c r="G174" s="113">
        <v>38078</v>
      </c>
      <c r="H174" s="114">
        <v>17.190000000000001</v>
      </c>
      <c r="I174" s="118"/>
      <c r="J174" s="119">
        <v>38078</v>
      </c>
      <c r="K174" s="120">
        <v>149.63</v>
      </c>
      <c r="L174" s="120">
        <v>121.15</v>
      </c>
      <c r="M174" s="118"/>
      <c r="N174" s="121">
        <v>38078</v>
      </c>
      <c r="O174" s="95">
        <v>92.93</v>
      </c>
      <c r="P174" s="96">
        <v>3.7000000000000002E-3</v>
      </c>
    </row>
    <row r="175" spans="1:16">
      <c r="A175" s="123">
        <v>38108</v>
      </c>
      <c r="B175" s="124">
        <v>38108</v>
      </c>
      <c r="C175" s="114">
        <v>39.880000000000003</v>
      </c>
      <c r="D175" s="114">
        <v>37.39</v>
      </c>
      <c r="E175" s="115">
        <v>6.6600000000000006E-2</v>
      </c>
      <c r="F175" s="116"/>
      <c r="G175" s="124">
        <v>38108</v>
      </c>
      <c r="H175" s="114">
        <v>15.5</v>
      </c>
      <c r="I175" s="118"/>
      <c r="J175" s="119">
        <v>38108</v>
      </c>
      <c r="K175" s="120">
        <v>121.09</v>
      </c>
      <c r="L175" s="120">
        <v>91.97</v>
      </c>
      <c r="M175" s="118"/>
      <c r="N175" s="121">
        <v>38108</v>
      </c>
      <c r="O175" s="95">
        <v>93.601299999999995</v>
      </c>
      <c r="P175" s="96">
        <v>7.1999999999999998E-3</v>
      </c>
    </row>
    <row r="176" spans="1:16">
      <c r="A176" s="112">
        <v>38139</v>
      </c>
      <c r="B176" s="113">
        <v>38139</v>
      </c>
      <c r="C176" s="114">
        <v>37.049999999999997</v>
      </c>
      <c r="D176" s="114">
        <v>40.4</v>
      </c>
      <c r="E176" s="115">
        <v>-8.2900000000000001E-2</v>
      </c>
      <c r="F176" s="116"/>
      <c r="G176" s="113">
        <v>38139</v>
      </c>
      <c r="H176" s="114">
        <v>14.34</v>
      </c>
      <c r="I176" s="118"/>
      <c r="J176" s="119">
        <v>38139</v>
      </c>
      <c r="K176" s="120">
        <v>137.22999999999999</v>
      </c>
      <c r="L176" s="120">
        <v>106.79</v>
      </c>
      <c r="M176" s="118"/>
      <c r="N176" s="121">
        <v>38139</v>
      </c>
      <c r="O176" s="95">
        <v>92.870999999999995</v>
      </c>
      <c r="P176" s="96">
        <v>-7.7999999999999996E-3</v>
      </c>
    </row>
    <row r="177" spans="1:16">
      <c r="A177" s="112">
        <v>38169</v>
      </c>
      <c r="B177" s="113">
        <v>38169</v>
      </c>
      <c r="C177" s="114">
        <v>43.8</v>
      </c>
      <c r="D177" s="114">
        <v>37.049999999999997</v>
      </c>
      <c r="E177" s="115">
        <v>0.1822</v>
      </c>
      <c r="F177" s="116"/>
      <c r="G177" s="113">
        <v>38169</v>
      </c>
      <c r="H177" s="114">
        <v>15.32</v>
      </c>
      <c r="I177" s="118"/>
      <c r="J177" s="119">
        <v>38169</v>
      </c>
      <c r="K177" s="120">
        <v>131.02000000000001</v>
      </c>
      <c r="L177" s="120">
        <v>121.27</v>
      </c>
      <c r="M177" s="118"/>
      <c r="N177" s="121">
        <v>38169</v>
      </c>
      <c r="O177" s="95">
        <v>93.564899999999994</v>
      </c>
      <c r="P177" s="96">
        <v>7.4999999999999997E-3</v>
      </c>
    </row>
    <row r="178" spans="1:16">
      <c r="A178" s="112">
        <v>38200</v>
      </c>
      <c r="B178" s="113">
        <v>38200</v>
      </c>
      <c r="C178" s="114">
        <v>42.12</v>
      </c>
      <c r="D178" s="114">
        <v>43.69</v>
      </c>
      <c r="E178" s="115">
        <v>-3.5900000000000001E-2</v>
      </c>
      <c r="F178" s="116"/>
      <c r="G178" s="113">
        <v>38200</v>
      </c>
      <c r="H178" s="114">
        <v>15.29</v>
      </c>
      <c r="I178" s="118"/>
      <c r="J178" s="119">
        <v>38200</v>
      </c>
      <c r="K178" s="120">
        <v>140.37</v>
      </c>
      <c r="L178" s="120">
        <v>127.45</v>
      </c>
      <c r="M178" s="118"/>
      <c r="N178" s="121">
        <v>38200</v>
      </c>
      <c r="O178" s="95">
        <v>93.627700000000004</v>
      </c>
      <c r="P178" s="96">
        <v>6.9999999999999999E-4</v>
      </c>
    </row>
    <row r="179" spans="1:16">
      <c r="A179" s="112">
        <v>38231</v>
      </c>
      <c r="B179" s="113">
        <v>38231</v>
      </c>
      <c r="C179" s="114">
        <v>49.64</v>
      </c>
      <c r="D179" s="114">
        <v>42.11</v>
      </c>
      <c r="E179" s="115">
        <v>0.17879999999999999</v>
      </c>
      <c r="F179" s="116"/>
      <c r="G179" s="113">
        <v>38231</v>
      </c>
      <c r="H179" s="114">
        <v>13.34</v>
      </c>
      <c r="I179" s="118"/>
      <c r="J179" s="119">
        <v>38231</v>
      </c>
      <c r="K179" s="120">
        <v>153.87</v>
      </c>
      <c r="L179" s="120">
        <v>130.21</v>
      </c>
      <c r="M179" s="118"/>
      <c r="N179" s="121">
        <v>38231</v>
      </c>
      <c r="O179" s="95">
        <v>93.746700000000004</v>
      </c>
      <c r="P179" s="96">
        <v>1.2999999999999999E-3</v>
      </c>
    </row>
    <row r="180" spans="1:16">
      <c r="A180" s="112">
        <v>38261</v>
      </c>
      <c r="B180" s="113">
        <v>38261</v>
      </c>
      <c r="C180" s="114">
        <v>51.76</v>
      </c>
      <c r="D180" s="114">
        <v>49.64</v>
      </c>
      <c r="E180" s="115">
        <v>4.2700000000000002E-2</v>
      </c>
      <c r="F180" s="116"/>
      <c r="G180" s="113">
        <v>38261</v>
      </c>
      <c r="H180" s="114">
        <v>16.27</v>
      </c>
      <c r="I180" s="118"/>
      <c r="J180" s="119">
        <v>38261</v>
      </c>
      <c r="K180" s="120">
        <v>119.86</v>
      </c>
      <c r="L180" s="120">
        <v>100.51</v>
      </c>
      <c r="M180" s="118"/>
      <c r="N180" s="121">
        <v>38261</v>
      </c>
      <c r="O180" s="95">
        <v>94.546499999999995</v>
      </c>
      <c r="P180" s="96">
        <v>8.5000000000000006E-3</v>
      </c>
    </row>
    <row r="181" spans="1:16">
      <c r="A181" s="112">
        <v>38292</v>
      </c>
      <c r="B181" s="113">
        <v>38292</v>
      </c>
      <c r="C181" s="114">
        <v>49.13</v>
      </c>
      <c r="D181" s="114">
        <v>51.82</v>
      </c>
      <c r="E181" s="115">
        <v>-5.1900000000000002E-2</v>
      </c>
      <c r="F181" s="116"/>
      <c r="G181" s="113">
        <v>38292</v>
      </c>
      <c r="H181" s="114">
        <v>13.24</v>
      </c>
      <c r="I181" s="118"/>
      <c r="J181" s="119">
        <v>38292</v>
      </c>
      <c r="K181" s="120">
        <v>122.71</v>
      </c>
      <c r="L181" s="120">
        <v>98.93</v>
      </c>
      <c r="M181" s="118"/>
      <c r="N181" s="121">
        <v>38292</v>
      </c>
      <c r="O181" s="95">
        <v>94.781300000000002</v>
      </c>
      <c r="P181" s="96">
        <v>2.5000000000000001E-3</v>
      </c>
    </row>
    <row r="182" spans="1:16">
      <c r="A182" s="112">
        <v>38322</v>
      </c>
      <c r="B182" s="113">
        <v>38322</v>
      </c>
      <c r="C182" s="114">
        <v>43.45</v>
      </c>
      <c r="D182" s="114">
        <v>49.07</v>
      </c>
      <c r="E182" s="115">
        <v>-0.1145</v>
      </c>
      <c r="F182" s="116"/>
      <c r="G182" s="113">
        <v>38322</v>
      </c>
      <c r="H182" s="114">
        <v>13.29</v>
      </c>
      <c r="I182" s="118"/>
      <c r="J182" s="119">
        <v>38322</v>
      </c>
      <c r="K182" s="120">
        <v>109.9</v>
      </c>
      <c r="L182" s="120">
        <v>81.599999999999994</v>
      </c>
      <c r="M182" s="118"/>
      <c r="N182" s="121">
        <v>38322</v>
      </c>
      <c r="O182" s="95">
        <v>95.536500000000004</v>
      </c>
      <c r="P182" s="96">
        <v>8.0000000000000002E-3</v>
      </c>
    </row>
    <row r="183" spans="1:16">
      <c r="A183" s="112">
        <v>38353</v>
      </c>
      <c r="B183" s="113">
        <v>38353</v>
      </c>
      <c r="C183" s="114">
        <v>48.2</v>
      </c>
      <c r="D183" s="114">
        <v>43.1</v>
      </c>
      <c r="E183" s="115">
        <v>0.1183</v>
      </c>
      <c r="F183" s="116"/>
      <c r="G183" s="113">
        <v>38353</v>
      </c>
      <c r="H183" s="114">
        <v>12.82</v>
      </c>
      <c r="I183" s="118"/>
      <c r="J183" s="119">
        <v>38353</v>
      </c>
      <c r="K183" s="120">
        <v>100.89</v>
      </c>
      <c r="L183" s="120">
        <v>78.2</v>
      </c>
      <c r="M183" s="118"/>
      <c r="N183" s="121">
        <v>38353</v>
      </c>
      <c r="O183" s="95">
        <v>95.880099999999999</v>
      </c>
      <c r="P183" s="96">
        <v>3.5999999999999999E-3</v>
      </c>
    </row>
    <row r="184" spans="1:16">
      <c r="A184" s="112">
        <v>38384</v>
      </c>
      <c r="B184" s="113">
        <v>38384</v>
      </c>
      <c r="C184" s="114">
        <v>51.75</v>
      </c>
      <c r="D184" s="114">
        <v>48.21</v>
      </c>
      <c r="E184" s="115">
        <v>7.3400000000000007E-2</v>
      </c>
      <c r="F184" s="116"/>
      <c r="G184" s="113">
        <v>38384</v>
      </c>
      <c r="H184" s="114">
        <v>12.08</v>
      </c>
      <c r="I184" s="118"/>
      <c r="J184" s="119">
        <v>38384</v>
      </c>
      <c r="K184" s="120">
        <v>108.98</v>
      </c>
      <c r="L184" s="120">
        <v>104.77</v>
      </c>
      <c r="M184" s="118"/>
      <c r="N184" s="121">
        <v>38384</v>
      </c>
      <c r="O184" s="95">
        <v>96.576099999999997</v>
      </c>
      <c r="P184" s="96">
        <v>7.3000000000000001E-3</v>
      </c>
    </row>
    <row r="185" spans="1:16">
      <c r="A185" s="112">
        <v>38412</v>
      </c>
      <c r="B185" s="113">
        <v>38412</v>
      </c>
      <c r="C185" s="114">
        <v>55.4</v>
      </c>
      <c r="D185" s="114">
        <v>51.77</v>
      </c>
      <c r="E185" s="115">
        <v>7.0099999999999996E-2</v>
      </c>
      <c r="F185" s="116"/>
      <c r="G185" s="113">
        <v>38412</v>
      </c>
      <c r="H185" s="114">
        <v>14.02</v>
      </c>
      <c r="I185" s="118"/>
      <c r="J185" s="119">
        <v>38412</v>
      </c>
      <c r="K185" s="120">
        <v>90.41</v>
      </c>
      <c r="L185" s="120">
        <v>87.23</v>
      </c>
      <c r="M185" s="118"/>
      <c r="N185" s="121">
        <v>38412</v>
      </c>
      <c r="O185" s="95">
        <v>96.445599999999999</v>
      </c>
      <c r="P185" s="96">
        <v>-1.4E-3</v>
      </c>
    </row>
    <row r="186" spans="1:16">
      <c r="A186" s="112">
        <v>38443</v>
      </c>
      <c r="B186" s="113">
        <v>38443</v>
      </c>
      <c r="C186" s="114">
        <v>49.72</v>
      </c>
      <c r="D186" s="114">
        <v>55.25</v>
      </c>
      <c r="E186" s="115">
        <v>-0.10009999999999999</v>
      </c>
      <c r="F186" s="116"/>
      <c r="G186" s="113">
        <v>38443</v>
      </c>
      <c r="H186" s="114">
        <v>15.31</v>
      </c>
      <c r="I186" s="118"/>
      <c r="J186" s="119">
        <v>38443</v>
      </c>
      <c r="K186" s="120">
        <v>87.03</v>
      </c>
      <c r="L186" s="120">
        <v>72.53</v>
      </c>
      <c r="M186" s="118"/>
      <c r="N186" s="121">
        <v>38443</v>
      </c>
      <c r="O186" s="95">
        <v>96.653199999999998</v>
      </c>
      <c r="P186" s="96">
        <v>2.2000000000000001E-3</v>
      </c>
    </row>
    <row r="187" spans="1:16">
      <c r="A187" s="123">
        <v>38473</v>
      </c>
      <c r="B187" s="124">
        <v>38473</v>
      </c>
      <c r="C187" s="114">
        <v>51.97</v>
      </c>
      <c r="D187" s="114">
        <v>49.28</v>
      </c>
      <c r="E187" s="115">
        <v>5.4600000000000003E-2</v>
      </c>
      <c r="F187" s="116"/>
      <c r="G187" s="124">
        <v>38473</v>
      </c>
      <c r="H187" s="114">
        <v>13.29</v>
      </c>
      <c r="I187" s="118"/>
      <c r="J187" s="119">
        <v>38473</v>
      </c>
      <c r="K187" s="120">
        <v>98.21</v>
      </c>
      <c r="L187" s="120">
        <v>89.93</v>
      </c>
      <c r="M187" s="118"/>
      <c r="N187" s="121">
        <v>38473</v>
      </c>
      <c r="O187" s="95">
        <v>96.740200000000002</v>
      </c>
      <c r="P187" s="96">
        <v>8.9999999999999998E-4</v>
      </c>
    </row>
    <row r="188" spans="1:16">
      <c r="A188" s="112">
        <v>38504</v>
      </c>
      <c r="B188" s="113">
        <v>38504</v>
      </c>
      <c r="C188" s="114">
        <v>56.5</v>
      </c>
      <c r="D188" s="114">
        <v>51.95</v>
      </c>
      <c r="E188" s="115">
        <v>8.7599999999999997E-2</v>
      </c>
      <c r="F188" s="116"/>
      <c r="G188" s="113">
        <v>38504</v>
      </c>
      <c r="H188" s="114">
        <v>12.04</v>
      </c>
      <c r="I188" s="118"/>
      <c r="J188" s="119">
        <v>38504</v>
      </c>
      <c r="K188" s="120">
        <v>81.12</v>
      </c>
      <c r="L188" s="120">
        <v>69.88</v>
      </c>
      <c r="M188" s="118"/>
      <c r="N188" s="121">
        <v>38504</v>
      </c>
      <c r="O188" s="95">
        <v>97.175299999999993</v>
      </c>
      <c r="P188" s="96">
        <v>4.4999999999999997E-3</v>
      </c>
    </row>
    <row r="189" spans="1:16">
      <c r="A189" s="112">
        <v>38534</v>
      </c>
      <c r="B189" s="113">
        <v>38534</v>
      </c>
      <c r="C189" s="114">
        <v>60.57</v>
      </c>
      <c r="D189" s="114">
        <v>56.56</v>
      </c>
      <c r="E189" s="115">
        <v>7.0900000000000005E-2</v>
      </c>
      <c r="F189" s="116"/>
      <c r="G189" s="113">
        <v>38534</v>
      </c>
      <c r="H189" s="114">
        <v>11.57</v>
      </c>
      <c r="I189" s="118"/>
      <c r="J189" s="119">
        <v>38534</v>
      </c>
      <c r="K189" s="120">
        <v>165.9</v>
      </c>
      <c r="L189" s="120">
        <v>118.18</v>
      </c>
      <c r="M189" s="118"/>
      <c r="N189" s="121">
        <v>38534</v>
      </c>
      <c r="O189" s="95">
        <v>96.867599999999996</v>
      </c>
      <c r="P189" s="96">
        <v>-3.2000000000000002E-3</v>
      </c>
    </row>
    <row r="190" spans="1:16">
      <c r="A190" s="112">
        <v>38565</v>
      </c>
      <c r="B190" s="113">
        <v>38565</v>
      </c>
      <c r="C190" s="114">
        <v>68.94</v>
      </c>
      <c r="D190" s="114">
        <v>60.51</v>
      </c>
      <c r="E190" s="115">
        <v>0.13930000000000001</v>
      </c>
      <c r="F190" s="116"/>
      <c r="G190" s="113">
        <v>38565</v>
      </c>
      <c r="H190" s="114">
        <v>12.6</v>
      </c>
      <c r="I190" s="118"/>
      <c r="J190" s="119">
        <v>38565</v>
      </c>
      <c r="K190" s="120">
        <v>116.23</v>
      </c>
      <c r="L190" s="120">
        <v>92.68</v>
      </c>
      <c r="M190" s="118"/>
      <c r="N190" s="121">
        <v>38565</v>
      </c>
      <c r="O190" s="95">
        <v>97.183300000000003</v>
      </c>
      <c r="P190" s="96">
        <v>3.3E-3</v>
      </c>
    </row>
    <row r="191" spans="1:16">
      <c r="A191" s="112">
        <v>38596</v>
      </c>
      <c r="B191" s="113">
        <v>38596</v>
      </c>
      <c r="C191" s="114">
        <v>66.239999999999995</v>
      </c>
      <c r="D191" s="114">
        <v>68.75</v>
      </c>
      <c r="E191" s="115">
        <v>-3.6499999999999998E-2</v>
      </c>
      <c r="F191" s="116"/>
      <c r="G191" s="113">
        <v>38596</v>
      </c>
      <c r="H191" s="114">
        <v>11.92</v>
      </c>
      <c r="I191" s="118"/>
      <c r="J191" s="119">
        <v>38596</v>
      </c>
      <c r="K191" s="120">
        <v>103.81</v>
      </c>
      <c r="L191" s="120">
        <v>78.459999999999994</v>
      </c>
      <c r="M191" s="118"/>
      <c r="N191" s="121">
        <v>38596</v>
      </c>
      <c r="O191" s="95">
        <v>95.3005</v>
      </c>
      <c r="P191" s="96">
        <v>-1.9400000000000001E-2</v>
      </c>
    </row>
    <row r="192" spans="1:16">
      <c r="A192" s="112">
        <v>38626</v>
      </c>
      <c r="B192" s="113">
        <v>38626</v>
      </c>
      <c r="C192" s="114">
        <v>59.76</v>
      </c>
      <c r="D192" s="114">
        <v>66.2</v>
      </c>
      <c r="E192" s="115">
        <v>-9.7299999999999998E-2</v>
      </c>
      <c r="F192" s="116"/>
      <c r="G192" s="113">
        <v>38626</v>
      </c>
      <c r="H192" s="114">
        <v>15.32</v>
      </c>
      <c r="I192" s="118"/>
      <c r="J192" s="119">
        <v>38626</v>
      </c>
      <c r="K192" s="120">
        <v>87.06</v>
      </c>
      <c r="L192" s="120">
        <v>73.19</v>
      </c>
      <c r="M192" s="118"/>
      <c r="N192" s="121">
        <v>38626</v>
      </c>
      <c r="O192" s="95">
        <v>96.4572</v>
      </c>
      <c r="P192" s="96">
        <v>1.21E-2</v>
      </c>
    </row>
    <row r="193" spans="1:16">
      <c r="A193" s="112">
        <v>38657</v>
      </c>
      <c r="B193" s="113">
        <v>38657</v>
      </c>
      <c r="C193" s="114">
        <v>57.32</v>
      </c>
      <c r="D193" s="114">
        <v>59.76</v>
      </c>
      <c r="E193" s="115">
        <v>-4.0800000000000003E-2</v>
      </c>
      <c r="F193" s="116"/>
      <c r="G193" s="113">
        <v>38657</v>
      </c>
      <c r="H193" s="114">
        <v>12.06</v>
      </c>
      <c r="I193" s="118"/>
      <c r="J193" s="119">
        <v>38657</v>
      </c>
      <c r="K193" s="120">
        <v>83.48</v>
      </c>
      <c r="L193" s="120">
        <v>70.599999999999994</v>
      </c>
      <c r="M193" s="118"/>
      <c r="N193" s="121">
        <v>38657</v>
      </c>
      <c r="O193" s="95">
        <v>97.541399999999996</v>
      </c>
      <c r="P193" s="96">
        <v>1.12E-2</v>
      </c>
    </row>
    <row r="194" spans="1:16">
      <c r="A194" s="112">
        <v>38687</v>
      </c>
      <c r="B194" s="113">
        <v>38687</v>
      </c>
      <c r="C194" s="114">
        <v>61.04</v>
      </c>
      <c r="D194" s="114">
        <v>57.4</v>
      </c>
      <c r="E194" s="115">
        <v>6.3399999999999998E-2</v>
      </c>
      <c r="F194" s="116"/>
      <c r="G194" s="113">
        <v>38687</v>
      </c>
      <c r="H194" s="114">
        <v>12.07</v>
      </c>
      <c r="I194" s="118"/>
      <c r="J194" s="119">
        <v>38687</v>
      </c>
      <c r="K194" s="120">
        <v>95.35</v>
      </c>
      <c r="L194" s="120">
        <v>69.64</v>
      </c>
      <c r="M194" s="118"/>
      <c r="N194" s="121">
        <v>38687</v>
      </c>
      <c r="O194" s="95">
        <v>98.045199999999994</v>
      </c>
      <c r="P194" s="96">
        <v>5.1999999999999998E-3</v>
      </c>
    </row>
    <row r="195" spans="1:16">
      <c r="A195" s="112">
        <v>38718</v>
      </c>
      <c r="B195" s="113">
        <v>38718</v>
      </c>
      <c r="C195" s="114">
        <v>67.92</v>
      </c>
      <c r="D195" s="114">
        <v>61.04</v>
      </c>
      <c r="E195" s="115">
        <v>0.11269999999999999</v>
      </c>
      <c r="F195" s="116"/>
      <c r="G195" s="113">
        <v>38718</v>
      </c>
      <c r="H195" s="114">
        <v>12.95</v>
      </c>
      <c r="I195" s="118"/>
      <c r="J195" s="119">
        <v>38718</v>
      </c>
      <c r="K195" s="120">
        <v>94.51</v>
      </c>
      <c r="L195" s="120">
        <v>89.32</v>
      </c>
      <c r="M195" s="118"/>
      <c r="N195" s="121">
        <v>38718</v>
      </c>
      <c r="O195" s="95">
        <v>98.1999</v>
      </c>
      <c r="P195" s="96">
        <v>1.6000000000000001E-3</v>
      </c>
    </row>
    <row r="196" spans="1:16">
      <c r="A196" s="112">
        <v>38749</v>
      </c>
      <c r="B196" s="113">
        <v>38749</v>
      </c>
      <c r="C196" s="114">
        <v>61.41</v>
      </c>
      <c r="D196" s="114">
        <v>67.8</v>
      </c>
      <c r="E196" s="115">
        <v>-9.4200000000000006E-2</v>
      </c>
      <c r="F196" s="116"/>
      <c r="G196" s="113">
        <v>38749</v>
      </c>
      <c r="H196" s="114">
        <v>12.34</v>
      </c>
      <c r="I196" s="118"/>
      <c r="J196" s="119">
        <v>38749</v>
      </c>
      <c r="K196" s="120">
        <v>95.86</v>
      </c>
      <c r="L196" s="120">
        <v>89.41</v>
      </c>
      <c r="M196" s="118"/>
      <c r="N196" s="121">
        <v>38749</v>
      </c>
      <c r="O196" s="95">
        <v>98.241299999999995</v>
      </c>
      <c r="P196" s="96">
        <v>4.0000000000000002E-4</v>
      </c>
    </row>
    <row r="197" spans="1:16">
      <c r="A197" s="112">
        <v>38777</v>
      </c>
      <c r="B197" s="113">
        <v>38777</v>
      </c>
      <c r="C197" s="114">
        <v>66.63</v>
      </c>
      <c r="D197" s="114">
        <v>61.58</v>
      </c>
      <c r="E197" s="115">
        <v>8.2000000000000003E-2</v>
      </c>
      <c r="F197" s="116"/>
      <c r="G197" s="113">
        <v>38777</v>
      </c>
      <c r="H197" s="114">
        <v>11.39</v>
      </c>
      <c r="I197" s="118"/>
      <c r="J197" s="119">
        <v>38777</v>
      </c>
      <c r="K197" s="120">
        <v>92.8</v>
      </c>
      <c r="L197" s="120">
        <v>88.04</v>
      </c>
      <c r="M197" s="118"/>
      <c r="N197" s="121">
        <v>38777</v>
      </c>
      <c r="O197" s="95">
        <v>98.462800000000001</v>
      </c>
      <c r="P197" s="96">
        <v>2.3E-3</v>
      </c>
    </row>
    <row r="198" spans="1:16">
      <c r="A198" s="112">
        <v>38808</v>
      </c>
      <c r="B198" s="113">
        <v>38808</v>
      </c>
      <c r="C198" s="114">
        <v>71.88</v>
      </c>
      <c r="D198" s="114">
        <v>66.25</v>
      </c>
      <c r="E198" s="115">
        <v>8.5000000000000006E-2</v>
      </c>
      <c r="F198" s="116"/>
      <c r="G198" s="113">
        <v>38808</v>
      </c>
      <c r="H198" s="114">
        <v>11.59</v>
      </c>
      <c r="I198" s="118"/>
      <c r="J198" s="119">
        <v>38808</v>
      </c>
      <c r="K198" s="120">
        <v>89.02</v>
      </c>
      <c r="L198" s="120">
        <v>85.91</v>
      </c>
      <c r="M198" s="118"/>
      <c r="N198" s="121">
        <v>38808</v>
      </c>
      <c r="O198" s="95">
        <v>98.761799999999994</v>
      </c>
      <c r="P198" s="96">
        <v>3.0000000000000001E-3</v>
      </c>
    </row>
    <row r="199" spans="1:16">
      <c r="A199" s="123">
        <v>38838</v>
      </c>
      <c r="B199" s="124">
        <v>38838</v>
      </c>
      <c r="C199" s="114">
        <v>71.290000000000006</v>
      </c>
      <c r="D199" s="114">
        <v>71.7</v>
      </c>
      <c r="E199" s="115">
        <v>-5.7000000000000002E-3</v>
      </c>
      <c r="F199" s="116"/>
      <c r="G199" s="124">
        <v>38838</v>
      </c>
      <c r="H199" s="114">
        <v>16.440000000000001</v>
      </c>
      <c r="I199" s="118"/>
      <c r="J199" s="119">
        <v>38838</v>
      </c>
      <c r="K199" s="120">
        <v>85.21</v>
      </c>
      <c r="L199" s="120">
        <v>84.03</v>
      </c>
      <c r="M199" s="118"/>
      <c r="N199" s="121">
        <v>38838</v>
      </c>
      <c r="O199" s="95">
        <v>98.786900000000003</v>
      </c>
      <c r="P199" s="96">
        <v>2.9999999999999997E-4</v>
      </c>
    </row>
    <row r="200" spans="1:16">
      <c r="A200" s="112">
        <v>38869</v>
      </c>
      <c r="B200" s="113">
        <v>38869</v>
      </c>
      <c r="C200" s="114">
        <v>73.930000000000007</v>
      </c>
      <c r="D200" s="114">
        <v>71.260000000000005</v>
      </c>
      <c r="E200" s="115">
        <v>3.7499999999999999E-2</v>
      </c>
      <c r="F200" s="116"/>
      <c r="G200" s="113">
        <v>38869</v>
      </c>
      <c r="H200" s="114">
        <v>13.08</v>
      </c>
      <c r="I200" s="118"/>
      <c r="J200" s="119">
        <v>38869</v>
      </c>
      <c r="K200" s="120">
        <v>102.57</v>
      </c>
      <c r="L200" s="120">
        <v>90.38</v>
      </c>
      <c r="M200" s="118"/>
      <c r="N200" s="121">
        <v>38869</v>
      </c>
      <c r="O200" s="95">
        <v>99.099699999999999</v>
      </c>
      <c r="P200" s="96">
        <v>3.2000000000000002E-3</v>
      </c>
    </row>
    <row r="201" spans="1:16">
      <c r="A201" s="112">
        <v>38899</v>
      </c>
      <c r="B201" s="113">
        <v>38899</v>
      </c>
      <c r="C201" s="114">
        <v>74.400000000000006</v>
      </c>
      <c r="D201" s="114">
        <v>73.95</v>
      </c>
      <c r="E201" s="115">
        <v>6.1000000000000004E-3</v>
      </c>
      <c r="F201" s="116"/>
      <c r="G201" s="113">
        <v>38899</v>
      </c>
      <c r="H201" s="114">
        <v>14.95</v>
      </c>
      <c r="I201" s="118"/>
      <c r="J201" s="119">
        <v>38899</v>
      </c>
      <c r="K201" s="120">
        <v>137.13</v>
      </c>
      <c r="L201" s="120">
        <v>134.4</v>
      </c>
      <c r="M201" s="118"/>
      <c r="N201" s="121">
        <v>38899</v>
      </c>
      <c r="O201" s="95">
        <v>99.048900000000003</v>
      </c>
      <c r="P201" s="96">
        <v>-5.0000000000000001E-4</v>
      </c>
    </row>
    <row r="202" spans="1:16">
      <c r="A202" s="112">
        <v>38930</v>
      </c>
      <c r="B202" s="113">
        <v>38930</v>
      </c>
      <c r="C202" s="114">
        <v>70.260000000000005</v>
      </c>
      <c r="D202" s="114">
        <v>74.400000000000006</v>
      </c>
      <c r="E202" s="115">
        <v>-5.5599999999999997E-2</v>
      </c>
      <c r="F202" s="116"/>
      <c r="G202" s="113">
        <v>38930</v>
      </c>
      <c r="H202" s="114">
        <v>12.31</v>
      </c>
      <c r="I202" s="118"/>
      <c r="J202" s="119">
        <v>38930</v>
      </c>
      <c r="K202" s="120">
        <v>147.08000000000001</v>
      </c>
      <c r="L202" s="120">
        <v>141.56</v>
      </c>
      <c r="M202" s="118"/>
      <c r="N202" s="121">
        <v>38930</v>
      </c>
      <c r="O202" s="95">
        <v>99.483599999999996</v>
      </c>
      <c r="P202" s="96">
        <v>4.4000000000000003E-3</v>
      </c>
    </row>
    <row r="203" spans="1:16">
      <c r="A203" s="112">
        <v>38961</v>
      </c>
      <c r="B203" s="113">
        <v>38961</v>
      </c>
      <c r="C203" s="114">
        <v>62.91</v>
      </c>
      <c r="D203" s="114">
        <v>70.290000000000006</v>
      </c>
      <c r="E203" s="115">
        <v>-0.105</v>
      </c>
      <c r="F203" s="116"/>
      <c r="G203" s="113">
        <v>38961</v>
      </c>
      <c r="H203" s="114">
        <v>11.98</v>
      </c>
      <c r="I203" s="118"/>
      <c r="J203" s="119">
        <v>38961</v>
      </c>
      <c r="K203" s="120">
        <v>111.72</v>
      </c>
      <c r="L203" s="120">
        <v>110.28</v>
      </c>
      <c r="M203" s="118"/>
      <c r="N203" s="121">
        <v>38961</v>
      </c>
      <c r="O203" s="95">
        <v>99.318299999999994</v>
      </c>
      <c r="P203" s="96">
        <v>-1.6999999999999999E-3</v>
      </c>
    </row>
    <row r="204" spans="1:16">
      <c r="A204" s="112">
        <v>38991</v>
      </c>
      <c r="B204" s="113">
        <v>38991</v>
      </c>
      <c r="C204" s="114">
        <v>58.73</v>
      </c>
      <c r="D204" s="114">
        <v>62.8</v>
      </c>
      <c r="E204" s="115">
        <v>-6.4799999999999996E-2</v>
      </c>
      <c r="F204" s="116"/>
      <c r="G204" s="113">
        <v>38991</v>
      </c>
      <c r="H204" s="114">
        <v>11.1</v>
      </c>
      <c r="I204" s="118"/>
      <c r="J204" s="119">
        <v>38991</v>
      </c>
      <c r="K204" s="120">
        <v>113.14</v>
      </c>
      <c r="L204" s="120">
        <v>125.29</v>
      </c>
      <c r="M204" s="118"/>
      <c r="N204" s="121">
        <v>38991</v>
      </c>
      <c r="O204" s="95">
        <v>99.204400000000007</v>
      </c>
      <c r="P204" s="96">
        <v>-1.1000000000000001E-3</v>
      </c>
    </row>
    <row r="205" spans="1:16">
      <c r="A205" s="112">
        <v>39022</v>
      </c>
      <c r="B205" s="113">
        <v>39022</v>
      </c>
      <c r="C205" s="114">
        <v>63.13</v>
      </c>
      <c r="D205" s="114">
        <v>58.6</v>
      </c>
      <c r="E205" s="115">
        <v>7.7299999999999994E-2</v>
      </c>
      <c r="F205" s="116"/>
      <c r="G205" s="113">
        <v>39022</v>
      </c>
      <c r="H205" s="114">
        <v>10.91</v>
      </c>
      <c r="I205" s="118"/>
      <c r="J205" s="119">
        <v>39022</v>
      </c>
      <c r="K205" s="120">
        <v>88.78</v>
      </c>
      <c r="L205" s="120">
        <v>87.28</v>
      </c>
      <c r="M205" s="118"/>
      <c r="N205" s="121">
        <v>39022</v>
      </c>
      <c r="O205" s="95">
        <v>99.162700000000001</v>
      </c>
      <c r="P205" s="96">
        <v>-4.0000000000000002E-4</v>
      </c>
    </row>
    <row r="206" spans="1:16">
      <c r="A206" s="112">
        <v>39052</v>
      </c>
      <c r="B206" s="113">
        <v>39052</v>
      </c>
      <c r="C206" s="114">
        <v>61.05</v>
      </c>
      <c r="D206" s="114">
        <v>62.85</v>
      </c>
      <c r="E206" s="115">
        <v>-2.86E-2</v>
      </c>
      <c r="F206" s="116"/>
      <c r="G206" s="113">
        <v>39052</v>
      </c>
      <c r="H206" s="114">
        <v>11.56</v>
      </c>
      <c r="I206" s="118"/>
      <c r="J206" s="119">
        <v>39052</v>
      </c>
      <c r="K206" s="120">
        <v>90.61</v>
      </c>
      <c r="L206" s="120">
        <v>95.78</v>
      </c>
      <c r="M206" s="118"/>
      <c r="N206" s="121">
        <v>39052</v>
      </c>
      <c r="O206" s="95">
        <v>100.1735</v>
      </c>
      <c r="P206" s="96">
        <v>1.0200000000000001E-2</v>
      </c>
    </row>
    <row r="207" spans="1:16">
      <c r="A207" s="112">
        <v>39083</v>
      </c>
      <c r="B207" s="113">
        <v>39083</v>
      </c>
      <c r="C207" s="114">
        <v>58.14</v>
      </c>
      <c r="D207" s="114">
        <v>60.95</v>
      </c>
      <c r="E207" s="115">
        <v>-4.6100000000000002E-2</v>
      </c>
      <c r="F207" s="116"/>
      <c r="G207" s="113">
        <v>39083</v>
      </c>
      <c r="H207" s="114">
        <v>10.42</v>
      </c>
      <c r="I207" s="118"/>
      <c r="J207" s="119">
        <v>39083</v>
      </c>
      <c r="K207" s="120">
        <v>97.92</v>
      </c>
      <c r="L207" s="120">
        <v>95.61</v>
      </c>
      <c r="M207" s="118"/>
      <c r="N207" s="121">
        <v>39083</v>
      </c>
      <c r="O207" s="95">
        <v>99.834599999999995</v>
      </c>
      <c r="P207" s="96">
        <v>-3.3999999999999998E-3</v>
      </c>
    </row>
    <row r="208" spans="1:16">
      <c r="A208" s="112">
        <v>39114</v>
      </c>
      <c r="B208" s="113">
        <v>39114</v>
      </c>
      <c r="C208" s="114">
        <v>61.79</v>
      </c>
      <c r="D208" s="114">
        <v>57.89</v>
      </c>
      <c r="E208" s="115">
        <v>6.7400000000000002E-2</v>
      </c>
      <c r="F208" s="116"/>
      <c r="G208" s="113">
        <v>39114</v>
      </c>
      <c r="H208" s="114">
        <v>15.42</v>
      </c>
      <c r="I208" s="118"/>
      <c r="J208" s="119">
        <v>39114</v>
      </c>
      <c r="K208" s="120">
        <v>96.17</v>
      </c>
      <c r="L208" s="120">
        <v>98.16</v>
      </c>
      <c r="M208" s="118"/>
      <c r="N208" s="121">
        <v>39114</v>
      </c>
      <c r="O208" s="95">
        <v>100.7753</v>
      </c>
      <c r="P208" s="96">
        <v>9.4000000000000004E-3</v>
      </c>
    </row>
    <row r="209" spans="1:16">
      <c r="A209" s="112">
        <v>39142</v>
      </c>
      <c r="B209" s="113">
        <v>39142</v>
      </c>
      <c r="C209" s="114">
        <v>65.87</v>
      </c>
      <c r="D209" s="114">
        <v>61.82</v>
      </c>
      <c r="E209" s="115">
        <v>6.5500000000000003E-2</v>
      </c>
      <c r="F209" s="116"/>
      <c r="G209" s="113">
        <v>39142</v>
      </c>
      <c r="H209" s="114">
        <v>14.64</v>
      </c>
      <c r="I209" s="118"/>
      <c r="J209" s="119">
        <v>39142</v>
      </c>
      <c r="K209" s="120">
        <v>87.34</v>
      </c>
      <c r="L209" s="120">
        <v>86.15</v>
      </c>
      <c r="M209" s="118"/>
      <c r="N209" s="121">
        <v>39142</v>
      </c>
      <c r="O209" s="95">
        <v>100.9547</v>
      </c>
      <c r="P209" s="96">
        <v>1.8E-3</v>
      </c>
    </row>
    <row r="210" spans="1:16">
      <c r="A210" s="112">
        <v>39173</v>
      </c>
      <c r="B210" s="113">
        <v>39173</v>
      </c>
      <c r="C210" s="114">
        <v>65.709999999999994</v>
      </c>
      <c r="D210" s="114">
        <v>66.03</v>
      </c>
      <c r="E210" s="115">
        <v>-4.7999999999999996E-3</v>
      </c>
      <c r="F210" s="116"/>
      <c r="G210" s="113">
        <v>39173</v>
      </c>
      <c r="H210" s="114">
        <v>14.22</v>
      </c>
      <c r="I210" s="118"/>
      <c r="J210" s="119">
        <v>39173</v>
      </c>
      <c r="K210" s="120">
        <v>76.61</v>
      </c>
      <c r="L210" s="120">
        <v>69.23</v>
      </c>
      <c r="M210" s="118"/>
      <c r="N210" s="121">
        <v>39173</v>
      </c>
      <c r="O210" s="95">
        <v>101.63339999999999</v>
      </c>
      <c r="P210" s="96">
        <v>6.7000000000000002E-3</v>
      </c>
    </row>
    <row r="211" spans="1:16">
      <c r="A211" s="123">
        <v>39203</v>
      </c>
      <c r="B211" s="124">
        <v>39203</v>
      </c>
      <c r="C211" s="114">
        <v>64.010000000000005</v>
      </c>
      <c r="D211" s="114">
        <v>65.66</v>
      </c>
      <c r="E211" s="115">
        <v>-2.5100000000000001E-2</v>
      </c>
      <c r="F211" s="116"/>
      <c r="G211" s="124">
        <v>39203</v>
      </c>
      <c r="H211" s="114">
        <v>13.05</v>
      </c>
      <c r="I211" s="118"/>
      <c r="J211" s="119">
        <v>39203</v>
      </c>
      <c r="K211" s="120">
        <v>92.6</v>
      </c>
      <c r="L211" s="120">
        <v>82.3</v>
      </c>
      <c r="M211" s="118"/>
      <c r="N211" s="121">
        <v>39203</v>
      </c>
      <c r="O211" s="95">
        <v>101.7306</v>
      </c>
      <c r="P211" s="96">
        <v>1E-3</v>
      </c>
    </row>
    <row r="212" spans="1:16">
      <c r="A212" s="112">
        <v>39234</v>
      </c>
      <c r="B212" s="113">
        <v>39234</v>
      </c>
      <c r="C212" s="114">
        <v>70.680000000000007</v>
      </c>
      <c r="D212" s="114">
        <v>64.23</v>
      </c>
      <c r="E212" s="115">
        <v>0.1004</v>
      </c>
      <c r="F212" s="116"/>
      <c r="G212" s="113">
        <v>39234</v>
      </c>
      <c r="H212" s="114">
        <v>16.23</v>
      </c>
      <c r="I212" s="118"/>
      <c r="J212" s="119">
        <v>39234</v>
      </c>
      <c r="K212" s="120">
        <v>97.97</v>
      </c>
      <c r="L212" s="120">
        <v>87.08</v>
      </c>
      <c r="M212" s="118"/>
      <c r="N212" s="121">
        <v>39234</v>
      </c>
      <c r="O212" s="95">
        <v>101.7893</v>
      </c>
      <c r="P212" s="96">
        <v>5.9999999999999995E-4</v>
      </c>
    </row>
    <row r="213" spans="1:16">
      <c r="A213" s="112">
        <v>39264</v>
      </c>
      <c r="B213" s="113">
        <v>39264</v>
      </c>
      <c r="C213" s="114">
        <v>78.209999999999994</v>
      </c>
      <c r="D213" s="114">
        <v>70.52</v>
      </c>
      <c r="E213" s="115">
        <v>0.109</v>
      </c>
      <c r="F213" s="116"/>
      <c r="G213" s="113">
        <v>39264</v>
      </c>
      <c r="H213" s="114">
        <v>23.52</v>
      </c>
      <c r="I213" s="118"/>
      <c r="J213" s="119">
        <v>39264</v>
      </c>
      <c r="K213" s="120">
        <v>112.35</v>
      </c>
      <c r="L213" s="120">
        <v>103.26</v>
      </c>
      <c r="M213" s="118"/>
      <c r="N213" s="121">
        <v>39264</v>
      </c>
      <c r="O213" s="95">
        <v>101.66719999999999</v>
      </c>
      <c r="P213" s="96">
        <v>-1.1999999999999999E-3</v>
      </c>
    </row>
    <row r="214" spans="1:16">
      <c r="A214" s="112">
        <v>39295</v>
      </c>
      <c r="B214" s="113">
        <v>39295</v>
      </c>
      <c r="C214" s="114">
        <v>74.040000000000006</v>
      </c>
      <c r="D214" s="114">
        <v>77.94</v>
      </c>
      <c r="E214" s="115">
        <v>-0.05</v>
      </c>
      <c r="F214" s="116"/>
      <c r="G214" s="113">
        <v>39295</v>
      </c>
      <c r="H214" s="114">
        <v>23.38</v>
      </c>
      <c r="I214" s="118"/>
      <c r="J214" s="119">
        <v>39295</v>
      </c>
      <c r="K214" s="120">
        <v>83.17</v>
      </c>
      <c r="L214" s="120">
        <v>73.13</v>
      </c>
      <c r="M214" s="118"/>
      <c r="N214" s="121">
        <v>39295</v>
      </c>
      <c r="O214" s="95">
        <v>101.863</v>
      </c>
      <c r="P214" s="96">
        <v>1.9E-3</v>
      </c>
    </row>
    <row r="215" spans="1:16">
      <c r="A215" s="112">
        <v>39326</v>
      </c>
      <c r="B215" s="113">
        <v>39326</v>
      </c>
      <c r="C215" s="114">
        <v>81.66</v>
      </c>
      <c r="D215" s="114">
        <v>73.900000000000006</v>
      </c>
      <c r="E215" s="115">
        <v>0.105</v>
      </c>
      <c r="F215" s="116"/>
      <c r="G215" s="113">
        <v>39326</v>
      </c>
      <c r="H215" s="114">
        <v>18</v>
      </c>
      <c r="I215" s="118"/>
      <c r="J215" s="119">
        <v>39326</v>
      </c>
      <c r="K215" s="120">
        <v>94.49</v>
      </c>
      <c r="L215" s="120">
        <v>94.94</v>
      </c>
      <c r="M215" s="118"/>
      <c r="N215" s="121">
        <v>39326</v>
      </c>
      <c r="O215" s="95">
        <v>102.0894</v>
      </c>
      <c r="P215" s="96">
        <v>2.2000000000000001E-3</v>
      </c>
    </row>
    <row r="216" spans="1:16">
      <c r="A216" s="112">
        <v>39356</v>
      </c>
      <c r="B216" s="113">
        <v>39356</v>
      </c>
      <c r="C216" s="114">
        <v>94.53</v>
      </c>
      <c r="D216" s="114">
        <v>81.75</v>
      </c>
      <c r="E216" s="115">
        <v>0.15629999999999999</v>
      </c>
      <c r="F216" s="116"/>
      <c r="G216" s="113">
        <v>39356</v>
      </c>
      <c r="H216" s="114">
        <v>18.53</v>
      </c>
      <c r="I216" s="118"/>
      <c r="J216" s="119">
        <v>39356</v>
      </c>
      <c r="K216" s="120">
        <v>101.47</v>
      </c>
      <c r="L216" s="120">
        <v>103.61</v>
      </c>
      <c r="M216" s="118"/>
      <c r="N216" s="121">
        <v>39356</v>
      </c>
      <c r="O216" s="95">
        <v>101.8015</v>
      </c>
      <c r="P216" s="96">
        <v>-2.8E-3</v>
      </c>
    </row>
    <row r="217" spans="1:16">
      <c r="A217" s="112">
        <v>39387</v>
      </c>
      <c r="B217" s="113">
        <v>39387</v>
      </c>
      <c r="C217" s="114">
        <v>88.71</v>
      </c>
      <c r="D217" s="114">
        <v>95.15</v>
      </c>
      <c r="E217" s="115">
        <v>-6.7699999999999996E-2</v>
      </c>
      <c r="F217" s="116"/>
      <c r="G217" s="113">
        <v>39387</v>
      </c>
      <c r="H217" s="114">
        <v>22.87</v>
      </c>
      <c r="I217" s="118"/>
      <c r="J217" s="119">
        <v>39387</v>
      </c>
      <c r="K217" s="120">
        <v>89.8</v>
      </c>
      <c r="L217" s="120">
        <v>95.74</v>
      </c>
      <c r="M217" s="118"/>
      <c r="N217" s="121">
        <v>39387</v>
      </c>
      <c r="O217" s="95">
        <v>102.3446</v>
      </c>
      <c r="P217" s="96">
        <v>5.3E-3</v>
      </c>
    </row>
    <row r="218" spans="1:16">
      <c r="A218" s="112">
        <v>39417</v>
      </c>
      <c r="B218" s="113">
        <v>39417</v>
      </c>
      <c r="C218" s="114">
        <v>95.98</v>
      </c>
      <c r="D218" s="114">
        <v>88.79</v>
      </c>
      <c r="E218" s="115">
        <v>8.1000000000000003E-2</v>
      </c>
      <c r="F218" s="116"/>
      <c r="G218" s="113">
        <v>39417</v>
      </c>
      <c r="H218" s="114">
        <v>22.5</v>
      </c>
      <c r="I218" s="118"/>
      <c r="J218" s="119">
        <v>39417</v>
      </c>
      <c r="K218" s="120">
        <v>94.97</v>
      </c>
      <c r="L218" s="120">
        <v>98.53</v>
      </c>
      <c r="M218" s="118"/>
      <c r="N218" s="121">
        <v>39417</v>
      </c>
      <c r="O218" s="95">
        <v>102.38030000000001</v>
      </c>
      <c r="P218" s="96">
        <v>2.9999999999999997E-4</v>
      </c>
    </row>
    <row r="219" spans="1:16">
      <c r="A219" s="112">
        <v>39448</v>
      </c>
      <c r="B219" s="113">
        <v>39448</v>
      </c>
      <c r="C219" s="114">
        <v>91.75</v>
      </c>
      <c r="D219" s="114">
        <v>96.05</v>
      </c>
      <c r="E219" s="115">
        <v>-4.48E-2</v>
      </c>
      <c r="F219" s="116"/>
      <c r="G219" s="113">
        <v>39448</v>
      </c>
      <c r="H219" s="114">
        <v>26.2</v>
      </c>
      <c r="I219" s="118"/>
      <c r="J219" s="119">
        <v>39448</v>
      </c>
      <c r="K219" s="120">
        <v>81.5</v>
      </c>
      <c r="L219" s="120">
        <v>76.400000000000006</v>
      </c>
      <c r="M219" s="118"/>
      <c r="N219" s="121">
        <v>39448</v>
      </c>
      <c r="O219" s="95">
        <v>102.2448</v>
      </c>
      <c r="P219" s="96">
        <v>-1.2999999999999999E-3</v>
      </c>
    </row>
    <row r="220" spans="1:16">
      <c r="A220" s="112">
        <v>39479</v>
      </c>
      <c r="B220" s="113">
        <v>39479</v>
      </c>
      <c r="C220" s="114">
        <v>101.84</v>
      </c>
      <c r="D220" s="114">
        <v>91.36</v>
      </c>
      <c r="E220" s="115">
        <v>0.1147</v>
      </c>
      <c r="F220" s="116"/>
      <c r="G220" s="113">
        <v>39479</v>
      </c>
      <c r="H220" s="114">
        <v>26.54</v>
      </c>
      <c r="I220" s="118"/>
      <c r="J220" s="119">
        <v>39479</v>
      </c>
      <c r="K220" s="120">
        <v>80.75</v>
      </c>
      <c r="L220" s="120">
        <v>72.53</v>
      </c>
      <c r="M220" s="118"/>
      <c r="N220" s="121">
        <v>39479</v>
      </c>
      <c r="O220" s="95">
        <v>101.8438</v>
      </c>
      <c r="P220" s="96">
        <v>-3.8999999999999998E-3</v>
      </c>
    </row>
    <row r="221" spans="1:16">
      <c r="A221" s="112">
        <v>39508</v>
      </c>
      <c r="B221" s="113">
        <v>39508</v>
      </c>
      <c r="C221" s="114">
        <v>101.58</v>
      </c>
      <c r="D221" s="114">
        <v>101.63</v>
      </c>
      <c r="E221" s="115">
        <v>-5.0000000000000001E-4</v>
      </c>
      <c r="F221" s="116"/>
      <c r="G221" s="113">
        <v>39508</v>
      </c>
      <c r="H221" s="114">
        <v>25.61</v>
      </c>
      <c r="I221" s="118"/>
      <c r="J221" s="119">
        <v>39508</v>
      </c>
      <c r="K221" s="120">
        <v>77.64</v>
      </c>
      <c r="L221" s="120">
        <v>72.03</v>
      </c>
      <c r="M221" s="118"/>
      <c r="N221" s="121">
        <v>39508</v>
      </c>
      <c r="O221" s="95">
        <v>101.53360000000001</v>
      </c>
      <c r="P221" s="96">
        <v>-3.0000000000000001E-3</v>
      </c>
    </row>
    <row r="222" spans="1:16">
      <c r="A222" s="112">
        <v>39539</v>
      </c>
      <c r="B222" s="113">
        <v>39539</v>
      </c>
      <c r="C222" s="114">
        <v>113.46</v>
      </c>
      <c r="D222" s="114">
        <v>101.57</v>
      </c>
      <c r="E222" s="115">
        <v>0.1171</v>
      </c>
      <c r="F222" s="116"/>
      <c r="G222" s="113">
        <v>39539</v>
      </c>
      <c r="H222" s="114">
        <v>20.79</v>
      </c>
      <c r="I222" s="118"/>
      <c r="J222" s="119">
        <v>39539</v>
      </c>
      <c r="K222" s="120">
        <v>71.900000000000006</v>
      </c>
      <c r="L222" s="120">
        <v>69.459999999999994</v>
      </c>
      <c r="M222" s="118"/>
      <c r="N222" s="121">
        <v>39539</v>
      </c>
      <c r="O222" s="95">
        <v>100.8785</v>
      </c>
      <c r="P222" s="96">
        <v>-6.4999999999999997E-3</v>
      </c>
    </row>
    <row r="223" spans="1:16">
      <c r="A223" s="123">
        <v>39569</v>
      </c>
      <c r="B223" s="124">
        <v>39569</v>
      </c>
      <c r="C223" s="114">
        <v>127.35</v>
      </c>
      <c r="D223" s="114">
        <v>114.6</v>
      </c>
      <c r="E223" s="115">
        <v>0.1113</v>
      </c>
      <c r="F223" s="116"/>
      <c r="G223" s="124">
        <v>39569</v>
      </c>
      <c r="H223" s="114">
        <v>17.829999999999998</v>
      </c>
      <c r="I223" s="118"/>
      <c r="J223" s="119">
        <v>39569</v>
      </c>
      <c r="K223" s="120">
        <v>72.569999999999993</v>
      </c>
      <c r="L223" s="120">
        <v>70.680000000000007</v>
      </c>
      <c r="M223" s="118"/>
      <c r="N223" s="121">
        <v>39569</v>
      </c>
      <c r="O223" s="95">
        <v>100.26739999999999</v>
      </c>
      <c r="P223" s="96">
        <v>-6.1000000000000004E-3</v>
      </c>
    </row>
    <row r="224" spans="1:16">
      <c r="A224" s="112">
        <v>39600</v>
      </c>
      <c r="B224" s="113">
        <v>39600</v>
      </c>
      <c r="C224" s="114">
        <v>140</v>
      </c>
      <c r="D224" s="114">
        <v>127.63</v>
      </c>
      <c r="E224" s="115">
        <v>9.69E-2</v>
      </c>
      <c r="F224" s="116"/>
      <c r="G224" s="113">
        <v>39600</v>
      </c>
      <c r="H224" s="114">
        <v>23.95</v>
      </c>
      <c r="I224" s="118"/>
      <c r="J224" s="119">
        <v>39600</v>
      </c>
      <c r="K224" s="120">
        <v>87.55</v>
      </c>
      <c r="L224" s="120">
        <v>88.89</v>
      </c>
      <c r="M224" s="118"/>
      <c r="N224" s="121">
        <v>39600</v>
      </c>
      <c r="O224" s="95">
        <v>100.0335</v>
      </c>
      <c r="P224" s="96">
        <v>-2.3E-3</v>
      </c>
    </row>
    <row r="225" spans="1:16">
      <c r="A225" s="112">
        <v>39630</v>
      </c>
      <c r="B225" s="113">
        <v>39630</v>
      </c>
      <c r="C225" s="114">
        <v>124.08</v>
      </c>
      <c r="D225" s="114">
        <v>140.18</v>
      </c>
      <c r="E225" s="115">
        <v>-0.1149</v>
      </c>
      <c r="F225" s="116"/>
      <c r="G225" s="113">
        <v>39630</v>
      </c>
      <c r="H225" s="114">
        <v>22.94</v>
      </c>
      <c r="I225" s="118"/>
      <c r="J225" s="119">
        <v>39630</v>
      </c>
      <c r="K225" s="120">
        <v>89.74</v>
      </c>
      <c r="L225" s="120">
        <v>84.32</v>
      </c>
      <c r="M225" s="118"/>
      <c r="N225" s="121">
        <v>39630</v>
      </c>
      <c r="O225" s="95">
        <v>99.676000000000002</v>
      </c>
      <c r="P225" s="96">
        <v>-3.5999999999999999E-3</v>
      </c>
    </row>
    <row r="226" spans="1:16">
      <c r="A226" s="112">
        <v>39661</v>
      </c>
      <c r="B226" s="113">
        <v>39661</v>
      </c>
      <c r="C226" s="114">
        <v>115.46</v>
      </c>
      <c r="D226" s="114">
        <v>124.06</v>
      </c>
      <c r="E226" s="115">
        <v>-6.93E-2</v>
      </c>
      <c r="F226" s="116"/>
      <c r="G226" s="113">
        <v>39661</v>
      </c>
      <c r="H226" s="114">
        <v>20.65</v>
      </c>
      <c r="I226" s="118"/>
      <c r="J226" s="119">
        <v>39661</v>
      </c>
      <c r="K226" s="120">
        <v>88.55</v>
      </c>
      <c r="L226" s="120">
        <v>75.77</v>
      </c>
      <c r="M226" s="118"/>
      <c r="N226" s="121">
        <v>39661</v>
      </c>
      <c r="O226" s="95">
        <v>98.111099999999993</v>
      </c>
      <c r="P226" s="96">
        <v>-1.5699999999999999E-2</v>
      </c>
    </row>
    <row r="227" spans="1:16">
      <c r="A227" s="112">
        <v>39692</v>
      </c>
      <c r="B227" s="113">
        <v>39692</v>
      </c>
      <c r="C227" s="114">
        <v>100.64</v>
      </c>
      <c r="D227" s="114">
        <v>116.65</v>
      </c>
      <c r="E227" s="115">
        <v>-0.13719999999999999</v>
      </c>
      <c r="F227" s="116"/>
      <c r="G227" s="113">
        <v>39692</v>
      </c>
      <c r="H227" s="114">
        <v>39.39</v>
      </c>
      <c r="I227" s="118"/>
      <c r="J227" s="119">
        <v>39692</v>
      </c>
      <c r="K227" s="120">
        <v>88.54</v>
      </c>
      <c r="L227" s="120">
        <v>82.01</v>
      </c>
      <c r="M227" s="118"/>
      <c r="N227" s="121">
        <v>39692</v>
      </c>
      <c r="O227" s="95">
        <v>93.789500000000004</v>
      </c>
      <c r="P227" s="96">
        <v>-4.3999999999999997E-2</v>
      </c>
    </row>
    <row r="228" spans="1:16">
      <c r="A228" s="112">
        <v>39722</v>
      </c>
      <c r="B228" s="113">
        <v>39722</v>
      </c>
      <c r="C228" s="114">
        <v>67.81</v>
      </c>
      <c r="D228" s="114">
        <v>101.86</v>
      </c>
      <c r="E228" s="115">
        <v>-0.33429999999999999</v>
      </c>
      <c r="F228" s="116"/>
      <c r="G228" s="113">
        <v>39722</v>
      </c>
      <c r="H228" s="114">
        <v>59.89</v>
      </c>
      <c r="I228" s="118"/>
      <c r="J228" s="119">
        <v>39722</v>
      </c>
      <c r="K228" s="120">
        <v>64.16</v>
      </c>
      <c r="L228" s="120">
        <v>53.12</v>
      </c>
      <c r="M228" s="118"/>
      <c r="N228" s="121">
        <v>39722</v>
      </c>
      <c r="O228" s="95">
        <v>94.721900000000005</v>
      </c>
      <c r="P228" s="96">
        <v>9.9000000000000008E-3</v>
      </c>
    </row>
    <row r="229" spans="1:16">
      <c r="A229" s="112">
        <v>39753</v>
      </c>
      <c r="B229" s="113">
        <v>39753</v>
      </c>
      <c r="C229" s="114">
        <v>54.43</v>
      </c>
      <c r="D229" s="114">
        <v>67.37</v>
      </c>
      <c r="E229" s="115">
        <v>-0.19209999999999999</v>
      </c>
      <c r="F229" s="116"/>
      <c r="G229" s="113">
        <v>39753</v>
      </c>
      <c r="H229" s="114">
        <v>55.28</v>
      </c>
      <c r="I229" s="118"/>
      <c r="J229" s="119">
        <v>39753</v>
      </c>
      <c r="K229" s="120">
        <v>79.08</v>
      </c>
      <c r="L229" s="120">
        <v>68.3</v>
      </c>
      <c r="M229" s="118"/>
      <c r="N229" s="121">
        <v>39753</v>
      </c>
      <c r="O229" s="95">
        <v>93.471500000000006</v>
      </c>
      <c r="P229" s="96">
        <v>-1.32E-2</v>
      </c>
    </row>
    <row r="230" spans="1:16">
      <c r="A230" s="112">
        <v>39783</v>
      </c>
      <c r="B230" s="113">
        <v>39783</v>
      </c>
      <c r="C230" s="114">
        <v>44.6</v>
      </c>
      <c r="D230" s="114">
        <v>54.62</v>
      </c>
      <c r="E230" s="115">
        <v>-0.18340000000000001</v>
      </c>
      <c r="F230" s="116"/>
      <c r="G230" s="113">
        <v>39783</v>
      </c>
      <c r="H230" s="114">
        <v>40</v>
      </c>
      <c r="I230" s="118"/>
      <c r="J230" s="119">
        <v>39783</v>
      </c>
      <c r="K230" s="120">
        <v>92.37</v>
      </c>
      <c r="L230" s="120">
        <v>83.84</v>
      </c>
      <c r="M230" s="118"/>
      <c r="N230" s="121">
        <v>39783</v>
      </c>
      <c r="O230" s="95">
        <v>90.835700000000003</v>
      </c>
      <c r="P230" s="96">
        <v>-2.8199999999999999E-2</v>
      </c>
    </row>
    <row r="231" spans="1:16">
      <c r="A231" s="112">
        <v>39814</v>
      </c>
      <c r="B231" s="113">
        <v>39814</v>
      </c>
      <c r="C231" s="114">
        <v>41.68</v>
      </c>
      <c r="D231" s="114">
        <v>43.72</v>
      </c>
      <c r="E231" s="115">
        <v>-4.6699999999999998E-2</v>
      </c>
      <c r="F231" s="116"/>
      <c r="G231" s="113">
        <v>39814</v>
      </c>
      <c r="H231" s="114">
        <v>44.84</v>
      </c>
      <c r="I231" s="118"/>
      <c r="J231" s="119">
        <v>39814</v>
      </c>
      <c r="K231" s="120">
        <v>85.37</v>
      </c>
      <c r="L231" s="120">
        <v>86.31</v>
      </c>
      <c r="M231" s="118"/>
      <c r="N231" s="121">
        <v>39814</v>
      </c>
      <c r="O231" s="95">
        <v>88.57</v>
      </c>
      <c r="P231" s="96">
        <v>-2.4899999999999999E-2</v>
      </c>
    </row>
    <row r="232" spans="1:16">
      <c r="A232" s="112">
        <v>39845</v>
      </c>
      <c r="B232" s="113">
        <v>39845</v>
      </c>
      <c r="C232" s="114">
        <v>44.76</v>
      </c>
      <c r="D232" s="114">
        <v>41.75</v>
      </c>
      <c r="E232" s="115">
        <v>7.2099999999999997E-2</v>
      </c>
      <c r="F232" s="116"/>
      <c r="G232" s="113">
        <v>39845</v>
      </c>
      <c r="H232" s="114">
        <v>46.35</v>
      </c>
      <c r="I232" s="118"/>
      <c r="J232" s="119">
        <v>39845</v>
      </c>
      <c r="K232" s="120">
        <v>67.45</v>
      </c>
      <c r="L232" s="120">
        <v>64.77</v>
      </c>
      <c r="M232" s="118"/>
      <c r="N232" s="121">
        <v>39845</v>
      </c>
      <c r="O232" s="95">
        <v>88.031000000000006</v>
      </c>
      <c r="P232" s="96">
        <v>-6.1000000000000004E-3</v>
      </c>
    </row>
    <row r="233" spans="1:16">
      <c r="A233" s="112">
        <v>39873</v>
      </c>
      <c r="B233" s="113">
        <v>39873</v>
      </c>
      <c r="C233" s="114">
        <v>49.66</v>
      </c>
      <c r="D233" s="114">
        <v>44.34</v>
      </c>
      <c r="E233" s="115">
        <v>0.12</v>
      </c>
      <c r="F233" s="116"/>
      <c r="G233" s="113">
        <v>39873</v>
      </c>
      <c r="H233" s="114">
        <v>44.14</v>
      </c>
      <c r="I233" s="118"/>
      <c r="J233" s="119">
        <v>39873</v>
      </c>
      <c r="K233" s="120">
        <v>72.64</v>
      </c>
      <c r="L233" s="120">
        <v>69.180000000000007</v>
      </c>
      <c r="M233" s="118"/>
      <c r="N233" s="121">
        <v>39873</v>
      </c>
      <c r="O233" s="95">
        <v>86.652799999999999</v>
      </c>
      <c r="P233" s="96">
        <v>-1.5699999999999999E-2</v>
      </c>
    </row>
    <row r="234" spans="1:16">
      <c r="A234" s="112">
        <v>39904</v>
      </c>
      <c r="B234" s="113">
        <v>39904</v>
      </c>
      <c r="C234" s="114">
        <v>51.12</v>
      </c>
      <c r="D234" s="114">
        <v>48.96</v>
      </c>
      <c r="E234" s="115">
        <v>4.41E-2</v>
      </c>
      <c r="F234" s="116"/>
      <c r="G234" s="113">
        <v>39904</v>
      </c>
      <c r="H234" s="114">
        <v>36.5</v>
      </c>
      <c r="I234" s="118"/>
      <c r="J234" s="119">
        <v>39904</v>
      </c>
      <c r="K234" s="120">
        <v>85.69</v>
      </c>
      <c r="L234" s="120">
        <v>84.49</v>
      </c>
      <c r="M234" s="118"/>
      <c r="N234" s="121">
        <v>39904</v>
      </c>
      <c r="O234" s="95">
        <v>85.934399999999997</v>
      </c>
      <c r="P234" s="96">
        <v>-8.3000000000000001E-3</v>
      </c>
    </row>
    <row r="235" spans="1:16">
      <c r="A235" s="123">
        <v>39934</v>
      </c>
      <c r="B235" s="124">
        <v>39934</v>
      </c>
      <c r="C235" s="114">
        <v>66.31</v>
      </c>
      <c r="D235" s="114">
        <v>50.95</v>
      </c>
      <c r="E235" s="115">
        <v>0.30149999999999999</v>
      </c>
      <c r="F235" s="116"/>
      <c r="G235" s="124">
        <v>39934</v>
      </c>
      <c r="H235" s="114">
        <v>28.92</v>
      </c>
      <c r="I235" s="118"/>
      <c r="J235" s="119">
        <v>39934</v>
      </c>
      <c r="K235" s="120">
        <v>89.68</v>
      </c>
      <c r="L235" s="120">
        <v>86.64</v>
      </c>
      <c r="M235" s="118"/>
      <c r="N235" s="121">
        <v>39934</v>
      </c>
      <c r="O235" s="95">
        <v>85.066500000000005</v>
      </c>
      <c r="P235" s="96">
        <v>-1.01E-2</v>
      </c>
    </row>
    <row r="236" spans="1:16">
      <c r="A236" s="112">
        <v>39965</v>
      </c>
      <c r="B236" s="113">
        <v>39965</v>
      </c>
      <c r="C236" s="114">
        <v>69.89</v>
      </c>
      <c r="D236" s="114">
        <v>66.48</v>
      </c>
      <c r="E236" s="115">
        <v>5.1299999999999998E-2</v>
      </c>
      <c r="F236" s="116"/>
      <c r="G236" s="113">
        <v>39965</v>
      </c>
      <c r="H236" s="114">
        <v>26.35</v>
      </c>
      <c r="I236" s="118"/>
      <c r="J236" s="119">
        <v>39965</v>
      </c>
      <c r="K236" s="120">
        <v>81.11</v>
      </c>
      <c r="L236" s="120">
        <v>80.8</v>
      </c>
      <c r="M236" s="118"/>
      <c r="N236" s="121">
        <v>39965</v>
      </c>
      <c r="O236" s="95">
        <v>84.745900000000006</v>
      </c>
      <c r="P236" s="96">
        <v>-3.8E-3</v>
      </c>
    </row>
    <row r="237" spans="1:16">
      <c r="A237" s="112">
        <v>39995</v>
      </c>
      <c r="B237" s="113">
        <v>39995</v>
      </c>
      <c r="C237" s="114">
        <v>69.45</v>
      </c>
      <c r="D237" s="114">
        <v>70.45</v>
      </c>
      <c r="E237" s="115">
        <v>-1.4200000000000001E-2</v>
      </c>
      <c r="F237" s="116"/>
      <c r="G237" s="113">
        <v>39995</v>
      </c>
      <c r="H237" s="114">
        <v>25.92</v>
      </c>
      <c r="I237" s="118"/>
      <c r="J237" s="119">
        <v>39995</v>
      </c>
      <c r="K237" s="120">
        <v>83.44</v>
      </c>
      <c r="L237" s="120">
        <v>82.11</v>
      </c>
      <c r="M237" s="118"/>
      <c r="N237" s="121">
        <v>39995</v>
      </c>
      <c r="O237" s="95">
        <v>85.702699999999993</v>
      </c>
      <c r="P237" s="96">
        <v>1.1299999999999999E-2</v>
      </c>
    </row>
    <row r="238" spans="1:16">
      <c r="A238" s="112">
        <v>40026</v>
      </c>
      <c r="B238" s="113">
        <v>40026</v>
      </c>
      <c r="C238" s="114">
        <v>69.959999999999994</v>
      </c>
      <c r="D238" s="114">
        <v>69.3</v>
      </c>
      <c r="E238" s="115">
        <v>9.4999999999999998E-3</v>
      </c>
      <c r="F238" s="116"/>
      <c r="G238" s="113">
        <v>40026</v>
      </c>
      <c r="H238" s="114">
        <v>26.01</v>
      </c>
      <c r="I238" s="118"/>
      <c r="J238" s="119">
        <v>40026</v>
      </c>
      <c r="K238" s="120">
        <v>73.37</v>
      </c>
      <c r="L238" s="120">
        <v>64.709999999999994</v>
      </c>
      <c r="M238" s="118"/>
      <c r="N238" s="121">
        <v>40026</v>
      </c>
      <c r="O238" s="95">
        <v>86.642600000000002</v>
      </c>
      <c r="P238" s="96">
        <v>1.0999999999999999E-2</v>
      </c>
    </row>
    <row r="239" spans="1:16">
      <c r="A239" s="112">
        <v>40057</v>
      </c>
      <c r="B239" s="113">
        <v>40057</v>
      </c>
      <c r="C239" s="114">
        <v>70.61</v>
      </c>
      <c r="D239" s="114">
        <v>69.849999999999994</v>
      </c>
      <c r="E239" s="115">
        <v>1.09E-2</v>
      </c>
      <c r="F239" s="116"/>
      <c r="G239" s="113">
        <v>40057</v>
      </c>
      <c r="H239" s="114">
        <v>25.61</v>
      </c>
      <c r="I239" s="118"/>
      <c r="J239" s="119">
        <v>40057</v>
      </c>
      <c r="K239" s="120">
        <v>92.84</v>
      </c>
      <c r="L239" s="120">
        <v>97.49</v>
      </c>
      <c r="M239" s="118"/>
      <c r="N239" s="121">
        <v>40057</v>
      </c>
      <c r="O239" s="95">
        <v>87.406300000000002</v>
      </c>
      <c r="P239" s="96">
        <v>8.8000000000000005E-3</v>
      </c>
    </row>
    <row r="240" spans="1:16">
      <c r="A240" s="112">
        <v>40087</v>
      </c>
      <c r="B240" s="113">
        <v>40087</v>
      </c>
      <c r="C240" s="114">
        <v>77</v>
      </c>
      <c r="D240" s="114">
        <v>70.400000000000006</v>
      </c>
      <c r="E240" s="115">
        <v>9.3799999999999994E-2</v>
      </c>
      <c r="F240" s="116"/>
      <c r="G240" s="113">
        <v>40087</v>
      </c>
      <c r="H240" s="114">
        <v>30.69</v>
      </c>
      <c r="I240" s="118"/>
      <c r="J240" s="119">
        <v>40087</v>
      </c>
      <c r="K240" s="120">
        <v>90.58</v>
      </c>
      <c r="L240" s="120">
        <v>88.23</v>
      </c>
      <c r="M240" s="118"/>
      <c r="N240" s="121">
        <v>40087</v>
      </c>
      <c r="O240" s="95">
        <v>87.641900000000007</v>
      </c>
      <c r="P240" s="96">
        <v>2.7000000000000001E-3</v>
      </c>
    </row>
    <row r="241" spans="1:16">
      <c r="A241" s="112">
        <v>40118</v>
      </c>
      <c r="B241" s="113">
        <v>40118</v>
      </c>
      <c r="C241" s="114">
        <v>77.28</v>
      </c>
      <c r="D241" s="114">
        <v>77.02</v>
      </c>
      <c r="E241" s="115">
        <v>3.3999999999999998E-3</v>
      </c>
      <c r="F241" s="116"/>
      <c r="G241" s="113">
        <v>40118</v>
      </c>
      <c r="H241" s="114">
        <v>24.51</v>
      </c>
      <c r="I241" s="118"/>
      <c r="J241" s="119">
        <v>40118</v>
      </c>
      <c r="K241" s="120">
        <v>82.1</v>
      </c>
      <c r="L241" s="120">
        <v>74.319999999999993</v>
      </c>
      <c r="M241" s="118"/>
      <c r="N241" s="121">
        <v>40118</v>
      </c>
      <c r="O241" s="95">
        <v>88.022099999999995</v>
      </c>
      <c r="P241" s="96">
        <v>4.3E-3</v>
      </c>
    </row>
    <row r="242" spans="1:16">
      <c r="A242" s="112">
        <v>40148</v>
      </c>
      <c r="B242" s="113">
        <v>40148</v>
      </c>
      <c r="C242" s="114">
        <v>79.36</v>
      </c>
      <c r="D242" s="114">
        <v>77.349999999999994</v>
      </c>
      <c r="E242" s="115">
        <v>2.5999999999999999E-2</v>
      </c>
      <c r="F242" s="116"/>
      <c r="G242" s="113">
        <v>40148</v>
      </c>
      <c r="H242" s="114">
        <v>21.68</v>
      </c>
      <c r="I242" s="118"/>
      <c r="J242" s="119">
        <v>40148</v>
      </c>
      <c r="K242" s="120">
        <v>92.95</v>
      </c>
      <c r="L242" s="120">
        <v>89.34</v>
      </c>
      <c r="M242" s="118"/>
      <c r="N242" s="121">
        <v>40148</v>
      </c>
      <c r="O242" s="95">
        <v>88.379300000000001</v>
      </c>
      <c r="P242" s="96">
        <v>4.1000000000000003E-3</v>
      </c>
    </row>
    <row r="243" spans="1:16">
      <c r="A243" s="112">
        <v>40179</v>
      </c>
      <c r="B243" s="113">
        <v>40179</v>
      </c>
      <c r="C243" s="114">
        <v>72.89</v>
      </c>
      <c r="D243" s="114">
        <v>79.63</v>
      </c>
      <c r="E243" s="115">
        <v>-8.4599999999999995E-2</v>
      </c>
      <c r="F243" s="116"/>
      <c r="G243" s="113">
        <v>40179</v>
      </c>
      <c r="H243" s="114">
        <v>24.62</v>
      </c>
      <c r="I243" s="118"/>
      <c r="J243" s="119">
        <v>40179</v>
      </c>
      <c r="K243" s="120">
        <v>91.58</v>
      </c>
      <c r="L243" s="120">
        <v>84.97</v>
      </c>
      <c r="M243" s="118"/>
      <c r="N243" s="121">
        <v>40179</v>
      </c>
      <c r="O243" s="95">
        <v>89.342600000000004</v>
      </c>
      <c r="P243" s="96">
        <v>1.09E-2</v>
      </c>
    </row>
    <row r="244" spans="1:16">
      <c r="A244" s="112">
        <v>40210</v>
      </c>
      <c r="B244" s="113">
        <v>40210</v>
      </c>
      <c r="C244" s="114">
        <v>79.66</v>
      </c>
      <c r="D244" s="114">
        <v>72.84</v>
      </c>
      <c r="E244" s="115">
        <v>9.3600000000000003E-2</v>
      </c>
      <c r="F244" s="116"/>
      <c r="G244" s="113">
        <v>40210</v>
      </c>
      <c r="H244" s="114">
        <v>19.5</v>
      </c>
      <c r="I244" s="118"/>
      <c r="J244" s="119">
        <v>40210</v>
      </c>
      <c r="K244" s="120">
        <v>80.73</v>
      </c>
      <c r="L244" s="120">
        <v>78.849999999999994</v>
      </c>
      <c r="M244" s="118"/>
      <c r="N244" s="121">
        <v>40210</v>
      </c>
      <c r="O244" s="95">
        <v>89.677899999999994</v>
      </c>
      <c r="P244" s="96">
        <v>3.8E-3</v>
      </c>
    </row>
    <row r="245" spans="1:16">
      <c r="A245" s="112">
        <v>40238</v>
      </c>
      <c r="B245" s="113">
        <v>40238</v>
      </c>
      <c r="C245" s="114">
        <v>83.76</v>
      </c>
      <c r="D245" s="114">
        <v>79.84</v>
      </c>
      <c r="E245" s="115">
        <v>4.9099999999999998E-2</v>
      </c>
      <c r="F245" s="116"/>
      <c r="G245" s="113">
        <v>40238</v>
      </c>
      <c r="H245" s="114">
        <v>17.59</v>
      </c>
      <c r="I245" s="118"/>
      <c r="J245" s="119">
        <v>40238</v>
      </c>
      <c r="K245" s="120">
        <v>74.12</v>
      </c>
      <c r="L245" s="120">
        <v>73.5</v>
      </c>
      <c r="M245" s="118"/>
      <c r="N245" s="121">
        <v>40238</v>
      </c>
      <c r="O245" s="95">
        <v>90.2928</v>
      </c>
      <c r="P245" s="96">
        <v>6.8999999999999999E-3</v>
      </c>
    </row>
    <row r="246" spans="1:16">
      <c r="A246" s="112">
        <v>40269</v>
      </c>
      <c r="B246" s="113">
        <v>40269</v>
      </c>
      <c r="C246" s="114">
        <v>86.15</v>
      </c>
      <c r="D246" s="114">
        <v>83.36</v>
      </c>
      <c r="E246" s="115">
        <v>3.3500000000000002E-2</v>
      </c>
      <c r="F246" s="116"/>
      <c r="G246" s="113">
        <v>40269</v>
      </c>
      <c r="H246" s="114">
        <v>22.05</v>
      </c>
      <c r="I246" s="118"/>
      <c r="J246" s="119">
        <v>40269</v>
      </c>
      <c r="K246" s="120">
        <v>88.76</v>
      </c>
      <c r="L246" s="120">
        <v>92.06</v>
      </c>
      <c r="M246" s="118"/>
      <c r="N246" s="121">
        <v>40269</v>
      </c>
      <c r="O246" s="95">
        <v>90.599100000000007</v>
      </c>
      <c r="P246" s="96">
        <v>3.3999999999999998E-3</v>
      </c>
    </row>
    <row r="247" spans="1:16">
      <c r="A247" s="123">
        <v>40299</v>
      </c>
      <c r="B247" s="124">
        <v>40299</v>
      </c>
      <c r="C247" s="114">
        <v>73.97</v>
      </c>
      <c r="D247" s="114">
        <v>86.2</v>
      </c>
      <c r="E247" s="115">
        <v>-0.1419</v>
      </c>
      <c r="F247" s="116"/>
      <c r="G247" s="124">
        <v>40299</v>
      </c>
      <c r="H247" s="114">
        <v>32.07</v>
      </c>
      <c r="I247" s="118"/>
      <c r="J247" s="119">
        <v>40299</v>
      </c>
      <c r="K247" s="120">
        <v>88.96</v>
      </c>
      <c r="L247" s="120">
        <v>87.49</v>
      </c>
      <c r="M247" s="118"/>
      <c r="N247" s="121">
        <v>40299</v>
      </c>
      <c r="O247" s="95">
        <v>91.822999999999993</v>
      </c>
      <c r="P247" s="96">
        <v>1.35E-2</v>
      </c>
    </row>
    <row r="248" spans="1:16">
      <c r="A248" s="112">
        <v>40330</v>
      </c>
      <c r="B248" s="113">
        <v>40330</v>
      </c>
      <c r="C248" s="114">
        <v>75.63</v>
      </c>
      <c r="D248" s="114">
        <v>73.97</v>
      </c>
      <c r="E248" s="115">
        <v>2.24E-2</v>
      </c>
      <c r="F248" s="116"/>
      <c r="G248" s="113">
        <v>40330</v>
      </c>
      <c r="H248" s="114">
        <v>34.54</v>
      </c>
      <c r="I248" s="118"/>
      <c r="J248" s="119">
        <v>40330</v>
      </c>
      <c r="K248" s="120">
        <v>96.45</v>
      </c>
      <c r="L248" s="120">
        <v>110.69</v>
      </c>
      <c r="M248" s="118"/>
      <c r="N248" s="121">
        <v>40330</v>
      </c>
      <c r="O248" s="95">
        <v>91.992800000000003</v>
      </c>
      <c r="P248" s="96">
        <v>1.8E-3</v>
      </c>
    </row>
    <row r="249" spans="1:16">
      <c r="A249" s="112">
        <v>40360</v>
      </c>
      <c r="B249" s="113">
        <v>40360</v>
      </c>
      <c r="C249" s="114">
        <v>78.95</v>
      </c>
      <c r="D249" s="114">
        <v>75.37</v>
      </c>
      <c r="E249" s="115">
        <v>4.7500000000000001E-2</v>
      </c>
      <c r="F249" s="116"/>
      <c r="G249" s="113">
        <v>40360</v>
      </c>
      <c r="H249" s="114">
        <v>23.5</v>
      </c>
      <c r="I249" s="118"/>
      <c r="J249" s="119">
        <v>40360</v>
      </c>
      <c r="K249" s="120">
        <v>79.38</v>
      </c>
      <c r="L249" s="120">
        <v>75.19</v>
      </c>
      <c r="M249" s="118"/>
      <c r="N249" s="121">
        <v>40360</v>
      </c>
      <c r="O249" s="95">
        <v>92.342100000000002</v>
      </c>
      <c r="P249" s="96">
        <v>3.8E-3</v>
      </c>
    </row>
    <row r="250" spans="1:16">
      <c r="A250" s="112">
        <v>40391</v>
      </c>
      <c r="B250" s="113">
        <v>40391</v>
      </c>
      <c r="C250" s="114">
        <v>71.92</v>
      </c>
      <c r="D250" s="114">
        <v>78.95</v>
      </c>
      <c r="E250" s="115">
        <v>-8.8999999999999996E-2</v>
      </c>
      <c r="F250" s="116"/>
      <c r="G250" s="113">
        <v>40391</v>
      </c>
      <c r="H250" s="114">
        <v>26.05</v>
      </c>
      <c r="I250" s="118"/>
      <c r="J250" s="119">
        <v>40391</v>
      </c>
      <c r="K250" s="120">
        <v>80.989999999999995</v>
      </c>
      <c r="L250" s="120">
        <v>71.95</v>
      </c>
      <c r="M250" s="118"/>
      <c r="N250" s="121">
        <v>40391</v>
      </c>
      <c r="O250" s="95">
        <v>92.680499999999995</v>
      </c>
      <c r="P250" s="96">
        <v>3.7000000000000002E-3</v>
      </c>
    </row>
    <row r="251" spans="1:16">
      <c r="A251" s="112">
        <v>40422</v>
      </c>
      <c r="B251" s="113">
        <v>40422</v>
      </c>
      <c r="C251" s="114">
        <v>79.97</v>
      </c>
      <c r="D251" s="114">
        <v>71.7</v>
      </c>
      <c r="E251" s="115">
        <v>0.1153</v>
      </c>
      <c r="F251" s="116"/>
      <c r="G251" s="113">
        <v>40422</v>
      </c>
      <c r="H251" s="114">
        <v>23.7</v>
      </c>
      <c r="I251" s="118"/>
      <c r="J251" s="119">
        <v>40422</v>
      </c>
      <c r="K251" s="120">
        <v>71.17</v>
      </c>
      <c r="L251" s="120">
        <v>68.95</v>
      </c>
      <c r="M251" s="118"/>
      <c r="N251" s="121">
        <v>40422</v>
      </c>
      <c r="O251" s="95">
        <v>92.953699999999998</v>
      </c>
      <c r="P251" s="96">
        <v>2.8999999999999998E-3</v>
      </c>
    </row>
    <row r="252" spans="1:16">
      <c r="A252" s="112">
        <v>40452</v>
      </c>
      <c r="B252" s="113">
        <v>40452</v>
      </c>
      <c r="C252" s="114">
        <v>81.430000000000007</v>
      </c>
      <c r="D252" s="114">
        <v>79.84</v>
      </c>
      <c r="E252" s="115">
        <v>1.9900000000000001E-2</v>
      </c>
      <c r="F252" s="116"/>
      <c r="G252" s="113">
        <v>40452</v>
      </c>
      <c r="H252" s="114">
        <v>21.2</v>
      </c>
      <c r="I252" s="118"/>
      <c r="J252" s="119">
        <v>40452</v>
      </c>
      <c r="K252" s="120">
        <v>65.989999999999995</v>
      </c>
      <c r="L252" s="120">
        <v>62.1</v>
      </c>
      <c r="M252" s="118"/>
      <c r="N252" s="121">
        <v>40452</v>
      </c>
      <c r="O252" s="95">
        <v>92.690299999999993</v>
      </c>
      <c r="P252" s="96">
        <v>-2.8E-3</v>
      </c>
    </row>
    <row r="253" spans="1:16">
      <c r="A253" s="112">
        <v>40483</v>
      </c>
      <c r="B253" s="113">
        <v>40483</v>
      </c>
      <c r="C253" s="114">
        <v>84.11</v>
      </c>
      <c r="D253" s="114">
        <v>81.45</v>
      </c>
      <c r="E253" s="115">
        <v>3.27E-2</v>
      </c>
      <c r="F253" s="116"/>
      <c r="G253" s="113">
        <v>40483</v>
      </c>
      <c r="H253" s="114">
        <v>23.54</v>
      </c>
      <c r="I253" s="118"/>
      <c r="J253" s="119">
        <v>40483</v>
      </c>
      <c r="K253" s="120">
        <v>94.71</v>
      </c>
      <c r="L253" s="120">
        <v>98.69</v>
      </c>
      <c r="M253" s="118"/>
      <c r="N253" s="121">
        <v>40483</v>
      </c>
      <c r="O253" s="95">
        <v>92.770899999999997</v>
      </c>
      <c r="P253" s="96">
        <v>8.9999999999999998E-4</v>
      </c>
    </row>
    <row r="254" spans="1:16">
      <c r="A254" s="112">
        <v>40513</v>
      </c>
      <c r="B254" s="113">
        <v>40513</v>
      </c>
      <c r="C254" s="114">
        <v>91.38</v>
      </c>
      <c r="D254" s="114">
        <v>83.66</v>
      </c>
      <c r="E254" s="115">
        <v>9.2299999999999993E-2</v>
      </c>
      <c r="F254" s="116"/>
      <c r="G254" s="113">
        <v>40513</v>
      </c>
      <c r="H254" s="114">
        <v>17.75</v>
      </c>
      <c r="I254" s="118"/>
      <c r="J254" s="119">
        <v>40513</v>
      </c>
      <c r="K254" s="120">
        <v>97.2</v>
      </c>
      <c r="L254" s="120">
        <v>100.4</v>
      </c>
      <c r="M254" s="118"/>
      <c r="N254" s="121">
        <v>40513</v>
      </c>
      <c r="O254" s="95">
        <v>93.678700000000006</v>
      </c>
      <c r="P254" s="96">
        <v>9.7999999999999997E-3</v>
      </c>
    </row>
    <row r="255" spans="1:16">
      <c r="A255" s="112">
        <v>40544</v>
      </c>
      <c r="B255" s="113">
        <v>40544</v>
      </c>
      <c r="C255" s="114">
        <v>92.19</v>
      </c>
      <c r="D255" s="114">
        <v>91.31</v>
      </c>
      <c r="E255" s="115">
        <v>9.5999999999999992E-3</v>
      </c>
      <c r="F255" s="116"/>
      <c r="G255" s="113">
        <v>40544</v>
      </c>
      <c r="H255" s="114">
        <v>19.53</v>
      </c>
      <c r="I255" s="118"/>
      <c r="J255" s="119">
        <v>40544</v>
      </c>
      <c r="K255" s="120">
        <v>79.42</v>
      </c>
      <c r="L255" s="120">
        <v>76.59</v>
      </c>
      <c r="M255" s="118"/>
      <c r="N255" s="121">
        <v>40544</v>
      </c>
      <c r="O255" s="95">
        <v>93.481399999999994</v>
      </c>
      <c r="P255" s="96">
        <v>-2.0999999999999999E-3</v>
      </c>
    </row>
    <row r="256" spans="1:16">
      <c r="A256" s="112">
        <v>40575</v>
      </c>
      <c r="B256" s="113">
        <v>40575</v>
      </c>
      <c r="C256" s="114">
        <v>96.97</v>
      </c>
      <c r="D256" s="114">
        <v>92.2</v>
      </c>
      <c r="E256" s="115">
        <v>5.1700000000000003E-2</v>
      </c>
      <c r="F256" s="116"/>
      <c r="G256" s="113">
        <v>40575</v>
      </c>
      <c r="H256" s="114">
        <v>18.350000000000001</v>
      </c>
      <c r="I256" s="118"/>
      <c r="J256" s="119">
        <v>40575</v>
      </c>
      <c r="K256" s="120">
        <v>90.01</v>
      </c>
      <c r="L256" s="120">
        <v>90.19</v>
      </c>
      <c r="M256" s="118"/>
      <c r="N256" s="121">
        <v>40575</v>
      </c>
      <c r="O256" s="95">
        <v>93.110200000000006</v>
      </c>
      <c r="P256" s="96">
        <v>-4.0000000000000001E-3</v>
      </c>
    </row>
    <row r="257" spans="1:16">
      <c r="A257" s="112">
        <v>40603</v>
      </c>
      <c r="B257" s="113">
        <v>40603</v>
      </c>
      <c r="C257" s="114">
        <v>106.72</v>
      </c>
      <c r="D257" s="114">
        <v>96.97</v>
      </c>
      <c r="E257" s="115">
        <v>0.10050000000000001</v>
      </c>
      <c r="F257" s="116"/>
      <c r="G257" s="113">
        <v>40603</v>
      </c>
      <c r="H257" s="114">
        <v>17.739999999999998</v>
      </c>
      <c r="I257" s="118"/>
      <c r="J257" s="119">
        <v>40603</v>
      </c>
      <c r="K257" s="120">
        <v>136.88999999999999</v>
      </c>
      <c r="L257" s="120">
        <v>126.97</v>
      </c>
      <c r="M257" s="118"/>
      <c r="N257" s="121">
        <v>40603</v>
      </c>
      <c r="O257" s="95">
        <v>94.078800000000001</v>
      </c>
      <c r="P257" s="96">
        <v>1.04E-2</v>
      </c>
    </row>
    <row r="258" spans="1:16">
      <c r="A258" s="112">
        <v>40634</v>
      </c>
      <c r="B258" s="113">
        <v>40634</v>
      </c>
      <c r="C258" s="114">
        <v>113.93</v>
      </c>
      <c r="D258" s="114">
        <v>106.62</v>
      </c>
      <c r="E258" s="115">
        <v>6.8599999999999994E-2</v>
      </c>
      <c r="F258" s="116"/>
      <c r="G258" s="113">
        <v>40634</v>
      </c>
      <c r="H258" s="114">
        <v>14.75</v>
      </c>
      <c r="I258" s="118"/>
      <c r="J258" s="119">
        <v>40634</v>
      </c>
      <c r="K258" s="120">
        <v>91.02</v>
      </c>
      <c r="L258" s="120">
        <v>72.92</v>
      </c>
      <c r="M258" s="118"/>
      <c r="N258" s="121">
        <v>40634</v>
      </c>
      <c r="O258" s="95">
        <v>93.774900000000002</v>
      </c>
      <c r="P258" s="96">
        <v>-3.2000000000000002E-3</v>
      </c>
    </row>
    <row r="259" spans="1:16">
      <c r="A259" s="123">
        <v>40664</v>
      </c>
      <c r="B259" s="124">
        <v>40664</v>
      </c>
      <c r="C259" s="114">
        <v>102.7</v>
      </c>
      <c r="D259" s="114">
        <v>113.89</v>
      </c>
      <c r="E259" s="115">
        <v>-9.8299999999999998E-2</v>
      </c>
      <c r="F259" s="116"/>
      <c r="G259" s="124">
        <v>40664</v>
      </c>
      <c r="H259" s="114">
        <v>15.45</v>
      </c>
      <c r="I259" s="118"/>
      <c r="J259" s="119">
        <v>40664</v>
      </c>
      <c r="K259" s="120">
        <v>105.34</v>
      </c>
      <c r="L259" s="120">
        <v>95.51</v>
      </c>
      <c r="M259" s="118"/>
      <c r="N259" s="121">
        <v>40664</v>
      </c>
      <c r="O259" s="95">
        <v>93.888000000000005</v>
      </c>
      <c r="P259" s="96">
        <v>1.1999999999999999E-3</v>
      </c>
    </row>
    <row r="260" spans="1:16">
      <c r="A260" s="112">
        <v>40695</v>
      </c>
      <c r="B260" s="113">
        <v>40695</v>
      </c>
      <c r="C260" s="114">
        <v>95.42</v>
      </c>
      <c r="D260" s="114">
        <v>102.68</v>
      </c>
      <c r="E260" s="115">
        <v>-7.0699999999999999E-2</v>
      </c>
      <c r="F260" s="116"/>
      <c r="G260" s="113">
        <v>40695</v>
      </c>
      <c r="H260" s="114">
        <v>16.52</v>
      </c>
      <c r="I260" s="118"/>
      <c r="J260" s="119">
        <v>40695</v>
      </c>
      <c r="K260" s="120">
        <v>84.39</v>
      </c>
      <c r="L260" s="120">
        <v>71.39</v>
      </c>
      <c r="M260" s="118"/>
      <c r="N260" s="121">
        <v>40695</v>
      </c>
      <c r="O260" s="95">
        <v>94.171999999999997</v>
      </c>
      <c r="P260" s="96">
        <v>3.0000000000000001E-3</v>
      </c>
    </row>
    <row r="261" spans="1:16">
      <c r="A261" s="112">
        <v>40725</v>
      </c>
      <c r="B261" s="113">
        <v>40725</v>
      </c>
      <c r="C261" s="114">
        <v>95.7</v>
      </c>
      <c r="D261" s="114">
        <v>95.12</v>
      </c>
      <c r="E261" s="115">
        <v>6.1000000000000004E-3</v>
      </c>
      <c r="F261" s="116"/>
      <c r="G261" s="113">
        <v>40725</v>
      </c>
      <c r="H261" s="114">
        <v>25.25</v>
      </c>
      <c r="I261" s="118"/>
      <c r="J261" s="119">
        <v>40725</v>
      </c>
      <c r="K261" s="120">
        <v>78.92</v>
      </c>
      <c r="L261" s="120">
        <v>59.02</v>
      </c>
      <c r="M261" s="118"/>
      <c r="N261" s="121">
        <v>40725</v>
      </c>
      <c r="O261" s="95">
        <v>94.635999999999996</v>
      </c>
      <c r="P261" s="96">
        <v>4.8999999999999998E-3</v>
      </c>
    </row>
    <row r="262" spans="1:16">
      <c r="A262" s="112">
        <v>40756</v>
      </c>
      <c r="B262" s="113">
        <v>40756</v>
      </c>
      <c r="C262" s="114">
        <v>88.81</v>
      </c>
      <c r="D262" s="114">
        <v>96.2</v>
      </c>
      <c r="E262" s="115">
        <v>-7.6799999999999993E-2</v>
      </c>
      <c r="F262" s="116"/>
      <c r="G262" s="113">
        <v>40756</v>
      </c>
      <c r="H262" s="114">
        <v>31.62</v>
      </c>
      <c r="I262" s="118"/>
      <c r="J262" s="119">
        <v>40756</v>
      </c>
      <c r="K262" s="120">
        <v>86.95</v>
      </c>
      <c r="L262" s="120">
        <v>63.5</v>
      </c>
      <c r="M262" s="118"/>
      <c r="N262" s="121">
        <v>40756</v>
      </c>
      <c r="O262" s="95">
        <v>95.274900000000002</v>
      </c>
      <c r="P262" s="96">
        <v>6.7999999999999996E-3</v>
      </c>
    </row>
    <row r="263" spans="1:16">
      <c r="A263" s="112">
        <v>40787</v>
      </c>
      <c r="B263" s="113">
        <v>40787</v>
      </c>
      <c r="C263" s="114">
        <v>79.2</v>
      </c>
      <c r="D263" s="114">
        <v>88.73</v>
      </c>
      <c r="E263" s="115">
        <v>-0.1074</v>
      </c>
      <c r="F263" s="116"/>
      <c r="G263" s="113">
        <v>40787</v>
      </c>
      <c r="H263" s="114">
        <v>42.96</v>
      </c>
      <c r="I263" s="118"/>
      <c r="J263" s="119">
        <v>40787</v>
      </c>
      <c r="K263" s="120">
        <v>83.35</v>
      </c>
      <c r="L263" s="120">
        <v>70.61</v>
      </c>
      <c r="M263" s="118"/>
      <c r="N263" s="121">
        <v>40787</v>
      </c>
      <c r="O263" s="95">
        <v>95.196100000000001</v>
      </c>
      <c r="P263" s="96">
        <v>-8.0000000000000004E-4</v>
      </c>
    </row>
    <row r="264" spans="1:16">
      <c r="A264" s="112">
        <v>40817</v>
      </c>
      <c r="B264" s="113">
        <v>40817</v>
      </c>
      <c r="C264" s="114">
        <v>93.19</v>
      </c>
      <c r="D264" s="114">
        <v>78.92</v>
      </c>
      <c r="E264" s="115">
        <v>0.18079999999999999</v>
      </c>
      <c r="F264" s="116"/>
      <c r="G264" s="113">
        <v>40817</v>
      </c>
      <c r="H264" s="114">
        <v>29.96</v>
      </c>
      <c r="I264" s="118"/>
      <c r="J264" s="119">
        <v>40817</v>
      </c>
      <c r="K264" s="120">
        <v>76.34</v>
      </c>
      <c r="L264" s="120">
        <v>64.19</v>
      </c>
      <c r="M264" s="118"/>
      <c r="N264" s="121">
        <v>40817</v>
      </c>
      <c r="O264" s="95">
        <v>95.856800000000007</v>
      </c>
      <c r="P264" s="96">
        <v>6.8999999999999999E-3</v>
      </c>
    </row>
    <row r="265" spans="1:16">
      <c r="A265" s="112">
        <v>40848</v>
      </c>
      <c r="B265" s="113">
        <v>40848</v>
      </c>
      <c r="C265" s="114">
        <v>100.36</v>
      </c>
      <c r="D265" s="114">
        <v>92.58</v>
      </c>
      <c r="E265" s="115">
        <v>8.4000000000000005E-2</v>
      </c>
      <c r="F265" s="116"/>
      <c r="G265" s="113">
        <v>40848</v>
      </c>
      <c r="H265" s="114">
        <v>27.8</v>
      </c>
      <c r="I265" s="118"/>
      <c r="J265" s="119">
        <v>40848</v>
      </c>
      <c r="K265" s="120">
        <v>83.16</v>
      </c>
      <c r="L265" s="120">
        <v>95.57</v>
      </c>
      <c r="M265" s="118"/>
      <c r="N265" s="121">
        <v>40848</v>
      </c>
      <c r="O265" s="95">
        <v>95.848500000000001</v>
      </c>
      <c r="P265" s="96">
        <v>-1E-4</v>
      </c>
    </row>
    <row r="266" spans="1:16">
      <c r="A266" s="112">
        <v>40878</v>
      </c>
      <c r="B266" s="113">
        <v>40878</v>
      </c>
      <c r="C266" s="114">
        <v>98.83</v>
      </c>
      <c r="D266" s="114">
        <v>100.51</v>
      </c>
      <c r="E266" s="115">
        <v>-1.67E-2</v>
      </c>
      <c r="F266" s="116"/>
      <c r="G266" s="113">
        <v>40878</v>
      </c>
      <c r="H266" s="114">
        <v>23.4</v>
      </c>
      <c r="I266" s="118"/>
      <c r="J266" s="119">
        <v>40878</v>
      </c>
      <c r="K266" s="120">
        <v>85.34</v>
      </c>
      <c r="L266" s="120">
        <v>88.89</v>
      </c>
      <c r="M266" s="118"/>
      <c r="N266" s="121">
        <v>40878</v>
      </c>
      <c r="O266" s="95">
        <v>96.357100000000003</v>
      </c>
      <c r="P266" s="96">
        <v>5.3E-3</v>
      </c>
    </row>
    <row r="267" spans="1:16">
      <c r="A267" s="112">
        <v>40909</v>
      </c>
      <c r="B267" s="113">
        <v>40909</v>
      </c>
      <c r="C267" s="114">
        <v>98.48</v>
      </c>
      <c r="D267" s="114">
        <v>99.7</v>
      </c>
      <c r="E267" s="115">
        <v>-1.2200000000000001E-2</v>
      </c>
      <c r="F267" s="116"/>
      <c r="G267" s="113">
        <v>40909</v>
      </c>
      <c r="H267" s="114">
        <v>19.440000000000001</v>
      </c>
      <c r="I267" s="118"/>
      <c r="J267" s="119">
        <v>40909</v>
      </c>
      <c r="K267" s="120">
        <v>79.63</v>
      </c>
      <c r="L267" s="120">
        <v>93.61</v>
      </c>
      <c r="M267" s="118"/>
      <c r="N267" s="121">
        <v>40909</v>
      </c>
      <c r="O267" s="95">
        <v>96.931799999999996</v>
      </c>
      <c r="P267" s="96">
        <v>6.0000000000000001E-3</v>
      </c>
    </row>
    <row r="268" spans="1:16">
      <c r="A268" s="112">
        <v>40940</v>
      </c>
      <c r="B268" s="113">
        <v>40940</v>
      </c>
      <c r="C268" s="114">
        <v>107.07</v>
      </c>
      <c r="D268" s="114">
        <v>98.38</v>
      </c>
      <c r="E268" s="115">
        <v>8.8300000000000003E-2</v>
      </c>
      <c r="F268" s="116"/>
      <c r="G268" s="113">
        <v>40940</v>
      </c>
      <c r="H268" s="114">
        <v>18.43</v>
      </c>
      <c r="I268" s="118"/>
      <c r="J268" s="119">
        <v>40940</v>
      </c>
      <c r="K268" s="120">
        <v>92.45</v>
      </c>
      <c r="L268" s="120">
        <v>104.21</v>
      </c>
      <c r="M268" s="118"/>
      <c r="N268" s="121">
        <v>40940</v>
      </c>
      <c r="O268" s="95">
        <v>97.243499999999997</v>
      </c>
      <c r="P268" s="96">
        <v>3.2000000000000002E-3</v>
      </c>
    </row>
    <row r="269" spans="1:16">
      <c r="A269" s="112">
        <v>40969</v>
      </c>
      <c r="B269" s="113">
        <v>40969</v>
      </c>
      <c r="C269" s="114">
        <v>103.02</v>
      </c>
      <c r="D269" s="114">
        <v>106.82</v>
      </c>
      <c r="E269" s="115">
        <v>-3.56E-2</v>
      </c>
      <c r="F269" s="116"/>
      <c r="G269" s="113">
        <v>40969</v>
      </c>
      <c r="H269" s="114">
        <v>15.5</v>
      </c>
      <c r="I269" s="118"/>
      <c r="J269" s="119">
        <v>40969</v>
      </c>
      <c r="K269" s="120">
        <v>88.76</v>
      </c>
      <c r="L269" s="120">
        <v>87.86</v>
      </c>
      <c r="M269" s="118"/>
      <c r="N269" s="121">
        <v>40969</v>
      </c>
      <c r="O269" s="95">
        <v>96.74</v>
      </c>
      <c r="P269" s="96">
        <v>-5.1999999999999998E-3</v>
      </c>
    </row>
    <row r="270" spans="1:16">
      <c r="A270" s="112">
        <v>41000</v>
      </c>
      <c r="B270" s="113">
        <v>41000</v>
      </c>
      <c r="C270" s="114">
        <v>104.87</v>
      </c>
      <c r="D270" s="114">
        <v>103.27</v>
      </c>
      <c r="E270" s="115">
        <v>1.55E-2</v>
      </c>
      <c r="F270" s="116"/>
      <c r="G270" s="113">
        <v>41000</v>
      </c>
      <c r="H270" s="114">
        <v>17.149999999999999</v>
      </c>
      <c r="I270" s="118"/>
      <c r="J270" s="119">
        <v>41000</v>
      </c>
      <c r="K270" s="120">
        <v>96.02</v>
      </c>
      <c r="L270" s="120">
        <v>101.92</v>
      </c>
      <c r="M270" s="118"/>
      <c r="N270" s="121">
        <v>41000</v>
      </c>
      <c r="O270" s="95">
        <v>97.435900000000004</v>
      </c>
      <c r="P270" s="96">
        <v>7.1999999999999998E-3</v>
      </c>
    </row>
    <row r="271" spans="1:16">
      <c r="A271" s="123">
        <v>41030</v>
      </c>
      <c r="B271" s="124">
        <v>41030</v>
      </c>
      <c r="C271" s="114">
        <v>86.53</v>
      </c>
      <c r="D271" s="114">
        <v>104.89</v>
      </c>
      <c r="E271" s="115">
        <v>-0.17499999999999999</v>
      </c>
      <c r="F271" s="116"/>
      <c r="G271" s="124">
        <v>41030</v>
      </c>
      <c r="H271" s="114">
        <v>24.06</v>
      </c>
      <c r="I271" s="118"/>
      <c r="J271" s="119">
        <v>41030</v>
      </c>
      <c r="K271" s="120">
        <v>78.17</v>
      </c>
      <c r="L271" s="120">
        <v>80.63</v>
      </c>
      <c r="M271" s="118"/>
      <c r="N271" s="121">
        <v>41030</v>
      </c>
      <c r="O271" s="95">
        <v>97.660899999999998</v>
      </c>
      <c r="P271" s="96">
        <v>2.3E-3</v>
      </c>
    </row>
    <row r="272" spans="1:16">
      <c r="A272" s="112">
        <v>41061</v>
      </c>
      <c r="B272" s="113">
        <v>41061</v>
      </c>
      <c r="C272" s="114">
        <v>84.96</v>
      </c>
      <c r="D272" s="114">
        <v>86.44</v>
      </c>
      <c r="E272" s="115">
        <v>-1.7100000000000001E-2</v>
      </c>
      <c r="F272" s="116"/>
      <c r="G272" s="113">
        <v>41061</v>
      </c>
      <c r="H272" s="114">
        <v>17.079999999999998</v>
      </c>
      <c r="I272" s="118"/>
      <c r="J272" s="119">
        <v>41061</v>
      </c>
      <c r="K272" s="120">
        <v>77.819999999999993</v>
      </c>
      <c r="L272" s="120">
        <v>70.23</v>
      </c>
      <c r="M272" s="118"/>
      <c r="N272" s="121">
        <v>41061</v>
      </c>
      <c r="O272" s="95">
        <v>97.666300000000007</v>
      </c>
      <c r="P272" s="96">
        <v>1E-4</v>
      </c>
    </row>
    <row r="273" spans="1:16">
      <c r="A273" s="112">
        <v>41091</v>
      </c>
      <c r="B273" s="113">
        <v>41091</v>
      </c>
      <c r="C273" s="114">
        <v>88.06</v>
      </c>
      <c r="D273" s="114">
        <v>84.65</v>
      </c>
      <c r="E273" s="115">
        <v>4.0300000000000002E-2</v>
      </c>
      <c r="F273" s="116"/>
      <c r="G273" s="113">
        <v>41091</v>
      </c>
      <c r="H273" s="114">
        <v>18.93</v>
      </c>
      <c r="I273" s="118"/>
      <c r="J273" s="119">
        <v>41091</v>
      </c>
      <c r="K273" s="120">
        <v>82.81</v>
      </c>
      <c r="L273" s="120">
        <v>79.34</v>
      </c>
      <c r="M273" s="118"/>
      <c r="N273" s="121">
        <v>41091</v>
      </c>
      <c r="O273" s="95">
        <v>97.871300000000005</v>
      </c>
      <c r="P273" s="96">
        <v>2.0999999999999999E-3</v>
      </c>
    </row>
    <row r="274" spans="1:16">
      <c r="A274" s="112">
        <v>41122</v>
      </c>
      <c r="B274" s="113">
        <v>41122</v>
      </c>
      <c r="C274" s="114">
        <v>96.47</v>
      </c>
      <c r="D274" s="114">
        <v>88.03</v>
      </c>
      <c r="E274" s="115">
        <v>9.5899999999999999E-2</v>
      </c>
      <c r="F274" s="116"/>
      <c r="G274" s="113">
        <v>41122</v>
      </c>
      <c r="H274" s="114">
        <v>17.47</v>
      </c>
      <c r="I274" s="118"/>
      <c r="J274" s="119">
        <v>41122</v>
      </c>
      <c r="K274" s="120">
        <v>74.88</v>
      </c>
      <c r="L274" s="120">
        <v>70.989999999999995</v>
      </c>
      <c r="M274" s="118"/>
      <c r="N274" s="121">
        <v>41122</v>
      </c>
      <c r="O274" s="95">
        <v>97.452500000000001</v>
      </c>
      <c r="P274" s="96">
        <v>-4.3E-3</v>
      </c>
    </row>
    <row r="275" spans="1:16">
      <c r="A275" s="112">
        <v>41153</v>
      </c>
      <c r="B275" s="113">
        <v>41153</v>
      </c>
      <c r="C275" s="114">
        <v>92.19</v>
      </c>
      <c r="D275" s="114">
        <v>96.38</v>
      </c>
      <c r="E275" s="115">
        <v>-4.3499999999999997E-2</v>
      </c>
      <c r="F275" s="116"/>
      <c r="G275" s="113">
        <v>41153</v>
      </c>
      <c r="H275" s="114">
        <v>15.73</v>
      </c>
      <c r="I275" s="118"/>
      <c r="J275" s="119">
        <v>41153</v>
      </c>
      <c r="K275" s="120">
        <v>69.28</v>
      </c>
      <c r="L275" s="120">
        <v>68.400000000000006</v>
      </c>
      <c r="M275" s="118"/>
      <c r="N275" s="121">
        <v>41153</v>
      </c>
      <c r="O275" s="95">
        <v>97.381</v>
      </c>
      <c r="P275" s="96">
        <v>-6.9999999999999999E-4</v>
      </c>
    </row>
    <row r="276" spans="1:16">
      <c r="A276" s="112">
        <v>41183</v>
      </c>
      <c r="B276" s="113">
        <v>41183</v>
      </c>
      <c r="C276" s="114">
        <v>86.24</v>
      </c>
      <c r="D276" s="114">
        <v>92.15</v>
      </c>
      <c r="E276" s="115">
        <v>-6.4100000000000004E-2</v>
      </c>
      <c r="F276" s="116"/>
      <c r="G276" s="113">
        <v>41183</v>
      </c>
      <c r="H276" s="114">
        <v>18.600000000000001</v>
      </c>
      <c r="I276" s="118"/>
      <c r="J276" s="119">
        <v>41183</v>
      </c>
      <c r="K276" s="120">
        <v>81.66</v>
      </c>
      <c r="L276" s="120">
        <v>74.209999999999994</v>
      </c>
      <c r="M276" s="118"/>
      <c r="N276" s="121">
        <v>41183</v>
      </c>
      <c r="O276" s="95">
        <v>97.719300000000004</v>
      </c>
      <c r="P276" s="96">
        <v>3.5000000000000001E-3</v>
      </c>
    </row>
    <row r="277" spans="1:16">
      <c r="A277" s="112">
        <v>41214</v>
      </c>
      <c r="B277" s="113">
        <v>41214</v>
      </c>
      <c r="C277" s="114">
        <v>88.91</v>
      </c>
      <c r="D277" s="114">
        <v>86.1</v>
      </c>
      <c r="E277" s="115">
        <v>3.2599999999999997E-2</v>
      </c>
      <c r="F277" s="116"/>
      <c r="G277" s="113">
        <v>41214</v>
      </c>
      <c r="H277" s="114">
        <v>15.87</v>
      </c>
      <c r="I277" s="118"/>
      <c r="J277" s="119">
        <v>41214</v>
      </c>
      <c r="K277" s="120">
        <v>81.39</v>
      </c>
      <c r="L277" s="120">
        <v>75.66</v>
      </c>
      <c r="M277" s="118"/>
      <c r="N277" s="121">
        <v>41214</v>
      </c>
      <c r="O277" s="95">
        <v>98.077699999999993</v>
      </c>
      <c r="P277" s="96">
        <v>3.7000000000000002E-3</v>
      </c>
    </row>
    <row r="278" spans="1:16">
      <c r="A278" s="112">
        <v>41244</v>
      </c>
      <c r="B278" s="113">
        <v>41244</v>
      </c>
      <c r="C278" s="114">
        <v>91.82</v>
      </c>
      <c r="D278" s="114">
        <v>88.85</v>
      </c>
      <c r="E278" s="115">
        <v>3.3399999999999999E-2</v>
      </c>
      <c r="F278" s="116"/>
      <c r="G278" s="113">
        <v>41244</v>
      </c>
      <c r="H278" s="114">
        <v>18.02</v>
      </c>
      <c r="I278" s="118"/>
      <c r="J278" s="119">
        <v>41244</v>
      </c>
      <c r="K278" s="120">
        <v>74.83</v>
      </c>
      <c r="L278" s="120">
        <v>66.239999999999995</v>
      </c>
      <c r="M278" s="118"/>
      <c r="N278" s="121">
        <v>41244</v>
      </c>
      <c r="O278" s="95">
        <v>98.310100000000006</v>
      </c>
      <c r="P278" s="96">
        <v>2.3999999999999998E-3</v>
      </c>
    </row>
    <row r="279" spans="1:16">
      <c r="A279" s="112">
        <v>41275</v>
      </c>
      <c r="B279" s="113">
        <v>41275</v>
      </c>
      <c r="C279" s="114">
        <v>97.49</v>
      </c>
      <c r="D279" s="114">
        <v>91.78</v>
      </c>
      <c r="E279" s="115">
        <v>6.2199999999999998E-2</v>
      </c>
      <c r="F279" s="116"/>
      <c r="G279" s="113">
        <v>41275</v>
      </c>
      <c r="H279" s="114">
        <v>14.28</v>
      </c>
      <c r="I279" s="118"/>
      <c r="J279" s="119">
        <v>41275</v>
      </c>
      <c r="K279" s="120">
        <v>90.66</v>
      </c>
      <c r="L279" s="120">
        <v>84.14</v>
      </c>
      <c r="M279" s="118"/>
      <c r="N279" s="121">
        <v>41275</v>
      </c>
      <c r="O279" s="95">
        <v>98.334199999999996</v>
      </c>
      <c r="P279" s="96">
        <v>2.0000000000000001E-4</v>
      </c>
    </row>
    <row r="280" spans="1:16">
      <c r="A280" s="112">
        <v>41306</v>
      </c>
      <c r="B280" s="113">
        <v>41306</v>
      </c>
      <c r="C280" s="114">
        <v>92.05</v>
      </c>
      <c r="D280" s="114">
        <v>97.42</v>
      </c>
      <c r="E280" s="115">
        <v>-5.5100000000000003E-2</v>
      </c>
      <c r="F280" s="116"/>
      <c r="G280" s="113">
        <v>41306</v>
      </c>
      <c r="H280" s="114">
        <v>15.51</v>
      </c>
      <c r="I280" s="118"/>
      <c r="J280" s="119">
        <v>41306</v>
      </c>
      <c r="K280" s="120">
        <v>81.59</v>
      </c>
      <c r="L280" s="120">
        <v>77.61</v>
      </c>
      <c r="M280" s="118"/>
      <c r="N280" s="121">
        <v>41306</v>
      </c>
      <c r="O280" s="95">
        <v>98.7941</v>
      </c>
      <c r="P280" s="96">
        <v>4.7000000000000002E-3</v>
      </c>
    </row>
    <row r="281" spans="1:16">
      <c r="A281" s="112">
        <v>41334</v>
      </c>
      <c r="B281" s="113">
        <v>41334</v>
      </c>
      <c r="C281" s="114">
        <v>97.23</v>
      </c>
      <c r="D281" s="114">
        <v>91.76</v>
      </c>
      <c r="E281" s="115">
        <v>5.96E-2</v>
      </c>
      <c r="F281" s="116"/>
      <c r="G281" s="113">
        <v>41334</v>
      </c>
      <c r="H281" s="114">
        <v>12.7</v>
      </c>
      <c r="I281" s="118"/>
      <c r="J281" s="119">
        <v>41334</v>
      </c>
      <c r="K281" s="120">
        <v>75.900000000000006</v>
      </c>
      <c r="L281" s="120">
        <v>81.89</v>
      </c>
      <c r="M281" s="118"/>
      <c r="N281" s="121">
        <v>41334</v>
      </c>
      <c r="O281" s="95">
        <v>99.192099999999996</v>
      </c>
      <c r="P281" s="96">
        <v>4.0000000000000001E-3</v>
      </c>
    </row>
    <row r="282" spans="1:16">
      <c r="A282" s="112">
        <v>41365</v>
      </c>
      <c r="B282" s="113">
        <v>41365</v>
      </c>
      <c r="C282" s="114">
        <v>93.46</v>
      </c>
      <c r="D282" s="114">
        <v>97.36</v>
      </c>
      <c r="E282" s="115">
        <v>-4.0099999999999997E-2</v>
      </c>
      <c r="F282" s="116"/>
      <c r="G282" s="113">
        <v>41365</v>
      </c>
      <c r="H282" s="114">
        <v>13.52</v>
      </c>
      <c r="I282" s="118"/>
      <c r="J282" s="119">
        <v>41365</v>
      </c>
      <c r="K282" s="120">
        <v>95.11</v>
      </c>
      <c r="L282" s="120">
        <v>99.52</v>
      </c>
      <c r="M282" s="118"/>
      <c r="N282" s="121">
        <v>41365</v>
      </c>
      <c r="O282" s="95">
        <v>99.106499999999997</v>
      </c>
      <c r="P282" s="96">
        <v>-8.9999999999999998E-4</v>
      </c>
    </row>
    <row r="283" spans="1:16">
      <c r="A283" s="123">
        <v>41395</v>
      </c>
      <c r="B283" s="124">
        <v>41395</v>
      </c>
      <c r="C283" s="114">
        <v>91.97</v>
      </c>
      <c r="D283" s="114">
        <v>93.08</v>
      </c>
      <c r="E283" s="115">
        <v>-1.1900000000000001E-2</v>
      </c>
      <c r="F283" s="116"/>
      <c r="G283" s="124">
        <v>41395</v>
      </c>
      <c r="H283" s="114">
        <v>16.3</v>
      </c>
      <c r="I283" s="118"/>
      <c r="J283" s="119">
        <v>41395</v>
      </c>
      <c r="K283" s="120">
        <v>83.72</v>
      </c>
      <c r="L283" s="120">
        <v>75.33</v>
      </c>
      <c r="M283" s="118"/>
      <c r="N283" s="121">
        <v>41395</v>
      </c>
      <c r="O283" s="95">
        <v>99.183899999999994</v>
      </c>
      <c r="P283" s="96">
        <v>8.0000000000000004E-4</v>
      </c>
    </row>
    <row r="284" spans="1:16">
      <c r="A284" s="112">
        <v>41426</v>
      </c>
      <c r="B284" s="113">
        <v>41426</v>
      </c>
      <c r="C284" s="114">
        <v>96.56</v>
      </c>
      <c r="D284" s="114">
        <v>91.73</v>
      </c>
      <c r="E284" s="115">
        <v>5.2699999999999997E-2</v>
      </c>
      <c r="F284" s="116"/>
      <c r="G284" s="113">
        <v>41426</v>
      </c>
      <c r="H284" s="114">
        <v>16.86</v>
      </c>
      <c r="I284" s="118"/>
      <c r="J284" s="119">
        <v>41426</v>
      </c>
      <c r="K284" s="120">
        <v>82.97</v>
      </c>
      <c r="L284" s="120">
        <v>78.819999999999993</v>
      </c>
      <c r="M284" s="118"/>
      <c r="N284" s="121">
        <v>41426</v>
      </c>
      <c r="O284" s="95">
        <v>99.389700000000005</v>
      </c>
      <c r="P284" s="96">
        <v>2.0999999999999999E-3</v>
      </c>
    </row>
    <row r="285" spans="1:16">
      <c r="A285" s="112">
        <v>41456</v>
      </c>
      <c r="B285" s="113">
        <v>41456</v>
      </c>
      <c r="C285" s="114">
        <v>105.03</v>
      </c>
      <c r="D285" s="114">
        <v>96.58</v>
      </c>
      <c r="E285" s="115">
        <v>8.7499999999999994E-2</v>
      </c>
      <c r="F285" s="116"/>
      <c r="G285" s="113">
        <v>41456</v>
      </c>
      <c r="H285" s="114">
        <v>13.45</v>
      </c>
      <c r="I285" s="118"/>
      <c r="J285" s="119">
        <v>41456</v>
      </c>
      <c r="K285" s="120">
        <v>73.98</v>
      </c>
      <c r="L285" s="120">
        <v>71.56</v>
      </c>
      <c r="M285" s="118"/>
      <c r="N285" s="121">
        <v>41456</v>
      </c>
      <c r="O285" s="95">
        <v>99.081400000000002</v>
      </c>
      <c r="P285" s="96">
        <v>-3.0999999999999999E-3</v>
      </c>
    </row>
    <row r="286" spans="1:16">
      <c r="A286" s="112">
        <v>41487</v>
      </c>
      <c r="B286" s="113">
        <v>41487</v>
      </c>
      <c r="C286" s="114">
        <v>107.65</v>
      </c>
      <c r="D286" s="114">
        <v>105.26</v>
      </c>
      <c r="E286" s="115">
        <v>2.2700000000000001E-2</v>
      </c>
      <c r="F286" s="116"/>
      <c r="G286" s="113">
        <v>41487</v>
      </c>
      <c r="H286" s="114">
        <v>17.010000000000002</v>
      </c>
      <c r="I286" s="118"/>
      <c r="J286" s="119">
        <v>41487</v>
      </c>
      <c r="K286" s="120">
        <v>90.96</v>
      </c>
      <c r="L286" s="120">
        <v>80.739999999999995</v>
      </c>
      <c r="M286" s="118"/>
      <c r="N286" s="121">
        <v>41487</v>
      </c>
      <c r="O286" s="95">
        <v>99.654300000000006</v>
      </c>
      <c r="P286" s="96">
        <v>5.7999999999999996E-3</v>
      </c>
    </row>
    <row r="287" spans="1:16">
      <c r="A287" s="112">
        <v>41518</v>
      </c>
      <c r="B287" s="113">
        <v>41518</v>
      </c>
      <c r="C287" s="114">
        <v>102.33</v>
      </c>
      <c r="D287" s="114">
        <v>107.07</v>
      </c>
      <c r="E287" s="115">
        <v>-4.4299999999999999E-2</v>
      </c>
      <c r="F287" s="116"/>
      <c r="G287" s="113">
        <v>41518</v>
      </c>
      <c r="H287" s="114">
        <v>16.600000000000001</v>
      </c>
      <c r="I287" s="118"/>
      <c r="J287" s="119">
        <v>41518</v>
      </c>
      <c r="K287" s="120">
        <v>100.46</v>
      </c>
      <c r="L287" s="120">
        <v>100.38</v>
      </c>
      <c r="M287" s="118"/>
      <c r="N287" s="121">
        <v>41518</v>
      </c>
      <c r="O287" s="95">
        <v>100.161</v>
      </c>
      <c r="P287" s="96">
        <v>5.1000000000000004E-3</v>
      </c>
    </row>
    <row r="288" spans="1:16">
      <c r="A288" s="112">
        <v>41548</v>
      </c>
      <c r="B288" s="113">
        <v>41548</v>
      </c>
      <c r="C288" s="114">
        <v>96.38</v>
      </c>
      <c r="D288" s="114">
        <v>102.31</v>
      </c>
      <c r="E288" s="115">
        <v>-5.8000000000000003E-2</v>
      </c>
      <c r="F288" s="116"/>
      <c r="G288" s="113">
        <v>41548</v>
      </c>
      <c r="H288" s="114">
        <v>13.75</v>
      </c>
      <c r="I288" s="118"/>
      <c r="J288" s="119">
        <v>41548</v>
      </c>
      <c r="K288" s="120">
        <v>72.95</v>
      </c>
      <c r="L288" s="120">
        <v>65.5</v>
      </c>
      <c r="M288" s="118"/>
      <c r="N288" s="121">
        <v>41548</v>
      </c>
      <c r="O288" s="95">
        <v>100.08199999999999</v>
      </c>
      <c r="P288" s="96">
        <v>-8.0000000000000004E-4</v>
      </c>
    </row>
    <row r="289" spans="1:16">
      <c r="A289" s="112">
        <v>41579</v>
      </c>
      <c r="B289" s="113">
        <v>41579</v>
      </c>
      <c r="C289" s="114">
        <v>92.72</v>
      </c>
      <c r="D289" s="114">
        <v>96.32</v>
      </c>
      <c r="E289" s="115">
        <v>-3.7400000000000003E-2</v>
      </c>
      <c r="F289" s="116"/>
      <c r="G289" s="113">
        <v>41579</v>
      </c>
      <c r="H289" s="114">
        <v>13.7</v>
      </c>
      <c r="I289" s="118"/>
      <c r="J289" s="119">
        <v>41579</v>
      </c>
      <c r="K289" s="120">
        <v>77.78</v>
      </c>
      <c r="L289" s="120">
        <v>92.5</v>
      </c>
      <c r="M289" s="118"/>
      <c r="N289" s="121">
        <v>41579</v>
      </c>
      <c r="O289" s="95">
        <v>100.3158</v>
      </c>
      <c r="P289" s="96">
        <v>2.3E-3</v>
      </c>
    </row>
    <row r="290" spans="1:16">
      <c r="A290" s="112">
        <v>41609</v>
      </c>
      <c r="B290" s="113">
        <v>41609</v>
      </c>
      <c r="C290" s="114">
        <v>98.42</v>
      </c>
      <c r="D290" s="114">
        <v>92.71</v>
      </c>
      <c r="E290" s="115">
        <v>6.1600000000000002E-2</v>
      </c>
      <c r="F290" s="116"/>
      <c r="G290" s="113">
        <v>41609</v>
      </c>
      <c r="H290" s="114">
        <v>13.72</v>
      </c>
      <c r="I290" s="118"/>
      <c r="J290" s="119">
        <v>41609</v>
      </c>
      <c r="K290" s="120">
        <v>70.37</v>
      </c>
      <c r="L290" s="120">
        <v>70.09</v>
      </c>
      <c r="M290" s="118"/>
      <c r="N290" s="121">
        <v>41609</v>
      </c>
      <c r="O290" s="95">
        <v>100.5175</v>
      </c>
      <c r="P290" s="96">
        <v>2E-3</v>
      </c>
    </row>
    <row r="291" spans="1:16">
      <c r="A291" s="112">
        <v>41640</v>
      </c>
      <c r="B291" s="113">
        <v>41640</v>
      </c>
      <c r="C291" s="114">
        <v>97.49</v>
      </c>
      <c r="D291" s="114">
        <v>98.5</v>
      </c>
      <c r="E291" s="115">
        <v>-1.03E-2</v>
      </c>
      <c r="F291" s="116"/>
      <c r="G291" s="113">
        <v>41640</v>
      </c>
      <c r="H291" s="114">
        <v>18.41</v>
      </c>
      <c r="I291" s="118"/>
      <c r="J291" s="119">
        <v>41640</v>
      </c>
      <c r="K291" s="120">
        <v>77.92</v>
      </c>
      <c r="L291" s="120">
        <v>70.48</v>
      </c>
      <c r="M291" s="118"/>
      <c r="N291" s="121">
        <v>41640</v>
      </c>
      <c r="O291" s="95">
        <v>100.15989999999999</v>
      </c>
      <c r="P291" s="96">
        <v>-3.5999999999999999E-3</v>
      </c>
    </row>
    <row r="292" spans="1:16">
      <c r="A292" s="112">
        <v>41671</v>
      </c>
      <c r="B292" s="113">
        <v>41671</v>
      </c>
      <c r="C292" s="114">
        <v>102.59</v>
      </c>
      <c r="D292" s="114">
        <v>97.4</v>
      </c>
      <c r="E292" s="115">
        <v>5.33E-2</v>
      </c>
      <c r="F292" s="116"/>
      <c r="G292" s="113">
        <v>41671</v>
      </c>
      <c r="H292" s="114">
        <v>14</v>
      </c>
      <c r="I292" s="118"/>
      <c r="J292" s="119">
        <v>41671</v>
      </c>
      <c r="K292" s="120">
        <v>69</v>
      </c>
      <c r="L292" s="120">
        <v>73.28</v>
      </c>
      <c r="M292" s="118"/>
      <c r="N292" s="121">
        <v>41671</v>
      </c>
      <c r="O292" s="95">
        <v>100.91679999999999</v>
      </c>
      <c r="P292" s="96">
        <v>7.6E-3</v>
      </c>
    </row>
    <row r="293" spans="1:16">
      <c r="A293" s="112">
        <v>41699</v>
      </c>
      <c r="B293" s="113">
        <v>41699</v>
      </c>
      <c r="C293" s="114">
        <v>101.58</v>
      </c>
      <c r="D293" s="114">
        <v>103</v>
      </c>
      <c r="E293" s="115">
        <v>-1.38E-2</v>
      </c>
      <c r="F293" s="116"/>
      <c r="G293" s="113">
        <v>41699</v>
      </c>
      <c r="H293" s="114">
        <v>13.88</v>
      </c>
      <c r="I293" s="118"/>
      <c r="J293" s="119">
        <v>41699</v>
      </c>
      <c r="K293" s="120">
        <v>119.84</v>
      </c>
      <c r="L293" s="120">
        <v>151.66999999999999</v>
      </c>
      <c r="M293" s="118"/>
      <c r="N293" s="121">
        <v>41699</v>
      </c>
      <c r="O293" s="95">
        <v>101.8942</v>
      </c>
      <c r="P293" s="96">
        <v>9.7000000000000003E-3</v>
      </c>
    </row>
    <row r="294" spans="1:16">
      <c r="A294" s="112">
        <v>41730</v>
      </c>
      <c r="B294" s="113">
        <v>41730</v>
      </c>
      <c r="C294" s="114">
        <v>99.74</v>
      </c>
      <c r="D294" s="114">
        <v>101.53</v>
      </c>
      <c r="E294" s="115">
        <v>-1.7600000000000001E-2</v>
      </c>
      <c r="F294" s="116"/>
      <c r="G294" s="113">
        <v>41730</v>
      </c>
      <c r="H294" s="114">
        <v>13.41</v>
      </c>
      <c r="I294" s="118"/>
      <c r="J294" s="119">
        <v>41730</v>
      </c>
      <c r="K294" s="120">
        <v>93.22</v>
      </c>
      <c r="L294" s="120">
        <v>113.14</v>
      </c>
      <c r="M294" s="118"/>
      <c r="N294" s="121">
        <v>41730</v>
      </c>
      <c r="O294" s="95">
        <v>101.9928</v>
      </c>
      <c r="P294" s="96">
        <v>1E-3</v>
      </c>
    </row>
    <row r="295" spans="1:16">
      <c r="A295" s="123">
        <v>41760</v>
      </c>
      <c r="B295" s="124">
        <v>41760</v>
      </c>
      <c r="C295" s="114">
        <v>102.71</v>
      </c>
      <c r="D295" s="114">
        <v>99.72</v>
      </c>
      <c r="E295" s="115">
        <v>0.03</v>
      </c>
      <c r="F295" s="116"/>
      <c r="G295" s="124">
        <v>41760</v>
      </c>
      <c r="H295" s="114">
        <v>11.4</v>
      </c>
      <c r="I295" s="118"/>
      <c r="J295" s="119">
        <v>41760</v>
      </c>
      <c r="K295" s="120">
        <v>83.43</v>
      </c>
      <c r="L295" s="120">
        <v>91.7</v>
      </c>
      <c r="M295" s="118"/>
      <c r="N295" s="121">
        <v>41760</v>
      </c>
      <c r="O295" s="95">
        <v>102.3836</v>
      </c>
      <c r="P295" s="96">
        <v>3.8E-3</v>
      </c>
    </row>
    <row r="296" spans="1:16">
      <c r="A296" s="112">
        <v>41791</v>
      </c>
      <c r="B296" s="113">
        <v>41791</v>
      </c>
      <c r="C296" s="114">
        <v>105.37</v>
      </c>
      <c r="D296" s="114">
        <v>102.92</v>
      </c>
      <c r="E296" s="115">
        <v>2.3800000000000002E-2</v>
      </c>
      <c r="F296" s="116"/>
      <c r="G296" s="113">
        <v>41791</v>
      </c>
      <c r="H296" s="114">
        <v>11.57</v>
      </c>
      <c r="I296" s="118"/>
      <c r="J296" s="119">
        <v>41791</v>
      </c>
      <c r="K296" s="120">
        <v>98.77</v>
      </c>
      <c r="L296" s="120">
        <v>95.32</v>
      </c>
      <c r="M296" s="118"/>
      <c r="N296" s="121">
        <v>41791</v>
      </c>
      <c r="O296" s="95">
        <v>102.735</v>
      </c>
      <c r="P296" s="96">
        <v>3.3999999999999998E-3</v>
      </c>
    </row>
    <row r="297" spans="1:16">
      <c r="A297" s="112">
        <v>41821</v>
      </c>
      <c r="B297" s="113">
        <v>41821</v>
      </c>
      <c r="C297" s="114">
        <v>98.17</v>
      </c>
      <c r="D297" s="114">
        <v>105.44</v>
      </c>
      <c r="E297" s="115">
        <v>-6.8900000000000003E-2</v>
      </c>
      <c r="F297" s="116"/>
      <c r="G297" s="113">
        <v>41821</v>
      </c>
      <c r="H297" s="114">
        <v>16.95</v>
      </c>
      <c r="I297" s="118"/>
      <c r="J297" s="119">
        <v>41821</v>
      </c>
      <c r="K297" s="120">
        <v>138.75</v>
      </c>
      <c r="L297" s="120">
        <v>162.72</v>
      </c>
      <c r="M297" s="118"/>
      <c r="N297" s="121">
        <v>41821</v>
      </c>
      <c r="O297" s="95">
        <v>102.9632</v>
      </c>
      <c r="P297" s="96">
        <v>2.2000000000000001E-3</v>
      </c>
    </row>
    <row r="298" spans="1:16">
      <c r="A298" s="112">
        <v>41852</v>
      </c>
      <c r="B298" s="113">
        <v>41852</v>
      </c>
      <c r="C298" s="114">
        <v>95.96</v>
      </c>
      <c r="D298" s="114">
        <v>97.7</v>
      </c>
      <c r="E298" s="115">
        <v>-1.78E-2</v>
      </c>
      <c r="F298" s="116"/>
      <c r="G298" s="113">
        <v>41852</v>
      </c>
      <c r="H298" s="114">
        <v>11.98</v>
      </c>
      <c r="I298" s="118"/>
      <c r="J298" s="119">
        <v>41852</v>
      </c>
      <c r="K298" s="120">
        <v>136.44999999999999</v>
      </c>
      <c r="L298" s="120">
        <v>158.59</v>
      </c>
      <c r="M298" s="118"/>
      <c r="N298" s="121">
        <v>41852</v>
      </c>
      <c r="O298" s="95">
        <v>102.7688</v>
      </c>
      <c r="P298" s="96">
        <v>-1.9E-3</v>
      </c>
    </row>
    <row r="299" spans="1:16">
      <c r="A299" s="112">
        <v>41883</v>
      </c>
      <c r="B299" s="113">
        <v>41883</v>
      </c>
      <c r="C299" s="114">
        <v>91.16</v>
      </c>
      <c r="D299" s="114">
        <v>95.81</v>
      </c>
      <c r="E299" s="115">
        <v>-4.8500000000000001E-2</v>
      </c>
      <c r="F299" s="116"/>
      <c r="G299" s="113">
        <v>41883</v>
      </c>
      <c r="H299" s="114">
        <v>16.309999999999999</v>
      </c>
      <c r="I299" s="118"/>
      <c r="J299" s="119">
        <v>41883</v>
      </c>
      <c r="K299" s="120">
        <v>131.56</v>
      </c>
      <c r="L299" s="120">
        <v>143.4</v>
      </c>
      <c r="M299" s="118"/>
      <c r="N299" s="121">
        <v>41883</v>
      </c>
      <c r="O299" s="95">
        <v>103.0641</v>
      </c>
      <c r="P299" s="96">
        <v>2.8999999999999998E-3</v>
      </c>
    </row>
    <row r="300" spans="1:16">
      <c r="A300" s="112">
        <v>41913</v>
      </c>
      <c r="B300" s="113">
        <v>41913</v>
      </c>
      <c r="C300" s="114">
        <v>80.540000000000006</v>
      </c>
      <c r="D300" s="114">
        <v>91.36</v>
      </c>
      <c r="E300" s="115">
        <v>-0.11840000000000001</v>
      </c>
      <c r="F300" s="116"/>
      <c r="G300" s="113">
        <v>41913</v>
      </c>
      <c r="H300" s="114">
        <v>14.03</v>
      </c>
      <c r="I300" s="118"/>
      <c r="J300" s="119">
        <v>41913</v>
      </c>
      <c r="K300" s="120">
        <v>83.66</v>
      </c>
      <c r="L300" s="120">
        <v>86.33</v>
      </c>
      <c r="M300" s="118"/>
      <c r="N300" s="121">
        <v>41913</v>
      </c>
      <c r="O300" s="95">
        <v>103.07640000000001</v>
      </c>
      <c r="P300" s="96">
        <v>1E-4</v>
      </c>
    </row>
    <row r="301" spans="1:16">
      <c r="A301" s="112">
        <v>41944</v>
      </c>
      <c r="B301" s="113">
        <v>41944</v>
      </c>
      <c r="C301" s="114">
        <v>66.150000000000006</v>
      </c>
      <c r="D301" s="114">
        <v>80.59</v>
      </c>
      <c r="E301" s="115">
        <v>-0.1792</v>
      </c>
      <c r="F301" s="116"/>
      <c r="G301" s="113">
        <v>41944</v>
      </c>
      <c r="H301" s="114">
        <v>13.33</v>
      </c>
      <c r="I301" s="118"/>
      <c r="J301" s="119">
        <v>41944</v>
      </c>
      <c r="K301" s="120">
        <v>84.38</v>
      </c>
      <c r="L301" s="120">
        <v>88.47</v>
      </c>
      <c r="M301" s="118"/>
      <c r="N301" s="121">
        <v>41944</v>
      </c>
      <c r="O301" s="95">
        <v>103.71259999999999</v>
      </c>
      <c r="P301" s="96">
        <v>6.1999999999999998E-3</v>
      </c>
    </row>
    <row r="302" spans="1:16">
      <c r="A302" s="112">
        <v>41974</v>
      </c>
      <c r="B302" s="113">
        <v>41974</v>
      </c>
      <c r="C302" s="114">
        <v>53.27</v>
      </c>
      <c r="D302" s="114">
        <v>66</v>
      </c>
      <c r="E302" s="115">
        <v>-0.19289999999999999</v>
      </c>
      <c r="F302" s="116"/>
      <c r="G302" s="113">
        <v>41974</v>
      </c>
      <c r="H302" s="114">
        <v>19.2</v>
      </c>
      <c r="I302" s="118"/>
      <c r="J302" s="119">
        <v>41974</v>
      </c>
      <c r="K302" s="120">
        <v>86.53</v>
      </c>
      <c r="L302" s="120">
        <v>81.27</v>
      </c>
      <c r="M302" s="118"/>
      <c r="N302" s="121">
        <v>41974</v>
      </c>
      <c r="O302" s="95">
        <v>103.70440000000001</v>
      </c>
      <c r="P302" s="96">
        <v>-1E-4</v>
      </c>
    </row>
    <row r="303" spans="1:16">
      <c r="A303" s="112">
        <v>42005</v>
      </c>
      <c r="B303" s="113">
        <v>42005</v>
      </c>
      <c r="C303" s="114">
        <v>48.24</v>
      </c>
      <c r="D303" s="114">
        <v>53.76</v>
      </c>
      <c r="E303" s="115">
        <v>-0.1027</v>
      </c>
      <c r="F303" s="116"/>
      <c r="G303" s="113">
        <v>42005</v>
      </c>
      <c r="H303" s="114">
        <v>20.97</v>
      </c>
      <c r="I303" s="118"/>
      <c r="J303" s="119">
        <v>42005</v>
      </c>
      <c r="K303" s="120">
        <v>111.99</v>
      </c>
      <c r="L303" s="120">
        <v>83.5</v>
      </c>
      <c r="M303" s="118"/>
      <c r="N303" s="121">
        <v>42005</v>
      </c>
      <c r="O303" s="95">
        <v>102.8905</v>
      </c>
      <c r="P303" s="96">
        <v>-7.7999999999999996E-3</v>
      </c>
    </row>
    <row r="304" spans="1:16">
      <c r="A304" s="112">
        <v>42036</v>
      </c>
      <c r="B304" s="113">
        <v>42036</v>
      </c>
      <c r="C304" s="114">
        <v>49.76</v>
      </c>
      <c r="D304" s="114">
        <v>47.59</v>
      </c>
      <c r="E304" s="115">
        <v>4.5600000000000002E-2</v>
      </c>
      <c r="F304" s="116"/>
      <c r="G304" s="113">
        <v>42036</v>
      </c>
      <c r="H304" s="114">
        <v>13.34</v>
      </c>
      <c r="I304" s="118"/>
      <c r="J304" s="119">
        <v>42036</v>
      </c>
      <c r="K304" s="120">
        <v>111.92</v>
      </c>
      <c r="L304" s="120">
        <v>118.23</v>
      </c>
      <c r="M304" s="118"/>
      <c r="N304" s="121">
        <v>42036</v>
      </c>
      <c r="O304" s="95">
        <v>102.23350000000001</v>
      </c>
      <c r="P304" s="96">
        <v>-6.4000000000000003E-3</v>
      </c>
    </row>
    <row r="305" spans="1:16">
      <c r="A305" s="112">
        <v>42064</v>
      </c>
      <c r="B305" s="113">
        <v>42064</v>
      </c>
      <c r="C305" s="114">
        <v>47.6</v>
      </c>
      <c r="D305" s="114">
        <v>49.45</v>
      </c>
      <c r="E305" s="115">
        <v>-3.7400000000000003E-2</v>
      </c>
      <c r="F305" s="116"/>
      <c r="G305" s="113">
        <v>42064</v>
      </c>
      <c r="H305" s="114">
        <v>15.29</v>
      </c>
      <c r="I305" s="118"/>
      <c r="J305" s="119">
        <v>42064</v>
      </c>
      <c r="K305" s="120">
        <v>104.24</v>
      </c>
      <c r="L305" s="120">
        <v>117.49</v>
      </c>
      <c r="M305" s="118"/>
      <c r="N305" s="121">
        <v>42064</v>
      </c>
      <c r="O305" s="95">
        <v>101.8914</v>
      </c>
      <c r="P305" s="96">
        <v>-3.3E-3</v>
      </c>
    </row>
    <row r="306" spans="1:16">
      <c r="A306" s="112">
        <v>42095</v>
      </c>
      <c r="B306" s="113">
        <v>42095</v>
      </c>
      <c r="C306" s="114">
        <v>59.63</v>
      </c>
      <c r="D306" s="114">
        <v>47.55</v>
      </c>
      <c r="E306" s="115">
        <v>0.254</v>
      </c>
      <c r="F306" s="116"/>
      <c r="G306" s="113">
        <v>42095</v>
      </c>
      <c r="H306" s="114">
        <v>14.55</v>
      </c>
      <c r="I306" s="118"/>
      <c r="J306" s="119">
        <v>42095</v>
      </c>
      <c r="K306" s="120">
        <v>102.19</v>
      </c>
      <c r="L306" s="120">
        <v>110.19</v>
      </c>
      <c r="M306" s="118"/>
      <c r="N306" s="121">
        <v>42095</v>
      </c>
      <c r="O306" s="95">
        <v>101.3355</v>
      </c>
      <c r="P306" s="96">
        <v>-5.4999999999999997E-3</v>
      </c>
    </row>
    <row r="307" spans="1:16">
      <c r="A307" s="123">
        <v>42125</v>
      </c>
      <c r="B307" s="124">
        <v>42125</v>
      </c>
      <c r="C307" s="114">
        <v>60.3</v>
      </c>
      <c r="D307" s="114">
        <v>59.79</v>
      </c>
      <c r="E307" s="115">
        <v>8.5000000000000006E-3</v>
      </c>
      <c r="F307" s="116"/>
      <c r="G307" s="124">
        <v>42125</v>
      </c>
      <c r="H307" s="114">
        <v>13.84</v>
      </c>
      <c r="I307" s="118"/>
      <c r="J307" s="119">
        <v>42125</v>
      </c>
      <c r="K307" s="120">
        <v>76.260000000000005</v>
      </c>
      <c r="L307" s="120">
        <v>77.67</v>
      </c>
      <c r="M307" s="118"/>
      <c r="N307" s="121">
        <v>42125</v>
      </c>
      <c r="O307" s="95">
        <v>100.8883</v>
      </c>
      <c r="P307" s="96">
        <v>-4.4000000000000003E-3</v>
      </c>
    </row>
    <row r="308" spans="1:16">
      <c r="A308" s="112">
        <v>42156</v>
      </c>
      <c r="B308" s="113">
        <v>42156</v>
      </c>
      <c r="C308" s="114">
        <v>59.47</v>
      </c>
      <c r="D308" s="114">
        <v>60.29</v>
      </c>
      <c r="E308" s="115">
        <v>-1.3599999999999999E-2</v>
      </c>
      <c r="F308" s="116"/>
      <c r="G308" s="113">
        <v>42156</v>
      </c>
      <c r="H308" s="114">
        <v>18.23</v>
      </c>
      <c r="I308" s="118"/>
      <c r="J308" s="119">
        <v>42156</v>
      </c>
      <c r="K308" s="120">
        <v>85.91</v>
      </c>
      <c r="L308" s="120">
        <v>81.069999999999993</v>
      </c>
      <c r="M308" s="118"/>
      <c r="N308" s="121">
        <v>42156</v>
      </c>
      <c r="O308" s="95">
        <v>100.571</v>
      </c>
      <c r="P308" s="96">
        <v>-3.0999999999999999E-3</v>
      </c>
    </row>
    <row r="309" spans="1:16">
      <c r="A309" s="112">
        <v>42186</v>
      </c>
      <c r="B309" s="113">
        <v>42186</v>
      </c>
      <c r="C309" s="114">
        <v>47.12</v>
      </c>
      <c r="D309" s="114">
        <v>58.98</v>
      </c>
      <c r="E309" s="115">
        <v>-0.2011</v>
      </c>
      <c r="F309" s="116"/>
      <c r="G309" s="113">
        <v>42186</v>
      </c>
      <c r="H309" s="114">
        <v>12.12</v>
      </c>
      <c r="I309" s="118"/>
      <c r="J309" s="119">
        <v>42186</v>
      </c>
      <c r="K309" s="120">
        <v>106.81</v>
      </c>
      <c r="L309" s="120">
        <v>120.84</v>
      </c>
      <c r="M309" s="118"/>
      <c r="N309" s="121">
        <v>42186</v>
      </c>
      <c r="O309" s="95">
        <v>101.22280000000001</v>
      </c>
      <c r="P309" s="96">
        <v>6.4999999999999997E-3</v>
      </c>
    </row>
    <row r="310" spans="1:16">
      <c r="A310" s="112">
        <v>42217</v>
      </c>
      <c r="B310" s="113">
        <v>42217</v>
      </c>
      <c r="C310" s="114">
        <v>49.2</v>
      </c>
      <c r="D310" s="114">
        <v>46.86</v>
      </c>
      <c r="E310" s="115">
        <v>4.99E-2</v>
      </c>
      <c r="F310" s="116"/>
      <c r="G310" s="113">
        <v>42217</v>
      </c>
      <c r="H310" s="114">
        <v>28.43</v>
      </c>
      <c r="I310" s="118"/>
      <c r="J310" s="119">
        <v>42217</v>
      </c>
      <c r="K310" s="120">
        <v>82.48</v>
      </c>
      <c r="L310" s="120">
        <v>85.34</v>
      </c>
      <c r="M310" s="118"/>
      <c r="N310" s="121">
        <v>42217</v>
      </c>
      <c r="O310" s="95">
        <v>101.0367</v>
      </c>
      <c r="P310" s="96">
        <v>-1.8E-3</v>
      </c>
    </row>
    <row r="311" spans="1:16">
      <c r="A311" s="112">
        <v>42248</v>
      </c>
      <c r="B311" s="113">
        <v>42248</v>
      </c>
      <c r="C311" s="114">
        <v>45.09</v>
      </c>
      <c r="D311" s="114">
        <v>48.1</v>
      </c>
      <c r="E311" s="115">
        <v>-6.2600000000000003E-2</v>
      </c>
      <c r="F311" s="116"/>
      <c r="G311" s="113">
        <v>42248</v>
      </c>
      <c r="H311" s="114">
        <v>24.5</v>
      </c>
      <c r="I311" s="118"/>
      <c r="J311" s="119">
        <v>42248</v>
      </c>
      <c r="K311" s="120">
        <v>98.77</v>
      </c>
      <c r="L311" s="120">
        <v>115.89</v>
      </c>
      <c r="M311" s="118"/>
      <c r="N311" s="121">
        <v>42248</v>
      </c>
      <c r="O311" s="95">
        <v>100.7547</v>
      </c>
      <c r="P311" s="96">
        <v>-2.8E-3</v>
      </c>
    </row>
    <row r="312" spans="1:16">
      <c r="A312" s="112">
        <v>42278</v>
      </c>
      <c r="B312" s="113">
        <v>42278</v>
      </c>
      <c r="C312" s="114">
        <v>46.59</v>
      </c>
      <c r="D312" s="114">
        <v>45.38</v>
      </c>
      <c r="E312" s="115">
        <v>2.6700000000000002E-2</v>
      </c>
      <c r="F312" s="116"/>
      <c r="G312" s="113">
        <v>42278</v>
      </c>
      <c r="H312" s="114">
        <v>15.07</v>
      </c>
      <c r="I312" s="118"/>
      <c r="J312" s="119">
        <v>42278</v>
      </c>
      <c r="K312" s="120">
        <v>91.93</v>
      </c>
      <c r="L312" s="120">
        <v>79.73</v>
      </c>
      <c r="M312" s="118"/>
      <c r="N312" s="121">
        <v>42278</v>
      </c>
      <c r="O312" s="95">
        <v>100.2675</v>
      </c>
      <c r="P312" s="96">
        <v>-4.7999999999999996E-3</v>
      </c>
    </row>
    <row r="313" spans="1:16">
      <c r="A313" s="112">
        <v>42309</v>
      </c>
      <c r="B313" s="113">
        <v>42309</v>
      </c>
      <c r="C313" s="114">
        <v>41.65</v>
      </c>
      <c r="D313" s="114">
        <v>46.43</v>
      </c>
      <c r="E313" s="115">
        <v>-0.10299999999999999</v>
      </c>
      <c r="F313" s="116"/>
      <c r="G313" s="113">
        <v>42309</v>
      </c>
      <c r="H313" s="114">
        <v>16.13</v>
      </c>
      <c r="I313" s="118"/>
      <c r="J313" s="119">
        <v>42309</v>
      </c>
      <c r="K313" s="120">
        <v>150.72</v>
      </c>
      <c r="L313" s="120">
        <v>113.04</v>
      </c>
      <c r="M313" s="118"/>
      <c r="N313" s="121">
        <v>42309</v>
      </c>
      <c r="O313" s="95">
        <v>99.529799999999994</v>
      </c>
      <c r="P313" s="96">
        <v>-7.4000000000000003E-3</v>
      </c>
    </row>
    <row r="314" spans="1:16">
      <c r="A314" s="112">
        <v>42339</v>
      </c>
      <c r="B314" s="113">
        <v>42339</v>
      </c>
      <c r="C314" s="114">
        <v>37.04</v>
      </c>
      <c r="D314" s="114">
        <v>41.73</v>
      </c>
      <c r="E314" s="115">
        <v>-0.1124</v>
      </c>
      <c r="F314" s="116"/>
      <c r="G314" s="113">
        <v>42339</v>
      </c>
      <c r="H314" s="114">
        <v>18.21</v>
      </c>
      <c r="I314" s="118"/>
      <c r="J314" s="119">
        <v>42339</v>
      </c>
      <c r="K314" s="120">
        <v>148.24</v>
      </c>
      <c r="L314" s="120">
        <v>115.22</v>
      </c>
      <c r="M314" s="118"/>
      <c r="N314" s="121">
        <v>42339</v>
      </c>
      <c r="O314" s="95">
        <v>99.041700000000006</v>
      </c>
      <c r="P314" s="96">
        <v>-4.8999999999999998E-3</v>
      </c>
    </row>
    <row r="315" spans="1:16">
      <c r="A315" s="112">
        <v>42370</v>
      </c>
      <c r="B315" s="113">
        <v>42370</v>
      </c>
      <c r="C315" s="114">
        <v>33.619999999999997</v>
      </c>
      <c r="D315" s="114">
        <v>37.6</v>
      </c>
      <c r="E315" s="115">
        <v>-0.10589999999999999</v>
      </c>
      <c r="F315" s="116"/>
      <c r="G315" s="113">
        <v>42370</v>
      </c>
      <c r="H315" s="114">
        <v>20.2</v>
      </c>
      <c r="I315" s="118"/>
      <c r="J315" s="119">
        <v>42370</v>
      </c>
      <c r="K315" s="120">
        <v>118.21</v>
      </c>
      <c r="L315" s="120">
        <v>124.24</v>
      </c>
      <c r="M315" s="118"/>
      <c r="N315" s="121">
        <v>42370</v>
      </c>
      <c r="O315" s="95">
        <v>99.560699999999997</v>
      </c>
      <c r="P315" s="96">
        <v>5.1999999999999998E-3</v>
      </c>
    </row>
    <row r="316" spans="1:16">
      <c r="A316" s="112">
        <v>42401</v>
      </c>
      <c r="B316" s="113">
        <v>42401</v>
      </c>
      <c r="C316" s="114">
        <v>33.75</v>
      </c>
      <c r="D316" s="114">
        <v>33.83</v>
      </c>
      <c r="E316" s="115">
        <v>-2.3999999999999998E-3</v>
      </c>
      <c r="F316" s="116"/>
      <c r="G316" s="113">
        <v>42401</v>
      </c>
      <c r="H316" s="114">
        <v>20.55</v>
      </c>
      <c r="I316" s="118"/>
      <c r="J316" s="119">
        <v>42401</v>
      </c>
      <c r="K316" s="120">
        <v>103.75</v>
      </c>
      <c r="L316" s="120">
        <v>91.32</v>
      </c>
      <c r="M316" s="118"/>
      <c r="N316" s="121">
        <v>42401</v>
      </c>
      <c r="O316" s="95">
        <v>99.044499999999999</v>
      </c>
      <c r="P316" s="96">
        <v>-5.1999999999999998E-3</v>
      </c>
    </row>
    <row r="317" spans="1:16">
      <c r="A317" s="112">
        <v>42430</v>
      </c>
      <c r="B317" s="113">
        <v>42430</v>
      </c>
      <c r="C317" s="114">
        <v>38.340000000000003</v>
      </c>
      <c r="D317" s="114">
        <v>33.9</v>
      </c>
      <c r="E317" s="115">
        <v>0.13100000000000001</v>
      </c>
      <c r="F317" s="116"/>
      <c r="G317" s="113">
        <v>42430</v>
      </c>
      <c r="H317" s="114">
        <v>13.95</v>
      </c>
      <c r="I317" s="118"/>
      <c r="J317" s="119">
        <v>42430</v>
      </c>
      <c r="K317" s="120">
        <v>109.72</v>
      </c>
      <c r="L317" s="120">
        <v>98.03</v>
      </c>
      <c r="M317" s="118"/>
      <c r="N317" s="121">
        <v>42430</v>
      </c>
      <c r="O317" s="95">
        <v>98.309600000000003</v>
      </c>
      <c r="P317" s="96">
        <v>-7.4000000000000003E-3</v>
      </c>
    </row>
    <row r="318" spans="1:16">
      <c r="A318" s="112">
        <v>42461</v>
      </c>
      <c r="B318" s="113">
        <v>42461</v>
      </c>
      <c r="C318" s="114">
        <v>45.92</v>
      </c>
      <c r="D318" s="114">
        <v>38.14</v>
      </c>
      <c r="E318" s="115">
        <v>0.20399999999999999</v>
      </c>
      <c r="F318" s="116"/>
      <c r="G318" s="113">
        <v>42461</v>
      </c>
      <c r="H318" s="114">
        <v>15.7</v>
      </c>
      <c r="I318" s="118"/>
      <c r="J318" s="119">
        <v>42461</v>
      </c>
      <c r="K318" s="120">
        <v>85.22</v>
      </c>
      <c r="L318" s="120">
        <v>80.819999999999993</v>
      </c>
      <c r="M318" s="118"/>
      <c r="N318" s="121">
        <v>42461</v>
      </c>
      <c r="O318" s="95">
        <v>98.642099999999999</v>
      </c>
      <c r="P318" s="96">
        <v>3.3999999999999998E-3</v>
      </c>
    </row>
    <row r="319" spans="1:16">
      <c r="A319" s="123">
        <v>42491</v>
      </c>
      <c r="B319" s="124">
        <v>42491</v>
      </c>
      <c r="C319" s="114">
        <v>49.1</v>
      </c>
      <c r="D319" s="114">
        <v>45.9</v>
      </c>
      <c r="E319" s="115">
        <v>6.9699999999999998E-2</v>
      </c>
      <c r="F319" s="116"/>
      <c r="G319" s="124">
        <v>42491</v>
      </c>
      <c r="H319" s="114">
        <v>14.19</v>
      </c>
      <c r="I319" s="118"/>
      <c r="J319" s="119">
        <v>42491</v>
      </c>
      <c r="K319" s="120">
        <v>88.33</v>
      </c>
      <c r="L319" s="120">
        <v>84.46</v>
      </c>
      <c r="M319" s="118"/>
      <c r="N319" s="121">
        <v>42491</v>
      </c>
      <c r="O319" s="95">
        <v>98.418400000000005</v>
      </c>
      <c r="P319" s="96">
        <v>-2.3E-3</v>
      </c>
    </row>
    <row r="320" spans="1:16">
      <c r="A320" s="112">
        <v>42522</v>
      </c>
      <c r="B320" s="113">
        <v>42522</v>
      </c>
      <c r="C320" s="114">
        <v>48.33</v>
      </c>
      <c r="D320" s="114">
        <v>48.82</v>
      </c>
      <c r="E320" s="115">
        <v>-0.01</v>
      </c>
      <c r="F320" s="116"/>
      <c r="G320" s="113">
        <v>42522</v>
      </c>
      <c r="H320" s="114">
        <v>15.63</v>
      </c>
      <c r="I320" s="118"/>
      <c r="J320" s="119">
        <v>42522</v>
      </c>
      <c r="K320" s="120">
        <v>90.17</v>
      </c>
      <c r="L320" s="120">
        <v>80.510000000000005</v>
      </c>
      <c r="M320" s="118"/>
      <c r="N320" s="121">
        <v>42522</v>
      </c>
      <c r="O320" s="95">
        <v>98.883300000000006</v>
      </c>
      <c r="P320" s="96">
        <v>4.7000000000000002E-3</v>
      </c>
    </row>
    <row r="321" spans="1:16">
      <c r="A321" s="112">
        <v>42552</v>
      </c>
      <c r="B321" s="113">
        <v>42552</v>
      </c>
      <c r="C321" s="114">
        <v>41.6</v>
      </c>
      <c r="D321" s="114">
        <v>48.38</v>
      </c>
      <c r="E321" s="115">
        <v>-0.1401</v>
      </c>
      <c r="F321" s="116"/>
      <c r="G321" s="113">
        <v>42552</v>
      </c>
      <c r="H321" s="114">
        <v>11.87</v>
      </c>
      <c r="I321" s="118"/>
      <c r="J321" s="119">
        <v>42552</v>
      </c>
      <c r="K321" s="120">
        <v>114.61</v>
      </c>
      <c r="L321" s="120">
        <v>97.1</v>
      </c>
      <c r="M321" s="118"/>
      <c r="N321" s="121">
        <v>42552</v>
      </c>
      <c r="O321" s="95">
        <v>98.999200000000002</v>
      </c>
      <c r="P321" s="96">
        <v>1.1999999999999999E-3</v>
      </c>
    </row>
    <row r="322" spans="1:16">
      <c r="A322" s="112">
        <v>42583</v>
      </c>
      <c r="B322" s="113">
        <v>42583</v>
      </c>
      <c r="C322" s="114">
        <v>44.7</v>
      </c>
      <c r="D322" s="114">
        <v>41.35</v>
      </c>
      <c r="E322" s="115">
        <v>8.1000000000000003E-2</v>
      </c>
      <c r="F322" s="116"/>
      <c r="G322" s="113">
        <v>42583</v>
      </c>
      <c r="H322" s="114">
        <v>13.42</v>
      </c>
      <c r="I322" s="118"/>
      <c r="J322" s="119">
        <v>42583</v>
      </c>
      <c r="K322" s="120">
        <v>98.74</v>
      </c>
      <c r="L322" s="120">
        <v>82.44</v>
      </c>
      <c r="M322" s="118"/>
      <c r="N322" s="121">
        <v>42583</v>
      </c>
      <c r="O322" s="95">
        <v>98.85</v>
      </c>
      <c r="P322" s="96">
        <v>-1.5E-3</v>
      </c>
    </row>
    <row r="323" spans="1:16">
      <c r="A323" s="112">
        <v>42614</v>
      </c>
      <c r="B323" s="113">
        <v>42614</v>
      </c>
      <c r="C323" s="114">
        <v>48.24</v>
      </c>
      <c r="D323" s="114">
        <v>44.85</v>
      </c>
      <c r="E323" s="115">
        <v>7.5600000000000001E-2</v>
      </c>
      <c r="F323" s="116"/>
      <c r="G323" s="113">
        <v>42614</v>
      </c>
      <c r="H323" s="114">
        <v>13.29</v>
      </c>
      <c r="I323" s="118"/>
      <c r="J323" s="119">
        <v>42614</v>
      </c>
      <c r="K323" s="120">
        <v>104.55</v>
      </c>
      <c r="L323" s="120">
        <v>95.49</v>
      </c>
      <c r="M323" s="118"/>
      <c r="N323" s="121">
        <v>42614</v>
      </c>
      <c r="O323" s="95">
        <v>98.745699999999999</v>
      </c>
      <c r="P323" s="96">
        <v>-1.1000000000000001E-3</v>
      </c>
    </row>
    <row r="324" spans="1:16">
      <c r="A324" s="112">
        <v>42644</v>
      </c>
      <c r="B324" s="113">
        <v>42644</v>
      </c>
      <c r="C324" s="114">
        <v>46.86</v>
      </c>
      <c r="D324" s="114">
        <v>48.04</v>
      </c>
      <c r="E324" s="115">
        <v>-2.46E-2</v>
      </c>
      <c r="F324" s="116"/>
      <c r="G324" s="113">
        <v>42644</v>
      </c>
      <c r="H324" s="114">
        <v>17.059999999999999</v>
      </c>
      <c r="I324" s="118"/>
      <c r="J324" s="119">
        <v>42644</v>
      </c>
      <c r="K324" s="120">
        <v>85.75</v>
      </c>
      <c r="L324" s="120">
        <v>79.650000000000006</v>
      </c>
      <c r="M324" s="118"/>
      <c r="N324" s="121">
        <v>42644</v>
      </c>
      <c r="O324" s="95">
        <v>98.761099999999999</v>
      </c>
      <c r="P324" s="96">
        <v>2.0000000000000001E-4</v>
      </c>
    </row>
    <row r="325" spans="1:16">
      <c r="A325" s="112">
        <v>42675</v>
      </c>
      <c r="B325" s="113">
        <v>42675</v>
      </c>
      <c r="C325" s="114">
        <v>49.44</v>
      </c>
      <c r="D325" s="114">
        <v>46.77</v>
      </c>
      <c r="E325" s="115">
        <v>5.7099999999999998E-2</v>
      </c>
      <c r="F325" s="116"/>
      <c r="G325" s="113">
        <v>42675</v>
      </c>
      <c r="H325" s="114">
        <v>13.33</v>
      </c>
      <c r="I325" s="118"/>
      <c r="J325" s="119">
        <v>42675</v>
      </c>
      <c r="K325" s="120">
        <v>82.92</v>
      </c>
      <c r="L325" s="120">
        <v>81.23</v>
      </c>
      <c r="M325" s="118"/>
      <c r="N325" s="121">
        <v>42675</v>
      </c>
      <c r="O325" s="95">
        <v>98.349100000000007</v>
      </c>
      <c r="P325" s="96">
        <v>-4.1999999999999997E-3</v>
      </c>
    </row>
    <row r="326" spans="1:16">
      <c r="A326" s="112">
        <v>42705</v>
      </c>
      <c r="B326" s="113">
        <v>42705</v>
      </c>
      <c r="C326" s="114">
        <v>53.72</v>
      </c>
      <c r="D326" s="114">
        <v>49.07</v>
      </c>
      <c r="E326" s="115">
        <v>9.4799999999999995E-2</v>
      </c>
      <c r="F326" s="116"/>
      <c r="G326" s="113">
        <v>42705</v>
      </c>
      <c r="H326" s="114">
        <v>14.04</v>
      </c>
      <c r="I326" s="118"/>
      <c r="J326" s="119">
        <v>42705</v>
      </c>
      <c r="K326" s="120">
        <v>102.18</v>
      </c>
      <c r="L326" s="120">
        <v>93.94</v>
      </c>
      <c r="M326" s="118"/>
      <c r="N326" s="121">
        <v>42705</v>
      </c>
      <c r="O326" s="95">
        <v>99.0214</v>
      </c>
      <c r="P326" s="96">
        <v>6.7999999999999996E-3</v>
      </c>
    </row>
    <row r="327" spans="1:16">
      <c r="A327" s="112">
        <v>42736</v>
      </c>
      <c r="B327" s="113">
        <v>42736</v>
      </c>
      <c r="C327" s="114">
        <v>52.81</v>
      </c>
      <c r="D327" s="114">
        <v>54.2</v>
      </c>
      <c r="E327" s="115">
        <v>-2.5600000000000001E-2</v>
      </c>
      <c r="F327" s="116"/>
      <c r="G327" s="113">
        <v>42736</v>
      </c>
      <c r="H327" s="114">
        <v>11.99</v>
      </c>
      <c r="I327" s="118"/>
      <c r="J327" s="119">
        <v>42736</v>
      </c>
      <c r="K327" s="120">
        <v>105.2</v>
      </c>
      <c r="L327" s="120">
        <v>108.28</v>
      </c>
      <c r="M327" s="118"/>
      <c r="N327" s="121">
        <v>42736</v>
      </c>
      <c r="O327" s="95">
        <v>98.761099999999999</v>
      </c>
      <c r="P327" s="96">
        <v>-2.5999999999999999E-3</v>
      </c>
    </row>
    <row r="328" spans="1:16">
      <c r="A328" s="112">
        <v>42767</v>
      </c>
      <c r="B328" s="113">
        <v>42767</v>
      </c>
      <c r="C328" s="114">
        <v>54.01</v>
      </c>
      <c r="D328" s="114">
        <v>52.76</v>
      </c>
      <c r="E328" s="115">
        <v>2.3699999999999999E-2</v>
      </c>
      <c r="F328" s="116"/>
      <c r="G328" s="113">
        <v>42767</v>
      </c>
      <c r="H328" s="114">
        <v>12.92</v>
      </c>
      <c r="I328" s="118"/>
      <c r="J328" s="119">
        <v>42767</v>
      </c>
      <c r="K328" s="120">
        <v>114.21</v>
      </c>
      <c r="L328" s="120">
        <v>125.66</v>
      </c>
      <c r="M328" s="118"/>
      <c r="N328" s="121">
        <v>42767</v>
      </c>
      <c r="O328" s="95">
        <v>98.364599999999996</v>
      </c>
      <c r="P328" s="96">
        <v>-4.0000000000000001E-3</v>
      </c>
    </row>
    <row r="329" spans="1:16">
      <c r="A329" s="112">
        <v>42795</v>
      </c>
      <c r="B329" s="113">
        <v>42795</v>
      </c>
      <c r="C329" s="114">
        <v>50.6</v>
      </c>
      <c r="D329" s="114">
        <v>53.95</v>
      </c>
      <c r="E329" s="115">
        <v>-6.2100000000000002E-2</v>
      </c>
      <c r="F329" s="116"/>
      <c r="G329" s="113">
        <v>42795</v>
      </c>
      <c r="H329" s="114">
        <v>12.37</v>
      </c>
      <c r="I329" s="118"/>
      <c r="J329" s="119">
        <v>42795</v>
      </c>
      <c r="K329" s="120">
        <v>96.64</v>
      </c>
      <c r="L329" s="120">
        <v>95.84</v>
      </c>
      <c r="M329" s="118"/>
      <c r="N329" s="121">
        <v>42795</v>
      </c>
      <c r="O329" s="95">
        <v>99.0137</v>
      </c>
      <c r="P329" s="96">
        <v>6.6E-3</v>
      </c>
    </row>
    <row r="330" spans="1:16">
      <c r="A330" s="112">
        <v>42826</v>
      </c>
      <c r="B330" s="113">
        <v>42826</v>
      </c>
      <c r="C330" s="114">
        <v>49.33</v>
      </c>
      <c r="D330" s="114">
        <v>50.69</v>
      </c>
      <c r="E330" s="115">
        <v>-2.6800000000000001E-2</v>
      </c>
      <c r="F330" s="116"/>
      <c r="G330" s="113">
        <v>42826</v>
      </c>
      <c r="H330" s="114">
        <v>10.82</v>
      </c>
      <c r="I330" s="118"/>
      <c r="J330" s="119">
        <v>42826</v>
      </c>
      <c r="K330" s="120">
        <v>119.46</v>
      </c>
      <c r="L330" s="120">
        <v>127.45</v>
      </c>
      <c r="M330" s="118"/>
      <c r="N330" s="121">
        <v>42826</v>
      </c>
      <c r="O330" s="95">
        <v>100.0224</v>
      </c>
      <c r="P330" s="96">
        <v>1.0200000000000001E-2</v>
      </c>
    </row>
    <row r="331" spans="1:16">
      <c r="A331" s="123">
        <v>42856</v>
      </c>
      <c r="B331" s="124">
        <v>42856</v>
      </c>
      <c r="C331" s="114">
        <v>48.32</v>
      </c>
      <c r="D331" s="114">
        <v>49.17</v>
      </c>
      <c r="E331" s="115">
        <v>-1.7299999999999999E-2</v>
      </c>
      <c r="F331" s="116"/>
      <c r="G331" s="124">
        <v>42856</v>
      </c>
      <c r="H331" s="114">
        <v>10.41</v>
      </c>
      <c r="I331" s="118"/>
      <c r="J331" s="119">
        <v>42856</v>
      </c>
      <c r="K331" s="120">
        <v>102.58</v>
      </c>
      <c r="L331" s="120">
        <v>102.35</v>
      </c>
      <c r="M331" s="118"/>
      <c r="N331" s="121">
        <v>42856</v>
      </c>
      <c r="O331" s="95">
        <v>100.1408</v>
      </c>
      <c r="P331" s="96">
        <v>1.1999999999999999E-3</v>
      </c>
    </row>
    <row r="332" spans="1:16">
      <c r="A332" s="112">
        <v>42887</v>
      </c>
      <c r="B332" s="113">
        <v>42887</v>
      </c>
      <c r="C332" s="114">
        <v>46.04</v>
      </c>
      <c r="D332" s="114">
        <v>48.63</v>
      </c>
      <c r="E332" s="115">
        <v>-5.33E-2</v>
      </c>
      <c r="F332" s="116"/>
      <c r="G332" s="113">
        <v>42887</v>
      </c>
      <c r="H332" s="114">
        <v>11.18</v>
      </c>
      <c r="I332" s="118"/>
      <c r="J332" s="119">
        <v>42887</v>
      </c>
      <c r="K332" s="120">
        <v>126.79</v>
      </c>
      <c r="L332" s="120">
        <v>113.17</v>
      </c>
      <c r="M332" s="118"/>
      <c r="N332" s="121">
        <v>42887</v>
      </c>
      <c r="O332" s="95">
        <v>100.3471</v>
      </c>
      <c r="P332" s="96">
        <v>2.0999999999999999E-3</v>
      </c>
    </row>
    <row r="333" spans="1:16">
      <c r="A333" s="112">
        <v>42917</v>
      </c>
      <c r="B333" s="113">
        <v>42917</v>
      </c>
      <c r="C333" s="114">
        <v>50.17</v>
      </c>
      <c r="D333" s="114">
        <v>46.28</v>
      </c>
      <c r="E333" s="115">
        <v>8.4099999999999994E-2</v>
      </c>
      <c r="F333" s="116"/>
      <c r="G333" s="113">
        <v>42917</v>
      </c>
      <c r="H333" s="114">
        <v>10.26</v>
      </c>
      <c r="I333" s="118"/>
      <c r="J333" s="119">
        <v>42917</v>
      </c>
      <c r="K333" s="120">
        <v>102.81</v>
      </c>
      <c r="L333" s="120">
        <v>125.6</v>
      </c>
      <c r="M333" s="118"/>
      <c r="N333" s="121">
        <v>42917</v>
      </c>
      <c r="O333" s="95">
        <v>100.10680000000001</v>
      </c>
      <c r="P333" s="96">
        <v>-2.3999999999999998E-3</v>
      </c>
    </row>
    <row r="334" spans="1:16">
      <c r="A334" s="112">
        <v>42948</v>
      </c>
      <c r="B334" s="113">
        <v>42948</v>
      </c>
      <c r="C334" s="114">
        <v>47.23</v>
      </c>
      <c r="D334" s="114">
        <v>50.21</v>
      </c>
      <c r="E334" s="115">
        <v>-5.9400000000000001E-2</v>
      </c>
      <c r="F334" s="116"/>
      <c r="G334" s="113">
        <v>42948</v>
      </c>
      <c r="H334" s="114">
        <v>10.59</v>
      </c>
      <c r="I334" s="118"/>
      <c r="J334" s="119">
        <v>42948</v>
      </c>
      <c r="K334" s="120">
        <v>138.53</v>
      </c>
      <c r="L334" s="120">
        <v>160.02000000000001</v>
      </c>
      <c r="M334" s="118"/>
      <c r="N334" s="121">
        <v>42948</v>
      </c>
      <c r="O334" s="95">
        <v>99.692499999999995</v>
      </c>
      <c r="P334" s="96">
        <v>-4.1000000000000003E-3</v>
      </c>
    </row>
    <row r="335" spans="1:16">
      <c r="A335" s="112">
        <v>42979</v>
      </c>
      <c r="B335" s="113">
        <v>42979</v>
      </c>
      <c r="C335" s="114">
        <v>51.67</v>
      </c>
      <c r="D335" s="114">
        <v>47.08</v>
      </c>
      <c r="E335" s="115">
        <v>9.7500000000000003E-2</v>
      </c>
      <c r="F335" s="116"/>
      <c r="G335" s="113">
        <v>42979</v>
      </c>
      <c r="H335" s="114">
        <v>9.51</v>
      </c>
      <c r="I335" s="118"/>
      <c r="J335" s="119">
        <v>42979</v>
      </c>
      <c r="K335" s="120">
        <v>115.53</v>
      </c>
      <c r="L335" s="120">
        <v>142.13999999999999</v>
      </c>
      <c r="M335" s="118"/>
      <c r="N335" s="121">
        <v>42979</v>
      </c>
      <c r="O335" s="95">
        <v>99.795400000000001</v>
      </c>
      <c r="P335" s="96">
        <v>1E-3</v>
      </c>
    </row>
    <row r="336" spans="1:16">
      <c r="A336" s="112">
        <v>43009</v>
      </c>
      <c r="B336" s="113">
        <v>43009</v>
      </c>
      <c r="C336" s="114">
        <v>54.38</v>
      </c>
      <c r="D336" s="114">
        <v>51.64</v>
      </c>
      <c r="E336" s="115">
        <v>5.3100000000000001E-2</v>
      </c>
      <c r="F336" s="116"/>
      <c r="G336" s="113">
        <v>43009</v>
      </c>
      <c r="H336" s="114">
        <v>10.18</v>
      </c>
      <c r="I336" s="118"/>
      <c r="J336" s="119">
        <v>43009</v>
      </c>
      <c r="K336" s="120">
        <v>91.46</v>
      </c>
      <c r="L336" s="120">
        <v>109.23</v>
      </c>
      <c r="M336" s="118"/>
      <c r="N336" s="121">
        <v>43009</v>
      </c>
      <c r="O336" s="95">
        <v>101.0247</v>
      </c>
      <c r="P336" s="96">
        <v>1.23E-2</v>
      </c>
    </row>
    <row r="337" spans="1:16">
      <c r="A337" s="112">
        <v>43040</v>
      </c>
      <c r="B337" s="113">
        <v>43040</v>
      </c>
      <c r="C337" s="114">
        <v>57.4</v>
      </c>
      <c r="D337" s="114">
        <v>54.65</v>
      </c>
      <c r="E337" s="115">
        <v>5.0299999999999997E-2</v>
      </c>
      <c r="F337" s="116"/>
      <c r="G337" s="113">
        <v>43040</v>
      </c>
      <c r="H337" s="114">
        <v>11.28</v>
      </c>
      <c r="I337" s="118"/>
      <c r="J337" s="119">
        <v>43040</v>
      </c>
      <c r="K337" s="120">
        <v>92.6</v>
      </c>
      <c r="L337" s="120">
        <v>103.94</v>
      </c>
      <c r="M337" s="118"/>
      <c r="N337" s="121">
        <v>43040</v>
      </c>
      <c r="O337" s="95">
        <v>101.2664</v>
      </c>
      <c r="P337" s="96">
        <v>2.3999999999999998E-3</v>
      </c>
    </row>
    <row r="338" spans="1:16">
      <c r="A338" s="112">
        <v>43070</v>
      </c>
      <c r="B338" s="113">
        <v>43070</v>
      </c>
      <c r="C338" s="114">
        <v>60.42</v>
      </c>
      <c r="D338" s="114">
        <v>57.42</v>
      </c>
      <c r="E338" s="115">
        <v>5.2200000000000003E-2</v>
      </c>
      <c r="F338" s="116"/>
      <c r="G338" s="113">
        <v>43070</v>
      </c>
      <c r="H338" s="114">
        <v>11.04</v>
      </c>
      <c r="I338" s="118"/>
      <c r="J338" s="119">
        <v>43070</v>
      </c>
      <c r="K338" s="120">
        <v>82.72</v>
      </c>
      <c r="L338" s="120">
        <v>95.91</v>
      </c>
      <c r="M338" s="118"/>
      <c r="N338" s="121">
        <v>43070</v>
      </c>
      <c r="O338" s="95">
        <v>101.4644</v>
      </c>
      <c r="P338" s="96">
        <v>2E-3</v>
      </c>
    </row>
    <row r="339" spans="1:16">
      <c r="A339" s="112">
        <v>43101</v>
      </c>
      <c r="B339" s="113">
        <v>43101</v>
      </c>
      <c r="C339" s="114">
        <v>64.73</v>
      </c>
      <c r="D339" s="114">
        <v>60.2</v>
      </c>
      <c r="E339" s="115">
        <v>7.5200000000000003E-2</v>
      </c>
      <c r="F339" s="116"/>
      <c r="G339" s="113">
        <v>43101</v>
      </c>
      <c r="H339" s="114">
        <v>13.54</v>
      </c>
      <c r="I339" s="118"/>
      <c r="J339" s="119">
        <v>43101</v>
      </c>
      <c r="K339" s="120">
        <v>92.43</v>
      </c>
      <c r="L339" s="120">
        <v>107.64</v>
      </c>
      <c r="M339" s="118"/>
      <c r="N339" s="121">
        <v>43101</v>
      </c>
      <c r="O339" s="95">
        <v>101.46250000000001</v>
      </c>
      <c r="P339" s="96">
        <v>0</v>
      </c>
    </row>
    <row r="340" spans="1:16">
      <c r="A340" s="112">
        <v>43132</v>
      </c>
      <c r="B340" s="113">
        <v>43132</v>
      </c>
      <c r="C340" s="114">
        <v>61.64</v>
      </c>
      <c r="D340" s="114">
        <v>64.760000000000005</v>
      </c>
      <c r="E340" s="115">
        <v>-4.82E-2</v>
      </c>
      <c r="F340" s="116"/>
      <c r="G340" s="113">
        <v>43132</v>
      </c>
      <c r="H340" s="114">
        <v>19.850000000000001</v>
      </c>
      <c r="I340" s="118"/>
      <c r="J340" s="119">
        <v>43132</v>
      </c>
      <c r="K340" s="120">
        <v>64.489999999999995</v>
      </c>
      <c r="L340" s="120">
        <v>74.680000000000007</v>
      </c>
      <c r="M340" s="118"/>
      <c r="N340" s="121">
        <v>43132</v>
      </c>
      <c r="O340" s="95">
        <v>101.7085</v>
      </c>
      <c r="P340" s="96">
        <v>2.3999999999999998E-3</v>
      </c>
    </row>
    <row r="341" spans="1:16">
      <c r="A341" s="112">
        <v>43160</v>
      </c>
      <c r="B341" s="113">
        <v>43160</v>
      </c>
      <c r="C341" s="114">
        <v>64.94</v>
      </c>
      <c r="D341" s="114">
        <v>61.55</v>
      </c>
      <c r="E341" s="115">
        <v>5.5100000000000003E-2</v>
      </c>
      <c r="F341" s="116"/>
      <c r="G341" s="113">
        <v>43160</v>
      </c>
      <c r="H341" s="114">
        <v>19.97</v>
      </c>
      <c r="I341" s="118"/>
      <c r="J341" s="119">
        <v>43160</v>
      </c>
      <c r="K341" s="120">
        <v>111.96</v>
      </c>
      <c r="L341" s="120">
        <v>146.93</v>
      </c>
      <c r="M341" s="118"/>
      <c r="N341" s="121">
        <v>43160</v>
      </c>
      <c r="O341" s="95">
        <v>102.2067</v>
      </c>
      <c r="P341" s="96">
        <v>4.8999999999999998E-3</v>
      </c>
    </row>
    <row r="342" spans="1:16">
      <c r="A342" s="112">
        <v>43191</v>
      </c>
      <c r="B342" s="113">
        <v>43191</v>
      </c>
      <c r="C342" s="114">
        <v>68.569999999999993</v>
      </c>
      <c r="D342" s="114">
        <v>64.91</v>
      </c>
      <c r="E342" s="115">
        <v>5.6399999999999999E-2</v>
      </c>
      <c r="F342" s="116"/>
      <c r="G342" s="113">
        <v>43191</v>
      </c>
      <c r="H342" s="114">
        <v>15.93</v>
      </c>
      <c r="I342" s="118"/>
      <c r="J342" s="119">
        <v>43191</v>
      </c>
      <c r="K342" s="120">
        <v>123.26</v>
      </c>
      <c r="L342" s="120">
        <v>146.4</v>
      </c>
      <c r="M342" s="118"/>
      <c r="N342" s="121">
        <v>43191</v>
      </c>
      <c r="O342" s="95">
        <v>103.3329</v>
      </c>
      <c r="P342" s="96">
        <v>1.0999999999999999E-2</v>
      </c>
    </row>
    <row r="343" spans="1:16">
      <c r="A343" s="123">
        <v>43221</v>
      </c>
      <c r="B343" s="124">
        <v>43221</v>
      </c>
      <c r="C343" s="114">
        <v>67.040000000000006</v>
      </c>
      <c r="D343" s="114">
        <v>68.56</v>
      </c>
      <c r="E343" s="115">
        <v>-2.2200000000000001E-2</v>
      </c>
      <c r="F343" s="116"/>
      <c r="G343" s="124">
        <v>43221</v>
      </c>
      <c r="H343" s="114">
        <v>15.43</v>
      </c>
      <c r="I343" s="118"/>
      <c r="J343" s="119">
        <v>43221</v>
      </c>
      <c r="K343" s="120">
        <v>125.67</v>
      </c>
      <c r="L343" s="120">
        <v>172.22</v>
      </c>
      <c r="M343" s="118"/>
      <c r="N343" s="121">
        <v>43221</v>
      </c>
      <c r="O343" s="95">
        <v>102.4024</v>
      </c>
      <c r="P343" s="96">
        <v>-8.9999999999999993E-3</v>
      </c>
    </row>
    <row r="344" spans="1:16">
      <c r="A344" s="112">
        <v>43252</v>
      </c>
      <c r="B344" s="113">
        <v>43252</v>
      </c>
      <c r="C344" s="114">
        <v>74.150000000000006</v>
      </c>
      <c r="D344" s="114">
        <v>67.069999999999993</v>
      </c>
      <c r="E344" s="115">
        <v>0.1056</v>
      </c>
      <c r="F344" s="116"/>
      <c r="G344" s="113">
        <v>43252</v>
      </c>
      <c r="H344" s="114">
        <v>16.09</v>
      </c>
      <c r="I344" s="118"/>
      <c r="J344" s="119">
        <v>43252</v>
      </c>
      <c r="K344" s="120">
        <v>103.97</v>
      </c>
      <c r="L344" s="120">
        <v>137.02000000000001</v>
      </c>
      <c r="M344" s="118"/>
      <c r="N344" s="121">
        <v>43252</v>
      </c>
      <c r="O344" s="95">
        <v>103.19799999999999</v>
      </c>
      <c r="P344" s="96">
        <v>7.7999999999999996E-3</v>
      </c>
    </row>
    <row r="345" spans="1:16">
      <c r="A345" s="112">
        <v>43282</v>
      </c>
      <c r="B345" s="113">
        <v>43282</v>
      </c>
      <c r="C345" s="114">
        <v>68.760000000000005</v>
      </c>
      <c r="D345" s="114">
        <v>73.62</v>
      </c>
      <c r="E345" s="115">
        <v>-6.6000000000000003E-2</v>
      </c>
      <c r="F345" s="116"/>
      <c r="G345" s="113">
        <v>43282</v>
      </c>
      <c r="H345" s="114">
        <v>12.83</v>
      </c>
      <c r="I345" s="118"/>
      <c r="J345" s="119">
        <v>43282</v>
      </c>
      <c r="K345" s="120">
        <v>110.03</v>
      </c>
      <c r="L345" s="120">
        <v>129.1</v>
      </c>
      <c r="M345" s="118"/>
      <c r="N345" s="121">
        <v>43282</v>
      </c>
      <c r="O345" s="95">
        <v>103.3646</v>
      </c>
      <c r="P345" s="96">
        <v>1.6000000000000001E-3</v>
      </c>
    </row>
    <row r="346" spans="1:16">
      <c r="A346" s="112">
        <v>43313</v>
      </c>
      <c r="B346" s="113">
        <v>43313</v>
      </c>
      <c r="C346" s="114">
        <v>69.8</v>
      </c>
      <c r="D346" s="114">
        <v>68.430000000000007</v>
      </c>
      <c r="E346" s="115">
        <v>0.02</v>
      </c>
      <c r="F346" s="116"/>
      <c r="G346" s="113">
        <v>43313</v>
      </c>
      <c r="H346" s="114">
        <v>12.86</v>
      </c>
      <c r="I346" s="118"/>
      <c r="J346" s="119">
        <v>43313</v>
      </c>
      <c r="K346" s="120">
        <v>112.74</v>
      </c>
      <c r="L346" s="120">
        <v>145.11000000000001</v>
      </c>
      <c r="M346" s="118"/>
      <c r="N346" s="121">
        <v>43313</v>
      </c>
      <c r="O346" s="95">
        <v>104.03270000000001</v>
      </c>
      <c r="P346" s="96">
        <v>6.4999999999999997E-3</v>
      </c>
    </row>
    <row r="347" spans="1:16">
      <c r="A347" s="112">
        <v>43344</v>
      </c>
      <c r="B347" s="113">
        <v>43344</v>
      </c>
      <c r="C347" s="114">
        <v>73.25</v>
      </c>
      <c r="D347" s="114">
        <v>69.89</v>
      </c>
      <c r="E347" s="115">
        <v>4.8099999999999997E-2</v>
      </c>
      <c r="F347" s="116"/>
      <c r="G347" s="113">
        <v>43344</v>
      </c>
      <c r="H347" s="114">
        <v>12.12</v>
      </c>
      <c r="I347" s="118"/>
      <c r="J347" s="119">
        <v>43344</v>
      </c>
      <c r="K347" s="120">
        <v>75.05</v>
      </c>
      <c r="L347" s="120">
        <v>88.62</v>
      </c>
      <c r="M347" s="118"/>
      <c r="N347" s="121">
        <v>43344</v>
      </c>
      <c r="O347" s="95">
        <v>104.10039999999999</v>
      </c>
      <c r="P347" s="96">
        <v>6.9999999999999999E-4</v>
      </c>
    </row>
    <row r="348" spans="1:16">
      <c r="A348" s="112">
        <v>43374</v>
      </c>
      <c r="B348" s="113">
        <v>43374</v>
      </c>
      <c r="C348" s="114">
        <v>65.31</v>
      </c>
      <c r="D348" s="114">
        <v>73.290000000000006</v>
      </c>
      <c r="E348" s="115">
        <v>-0.1089</v>
      </c>
      <c r="F348" s="116"/>
      <c r="G348" s="113">
        <v>43374</v>
      </c>
      <c r="H348" s="114">
        <v>21.23</v>
      </c>
      <c r="I348" s="118"/>
      <c r="J348" s="119">
        <v>43374</v>
      </c>
      <c r="K348" s="120">
        <v>92.02</v>
      </c>
      <c r="L348" s="120">
        <v>115.21</v>
      </c>
      <c r="M348" s="118"/>
      <c r="N348" s="121">
        <v>43374</v>
      </c>
      <c r="O348" s="95">
        <v>103.98560000000001</v>
      </c>
      <c r="P348" s="96">
        <v>-1.1000000000000001E-3</v>
      </c>
    </row>
    <row r="349" spans="1:16">
      <c r="A349" s="112">
        <v>43405</v>
      </c>
      <c r="B349" s="113">
        <v>43405</v>
      </c>
      <c r="C349" s="114">
        <v>50.93</v>
      </c>
      <c r="D349" s="114">
        <v>64.88</v>
      </c>
      <c r="E349" s="115">
        <v>-0.215</v>
      </c>
      <c r="F349" s="116"/>
      <c r="G349" s="113">
        <v>43405</v>
      </c>
      <c r="H349" s="114">
        <v>18.07</v>
      </c>
      <c r="I349" s="118"/>
      <c r="J349" s="119">
        <v>43405</v>
      </c>
      <c r="K349" s="120">
        <v>80.41</v>
      </c>
      <c r="L349" s="120">
        <v>105.17</v>
      </c>
      <c r="M349" s="118"/>
      <c r="N349" s="121">
        <v>43405</v>
      </c>
      <c r="O349" s="95">
        <v>104.0681</v>
      </c>
      <c r="P349" s="96">
        <v>8.0000000000000004E-4</v>
      </c>
    </row>
    <row r="350" spans="1:16">
      <c r="A350" s="112">
        <v>43435</v>
      </c>
      <c r="B350" s="113">
        <v>43435</v>
      </c>
      <c r="C350" s="114">
        <v>45.41</v>
      </c>
      <c r="D350" s="114">
        <v>52.45</v>
      </c>
      <c r="E350" s="115">
        <v>-0.13420000000000001</v>
      </c>
      <c r="F350" s="116"/>
      <c r="G350" s="113">
        <v>43435</v>
      </c>
      <c r="H350" s="114">
        <v>25.42</v>
      </c>
      <c r="I350" s="118"/>
      <c r="J350" s="119">
        <v>43435</v>
      </c>
      <c r="K350" s="120">
        <v>90.61</v>
      </c>
      <c r="L350" s="120">
        <v>106.06</v>
      </c>
      <c r="M350" s="118"/>
      <c r="N350" s="121">
        <v>43435</v>
      </c>
      <c r="O350" s="95">
        <v>104.0936</v>
      </c>
      <c r="P350" s="96">
        <v>2.0000000000000001E-4</v>
      </c>
    </row>
    <row r="351" spans="1:16">
      <c r="A351" s="112">
        <v>43466</v>
      </c>
      <c r="B351" s="113">
        <v>43466</v>
      </c>
      <c r="C351" s="114">
        <v>53.79</v>
      </c>
      <c r="D351" s="114">
        <v>45.8</v>
      </c>
      <c r="E351" s="115">
        <v>0.17449999999999999</v>
      </c>
      <c r="F351" s="116"/>
      <c r="G351" s="113">
        <v>43466</v>
      </c>
      <c r="H351" s="114">
        <v>16.57</v>
      </c>
      <c r="I351" s="118"/>
      <c r="J351" s="119">
        <v>43466</v>
      </c>
      <c r="K351" s="120">
        <v>87.42</v>
      </c>
      <c r="L351" s="120">
        <v>112.98</v>
      </c>
      <c r="M351" s="118"/>
      <c r="N351" s="121">
        <v>43466</v>
      </c>
      <c r="O351" s="95">
        <v>103.4021</v>
      </c>
      <c r="P351" s="96">
        <v>-6.6E-3</v>
      </c>
    </row>
    <row r="352" spans="1:16">
      <c r="A352" s="112">
        <v>43497</v>
      </c>
      <c r="B352" s="113">
        <v>43497</v>
      </c>
      <c r="C352" s="114">
        <v>57.22</v>
      </c>
      <c r="D352" s="114">
        <v>54.01</v>
      </c>
      <c r="E352" s="115">
        <v>5.9400000000000001E-2</v>
      </c>
      <c r="F352" s="116"/>
      <c r="G352" s="113">
        <v>43497</v>
      </c>
      <c r="H352" s="114">
        <v>14.7</v>
      </c>
      <c r="I352" s="118"/>
      <c r="J352" s="119">
        <v>43497</v>
      </c>
      <c r="K352" s="120">
        <v>96.8</v>
      </c>
      <c r="L352" s="120">
        <v>127.86</v>
      </c>
      <c r="M352" s="118"/>
      <c r="N352" s="121">
        <v>43497</v>
      </c>
      <c r="O352" s="95">
        <v>102.83710000000001</v>
      </c>
      <c r="P352" s="96">
        <v>-5.4999999999999997E-3</v>
      </c>
    </row>
    <row r="353" spans="1:16">
      <c r="A353" s="112">
        <v>43525</v>
      </c>
      <c r="B353" s="113">
        <v>43525</v>
      </c>
      <c r="C353" s="114">
        <v>60.14</v>
      </c>
      <c r="D353" s="114">
        <v>57.22</v>
      </c>
      <c r="E353" s="115">
        <v>5.0999999999999997E-2</v>
      </c>
      <c r="F353" s="116"/>
      <c r="G353" s="113">
        <v>43525</v>
      </c>
      <c r="H353" s="114">
        <v>13.71</v>
      </c>
      <c r="I353" s="118"/>
      <c r="J353" s="119">
        <v>43525</v>
      </c>
      <c r="K353" s="120">
        <v>82.33</v>
      </c>
      <c r="L353" s="120">
        <v>90.79</v>
      </c>
      <c r="M353" s="118"/>
      <c r="N353" s="121">
        <v>43525</v>
      </c>
      <c r="O353" s="95">
        <v>102.87569999999999</v>
      </c>
      <c r="P353" s="96">
        <v>4.0000000000000002E-4</v>
      </c>
    </row>
    <row r="354" spans="1:16">
      <c r="A354" s="112">
        <v>43556</v>
      </c>
      <c r="B354" s="113">
        <v>43556</v>
      </c>
      <c r="C354" s="114">
        <v>63.91</v>
      </c>
      <c r="D354" s="114">
        <v>60.24</v>
      </c>
      <c r="E354" s="115">
        <v>6.0900000000000003E-2</v>
      </c>
      <c r="F354" s="116"/>
      <c r="G354" s="113">
        <v>43556</v>
      </c>
      <c r="H354" s="114">
        <v>13.12</v>
      </c>
      <c r="I354" s="118"/>
      <c r="J354" s="119">
        <v>43556</v>
      </c>
      <c r="K354" s="120">
        <v>79.25</v>
      </c>
      <c r="L354" s="120">
        <v>95.46</v>
      </c>
      <c r="M354" s="118"/>
      <c r="N354" s="121">
        <v>43556</v>
      </c>
      <c r="O354" s="95">
        <v>102.274</v>
      </c>
      <c r="P354" s="96">
        <v>-5.7999999999999996E-3</v>
      </c>
    </row>
    <row r="355" spans="1:16">
      <c r="A355" s="123">
        <v>43586</v>
      </c>
      <c r="B355" s="124">
        <v>43586</v>
      </c>
      <c r="C355" s="114">
        <v>53.5</v>
      </c>
      <c r="D355" s="114">
        <v>63.4</v>
      </c>
      <c r="E355" s="115">
        <v>-0.15620000000000001</v>
      </c>
      <c r="F355" s="116"/>
      <c r="G355" s="124">
        <v>43586</v>
      </c>
      <c r="H355" s="114">
        <v>18.71</v>
      </c>
      <c r="I355" s="118"/>
      <c r="J355" s="119">
        <v>43586</v>
      </c>
      <c r="K355" s="120">
        <v>106.47</v>
      </c>
      <c r="L355" s="120">
        <v>134.97</v>
      </c>
      <c r="M355" s="118"/>
      <c r="N355" s="121">
        <v>43586</v>
      </c>
      <c r="O355" s="95">
        <v>102.392</v>
      </c>
      <c r="P355" s="96">
        <v>1.1999999999999999E-3</v>
      </c>
    </row>
    <row r="356" spans="1:16">
      <c r="A356" s="112">
        <v>43617</v>
      </c>
      <c r="B356" s="113">
        <v>43617</v>
      </c>
      <c r="C356" s="114">
        <v>58.47</v>
      </c>
      <c r="D356" s="114">
        <v>53.42</v>
      </c>
      <c r="E356" s="115">
        <v>9.4500000000000001E-2</v>
      </c>
      <c r="F356" s="116"/>
      <c r="G356" s="113">
        <v>43617</v>
      </c>
      <c r="H356" s="114">
        <v>15.08</v>
      </c>
      <c r="I356" s="118"/>
      <c r="J356" s="119">
        <v>43617</v>
      </c>
      <c r="K356" s="120">
        <v>106.59</v>
      </c>
      <c r="L356" s="120">
        <v>142.65</v>
      </c>
      <c r="M356" s="118"/>
      <c r="N356" s="121">
        <v>43617</v>
      </c>
      <c r="O356" s="95">
        <v>102.4375</v>
      </c>
      <c r="P356" s="96">
        <v>4.0000000000000002E-4</v>
      </c>
    </row>
    <row r="357" spans="1:16">
      <c r="A357" s="112">
        <v>43647</v>
      </c>
      <c r="B357" s="113">
        <v>43647</v>
      </c>
      <c r="C357" s="114">
        <v>58.58</v>
      </c>
      <c r="D357" s="114">
        <v>59.27</v>
      </c>
      <c r="E357" s="115">
        <v>-1.1599999999999999E-2</v>
      </c>
      <c r="F357" s="116"/>
      <c r="G357" s="113">
        <v>43647</v>
      </c>
      <c r="H357" s="114">
        <v>16.12</v>
      </c>
      <c r="I357" s="118"/>
      <c r="J357" s="119">
        <v>43647</v>
      </c>
      <c r="K357" s="120">
        <v>93.52</v>
      </c>
      <c r="L357" s="120">
        <v>126.93</v>
      </c>
      <c r="M357" s="118"/>
      <c r="N357" s="121">
        <v>43647</v>
      </c>
      <c r="O357" s="95">
        <v>101.9408</v>
      </c>
      <c r="P357" s="96">
        <v>-4.7999999999999996E-3</v>
      </c>
    </row>
    <row r="358" spans="1:16">
      <c r="A358" s="112">
        <v>43678</v>
      </c>
      <c r="B358" s="113">
        <v>43678</v>
      </c>
      <c r="C358" s="114">
        <v>55.1</v>
      </c>
      <c r="D358" s="114">
        <v>57.85</v>
      </c>
      <c r="E358" s="115">
        <v>-4.7500000000000001E-2</v>
      </c>
      <c r="F358" s="116"/>
      <c r="G358" s="113">
        <v>43678</v>
      </c>
      <c r="H358" s="114">
        <v>18.98</v>
      </c>
      <c r="I358" s="118"/>
      <c r="J358" s="119">
        <v>43678</v>
      </c>
      <c r="K358" s="120">
        <v>103.4</v>
      </c>
      <c r="L358" s="120">
        <v>124.73</v>
      </c>
      <c r="M358" s="118"/>
      <c r="N358" s="121">
        <v>43678</v>
      </c>
      <c r="O358" s="95">
        <v>102.639</v>
      </c>
      <c r="P358" s="96">
        <v>6.7999999999999996E-3</v>
      </c>
    </row>
    <row r="359" spans="1:16">
      <c r="A359" s="112">
        <v>43709</v>
      </c>
      <c r="B359" s="113">
        <v>43709</v>
      </c>
      <c r="C359" s="114">
        <v>54.07</v>
      </c>
      <c r="D359" s="114">
        <v>55</v>
      </c>
      <c r="E359" s="115">
        <v>-1.6899999999999998E-2</v>
      </c>
      <c r="F359" s="116"/>
      <c r="G359" s="113">
        <v>43709</v>
      </c>
      <c r="H359" s="114">
        <v>16.239999999999998</v>
      </c>
      <c r="I359" s="118"/>
      <c r="J359" s="119">
        <v>43709</v>
      </c>
      <c r="K359" s="120">
        <v>90.37</v>
      </c>
      <c r="L359" s="120">
        <v>110.87</v>
      </c>
      <c r="M359" s="118"/>
      <c r="N359" s="121">
        <v>43709</v>
      </c>
      <c r="O359" s="95">
        <v>102.29170000000001</v>
      </c>
      <c r="P359" s="96">
        <v>-3.3999999999999998E-3</v>
      </c>
    </row>
    <row r="360" spans="1:16">
      <c r="A360" s="112">
        <v>43739</v>
      </c>
      <c r="B360" s="113">
        <v>43739</v>
      </c>
      <c r="C360" s="114">
        <v>54.18</v>
      </c>
      <c r="D360" s="114">
        <v>54.28</v>
      </c>
      <c r="E360" s="115">
        <v>-1.8E-3</v>
      </c>
      <c r="F360" s="116"/>
      <c r="G360" s="113">
        <v>43739</v>
      </c>
      <c r="H360" s="114">
        <v>13.22</v>
      </c>
      <c r="I360" s="118"/>
      <c r="J360" s="119">
        <v>43739</v>
      </c>
      <c r="K360" s="120">
        <v>97.84</v>
      </c>
      <c r="L360" s="120">
        <v>121.31</v>
      </c>
      <c r="M360" s="118"/>
      <c r="N360" s="121">
        <v>43739</v>
      </c>
      <c r="O360" s="95">
        <v>101.4281</v>
      </c>
      <c r="P360" s="96">
        <v>-8.3999999999999995E-3</v>
      </c>
    </row>
    <row r="361" spans="1:16">
      <c r="A361" s="112">
        <v>43770</v>
      </c>
      <c r="B361" s="113">
        <v>43770</v>
      </c>
      <c r="C361" s="114">
        <v>55.17</v>
      </c>
      <c r="D361" s="114">
        <v>54.15</v>
      </c>
      <c r="E361" s="115">
        <v>1.8800000000000001E-2</v>
      </c>
      <c r="F361" s="116"/>
      <c r="G361" s="113">
        <v>43770</v>
      </c>
      <c r="H361" s="114">
        <v>12.62</v>
      </c>
      <c r="I361" s="118"/>
      <c r="J361" s="119">
        <v>43770</v>
      </c>
      <c r="K361" s="120">
        <v>73.08</v>
      </c>
      <c r="L361" s="120">
        <v>84.59</v>
      </c>
      <c r="M361" s="118"/>
      <c r="N361" s="121">
        <v>43770</v>
      </c>
      <c r="O361" s="95">
        <v>101.9372</v>
      </c>
      <c r="P361" s="96">
        <v>5.0000000000000001E-3</v>
      </c>
    </row>
    <row r="362" spans="1:16">
      <c r="A362" s="112">
        <v>43800</v>
      </c>
      <c r="B362" s="113">
        <v>43800</v>
      </c>
      <c r="C362" s="114">
        <v>61.06</v>
      </c>
      <c r="D362" s="114">
        <v>55.47</v>
      </c>
      <c r="E362" s="115">
        <v>0.1008</v>
      </c>
      <c r="F362" s="116"/>
      <c r="G362" s="113">
        <v>43800</v>
      </c>
      <c r="H362" s="114">
        <v>13.78</v>
      </c>
      <c r="I362" s="118"/>
      <c r="J362" s="119">
        <v>43800</v>
      </c>
      <c r="K362" s="120">
        <v>74.28</v>
      </c>
      <c r="L362" s="120">
        <v>80.11</v>
      </c>
      <c r="M362" s="118"/>
      <c r="N362" s="121">
        <v>43800</v>
      </c>
      <c r="O362" s="95">
        <v>101.7003</v>
      </c>
      <c r="P362" s="96">
        <v>-2.3E-3</v>
      </c>
    </row>
    <row r="363" spans="1:16">
      <c r="A363" s="112">
        <v>43831</v>
      </c>
      <c r="B363" s="113">
        <v>43831</v>
      </c>
      <c r="C363" s="114">
        <v>51.56</v>
      </c>
      <c r="D363" s="114">
        <v>61.6</v>
      </c>
      <c r="E363" s="115">
        <v>-0.16300000000000001</v>
      </c>
      <c r="F363" s="116"/>
      <c r="G363" s="113">
        <v>43831</v>
      </c>
      <c r="H363" s="114">
        <v>18.84</v>
      </c>
      <c r="I363" s="118"/>
      <c r="J363" s="119">
        <v>43831</v>
      </c>
      <c r="K363" s="120">
        <v>138.41999999999999</v>
      </c>
      <c r="L363" s="120">
        <v>190.84</v>
      </c>
      <c r="M363" s="118"/>
      <c r="N363" s="121">
        <v>43831</v>
      </c>
      <c r="O363" s="95">
        <v>101.0338</v>
      </c>
      <c r="P363" s="96">
        <v>-6.6E-3</v>
      </c>
    </row>
    <row r="364" spans="1:16">
      <c r="A364" s="112">
        <v>43862</v>
      </c>
      <c r="B364" s="113">
        <v>43862</v>
      </c>
      <c r="C364" s="114">
        <v>44.76</v>
      </c>
      <c r="D364" s="114">
        <v>51.01</v>
      </c>
      <c r="E364" s="115">
        <v>-0.1225</v>
      </c>
      <c r="F364" s="116"/>
      <c r="G364" s="113">
        <v>43862</v>
      </c>
      <c r="H364" s="114">
        <v>40.11</v>
      </c>
      <c r="I364" s="118"/>
      <c r="J364" s="119">
        <v>43862</v>
      </c>
      <c r="K364" s="120">
        <v>75.959999999999994</v>
      </c>
      <c r="L364" s="120">
        <v>87.16</v>
      </c>
      <c r="M364" s="118"/>
      <c r="N364" s="121">
        <v>43862</v>
      </c>
      <c r="O364" s="95">
        <v>101.37350000000001</v>
      </c>
      <c r="P364" s="96">
        <v>3.3999999999999998E-3</v>
      </c>
    </row>
    <row r="365" spans="1:16">
      <c r="A365" s="112">
        <v>43891</v>
      </c>
      <c r="B365" s="113">
        <v>43891</v>
      </c>
      <c r="C365" s="114">
        <v>20.48</v>
      </c>
      <c r="D365" s="114">
        <v>43.7</v>
      </c>
      <c r="E365" s="115">
        <v>-0.53139999999999998</v>
      </c>
      <c r="F365" s="116"/>
      <c r="G365" s="113">
        <v>43891</v>
      </c>
      <c r="H365" s="114">
        <v>53.54</v>
      </c>
      <c r="I365" s="118"/>
      <c r="J365" s="119">
        <v>43891</v>
      </c>
      <c r="K365" s="120">
        <v>81.540000000000006</v>
      </c>
      <c r="L365" s="120">
        <v>97.09</v>
      </c>
      <c r="M365" s="118"/>
      <c r="N365" s="121">
        <v>43891</v>
      </c>
      <c r="O365" s="95">
        <v>97.407799999999995</v>
      </c>
      <c r="P365" s="96">
        <v>-3.9100000000000003E-2</v>
      </c>
    </row>
    <row r="366" spans="1:16">
      <c r="A366" s="112">
        <v>43922</v>
      </c>
      <c r="B366" s="113">
        <v>43922</v>
      </c>
      <c r="C366" s="114">
        <v>18.84</v>
      </c>
      <c r="D366" s="114">
        <v>20.100000000000001</v>
      </c>
      <c r="E366" s="115">
        <v>-6.2700000000000006E-2</v>
      </c>
      <c r="F366" s="116"/>
      <c r="G366" s="113">
        <v>43922</v>
      </c>
      <c r="H366" s="114">
        <v>34.15</v>
      </c>
      <c r="I366" s="118"/>
      <c r="J366" s="119">
        <v>43922</v>
      </c>
      <c r="K366" s="120">
        <v>69.34</v>
      </c>
      <c r="L366" s="120">
        <v>81.760000000000005</v>
      </c>
      <c r="M366" s="118"/>
      <c r="N366" s="121">
        <v>43922</v>
      </c>
      <c r="O366" s="95">
        <v>84.561899999999994</v>
      </c>
      <c r="P366" s="96">
        <v>-0.13189999999999999</v>
      </c>
    </row>
    <row r="367" spans="1:16">
      <c r="A367" s="123">
        <v>43952</v>
      </c>
      <c r="B367" s="124">
        <v>43952</v>
      </c>
      <c r="C367" s="114">
        <v>35.49</v>
      </c>
      <c r="D367" s="114">
        <v>19.04</v>
      </c>
      <c r="E367" s="115">
        <v>0.86399999999999999</v>
      </c>
      <c r="F367" s="116"/>
      <c r="G367" s="124">
        <v>43952</v>
      </c>
      <c r="H367" s="114">
        <v>27.51</v>
      </c>
      <c r="I367" s="118"/>
      <c r="J367" s="119">
        <v>43952</v>
      </c>
      <c r="K367" s="120">
        <v>68.510000000000005</v>
      </c>
      <c r="L367" s="120">
        <v>83.36</v>
      </c>
      <c r="M367" s="118"/>
      <c r="N367" s="121">
        <v>43952</v>
      </c>
      <c r="O367" s="95">
        <v>85.960400000000007</v>
      </c>
      <c r="P367" s="96">
        <v>1.6500000000000001E-2</v>
      </c>
    </row>
    <row r="368" spans="1:16">
      <c r="A368" s="112">
        <v>43983</v>
      </c>
      <c r="B368" s="113">
        <v>43983</v>
      </c>
      <c r="C368" s="114">
        <v>39.270000000000003</v>
      </c>
      <c r="D368" s="114">
        <v>35.21</v>
      </c>
      <c r="E368" s="115">
        <v>0.1153</v>
      </c>
      <c r="F368" s="116"/>
      <c r="G368" s="113">
        <v>43983</v>
      </c>
      <c r="H368" s="114">
        <v>30.43</v>
      </c>
      <c r="I368" s="118"/>
      <c r="J368" s="119">
        <v>43983</v>
      </c>
      <c r="K368" s="120">
        <v>71.23</v>
      </c>
      <c r="L368" s="120">
        <v>85.87</v>
      </c>
      <c r="M368" s="118"/>
      <c r="N368" s="121">
        <v>43983</v>
      </c>
      <c r="O368" s="95">
        <v>91.593400000000003</v>
      </c>
      <c r="P368" s="96">
        <v>6.5500000000000003E-2</v>
      </c>
    </row>
    <row r="369" spans="1:16">
      <c r="A369" s="112">
        <v>44013</v>
      </c>
      <c r="B369" s="113">
        <v>44013</v>
      </c>
      <c r="C369" s="114">
        <v>40.270000000000003</v>
      </c>
      <c r="D369" s="114">
        <v>39.840000000000003</v>
      </c>
      <c r="E369" s="115">
        <v>1.0800000000000001E-2</v>
      </c>
      <c r="F369" s="116"/>
      <c r="G369" s="113">
        <v>44013</v>
      </c>
      <c r="H369" s="114">
        <v>24.46</v>
      </c>
      <c r="I369" s="118"/>
      <c r="J369" s="119">
        <v>44013</v>
      </c>
      <c r="K369" s="120">
        <v>66.47</v>
      </c>
      <c r="L369" s="120">
        <v>88.74</v>
      </c>
      <c r="M369" s="118"/>
      <c r="N369" s="121">
        <v>44013</v>
      </c>
      <c r="O369" s="95">
        <v>95.025599999999997</v>
      </c>
      <c r="P369" s="96">
        <v>3.7499999999999999E-2</v>
      </c>
    </row>
    <row r="370" spans="1:16">
      <c r="A370" s="112">
        <v>44044</v>
      </c>
      <c r="B370" s="113">
        <v>44044</v>
      </c>
      <c r="C370" s="114">
        <v>42.61</v>
      </c>
      <c r="D370" s="114">
        <v>40.39</v>
      </c>
      <c r="E370" s="115">
        <v>5.5E-2</v>
      </c>
      <c r="F370" s="116"/>
      <c r="G370" s="113">
        <v>44044</v>
      </c>
      <c r="H370" s="114">
        <v>26.41</v>
      </c>
      <c r="I370" s="118"/>
      <c r="J370" s="119">
        <v>44044</v>
      </c>
      <c r="K370" s="120">
        <v>65.47</v>
      </c>
      <c r="L370" s="120">
        <v>90.01</v>
      </c>
      <c r="M370" s="118"/>
      <c r="N370" s="121">
        <v>44044</v>
      </c>
      <c r="O370" s="95">
        <v>95.954899999999995</v>
      </c>
      <c r="P370" s="96">
        <v>9.7999999999999997E-3</v>
      </c>
    </row>
    <row r="371" spans="1:16">
      <c r="A371" s="112">
        <v>44075</v>
      </c>
      <c r="B371" s="113">
        <v>44075</v>
      </c>
      <c r="C371" s="114">
        <v>40.22</v>
      </c>
      <c r="D371" s="114">
        <v>42.83</v>
      </c>
      <c r="E371" s="115">
        <v>-6.0900000000000003E-2</v>
      </c>
      <c r="F371" s="116"/>
      <c r="G371" s="113">
        <v>44075</v>
      </c>
      <c r="H371" s="114">
        <v>26.37</v>
      </c>
      <c r="I371" s="118"/>
      <c r="J371" s="119">
        <v>44075</v>
      </c>
      <c r="K371" s="120">
        <v>80.38</v>
      </c>
      <c r="L371" s="120">
        <v>101.26</v>
      </c>
      <c r="M371" s="118"/>
      <c r="N371" s="121">
        <v>44075</v>
      </c>
      <c r="O371" s="95">
        <v>95.966899999999995</v>
      </c>
      <c r="P371" s="96">
        <v>1E-4</v>
      </c>
    </row>
    <row r="372" spans="1:16">
      <c r="A372" s="112">
        <v>44105</v>
      </c>
      <c r="B372" s="113">
        <v>44105</v>
      </c>
      <c r="C372" s="114">
        <v>35.79</v>
      </c>
      <c r="D372" s="114">
        <v>39.9</v>
      </c>
      <c r="E372" s="115">
        <v>-0.10299999999999999</v>
      </c>
      <c r="F372" s="116"/>
      <c r="G372" s="113">
        <v>44105</v>
      </c>
      <c r="H372" s="114">
        <v>38.020000000000003</v>
      </c>
      <c r="I372" s="118"/>
      <c r="J372" s="119">
        <v>44105</v>
      </c>
      <c r="K372" s="120">
        <v>76.08</v>
      </c>
      <c r="L372" s="120">
        <v>97.65</v>
      </c>
      <c r="M372" s="118"/>
      <c r="N372" s="121">
        <v>44105</v>
      </c>
      <c r="O372" s="95">
        <v>96.739400000000003</v>
      </c>
      <c r="P372" s="96">
        <v>8.0000000000000002E-3</v>
      </c>
    </row>
    <row r="373" spans="1:16">
      <c r="A373" s="112">
        <v>44136</v>
      </c>
      <c r="B373" s="113">
        <v>44136</v>
      </c>
      <c r="C373" s="114">
        <v>45.34</v>
      </c>
      <c r="D373" s="114">
        <v>35.24</v>
      </c>
      <c r="E373" s="115">
        <v>0.28660000000000002</v>
      </c>
      <c r="F373" s="116"/>
      <c r="G373" s="113">
        <v>44136</v>
      </c>
      <c r="H373" s="114">
        <v>20.57</v>
      </c>
      <c r="I373" s="118"/>
      <c r="J373" s="119">
        <v>44136</v>
      </c>
      <c r="K373" s="120">
        <v>70.069999999999993</v>
      </c>
      <c r="L373" s="120">
        <v>79.040000000000006</v>
      </c>
      <c r="M373" s="118"/>
      <c r="N373" s="121">
        <v>44136</v>
      </c>
      <c r="O373" s="95">
        <v>97.081599999999995</v>
      </c>
      <c r="P373" s="96">
        <v>3.5000000000000001E-3</v>
      </c>
    </row>
    <row r="374" spans="1:16">
      <c r="A374" s="112">
        <v>44166</v>
      </c>
      <c r="B374" s="113">
        <v>44166</v>
      </c>
      <c r="C374" s="114">
        <v>48.52</v>
      </c>
      <c r="D374" s="114">
        <v>45.08</v>
      </c>
      <c r="E374" s="115">
        <v>7.6300000000000007E-2</v>
      </c>
      <c r="F374" s="116"/>
      <c r="G374" s="113">
        <v>44166</v>
      </c>
      <c r="H374" s="114">
        <v>22.75</v>
      </c>
      <c r="I374" s="118"/>
      <c r="J374" s="119">
        <v>44166</v>
      </c>
      <c r="K374" s="120">
        <v>64.069999999999993</v>
      </c>
      <c r="L374" s="120">
        <v>86.82</v>
      </c>
      <c r="M374" s="118"/>
      <c r="N374" s="121">
        <v>44166</v>
      </c>
      <c r="O374" s="95">
        <v>98.363</v>
      </c>
      <c r="P374" s="96">
        <v>1.32E-2</v>
      </c>
    </row>
    <row r="375" spans="1:16">
      <c r="A375" s="112">
        <v>44197</v>
      </c>
      <c r="B375" s="113">
        <v>44197</v>
      </c>
      <c r="C375" s="114">
        <v>52.2</v>
      </c>
      <c r="D375" s="114">
        <v>48.4</v>
      </c>
      <c r="E375" s="115">
        <v>7.85E-2</v>
      </c>
      <c r="F375" s="116"/>
      <c r="G375" s="113">
        <v>44197</v>
      </c>
      <c r="H375" s="114">
        <v>33.090000000000003</v>
      </c>
      <c r="I375" s="118"/>
      <c r="J375" s="119">
        <v>44197</v>
      </c>
      <c r="K375" s="120">
        <v>77.42</v>
      </c>
      <c r="L375" s="120">
        <v>98.48</v>
      </c>
      <c r="M375" s="118"/>
      <c r="N375" s="121">
        <v>44197</v>
      </c>
      <c r="O375" s="95">
        <v>98.882199999999997</v>
      </c>
      <c r="P375" s="96">
        <v>5.3E-3</v>
      </c>
    </row>
    <row r="376" spans="1:16">
      <c r="A376" s="112">
        <v>44228</v>
      </c>
      <c r="B376" s="113">
        <v>44228</v>
      </c>
      <c r="C376" s="114">
        <v>61.5</v>
      </c>
      <c r="D376" s="114">
        <v>51.99</v>
      </c>
      <c r="E376" s="115">
        <v>0.18290000000000001</v>
      </c>
      <c r="F376" s="116"/>
      <c r="G376" s="113">
        <v>44228</v>
      </c>
      <c r="H376" s="114">
        <v>27.95</v>
      </c>
      <c r="I376" s="118"/>
      <c r="J376" s="119">
        <v>44228</v>
      </c>
      <c r="K376" s="120">
        <v>73.959999999999994</v>
      </c>
      <c r="L376" s="120">
        <v>94.48</v>
      </c>
      <c r="M376" s="118"/>
      <c r="N376" s="121">
        <v>44228</v>
      </c>
      <c r="O376" s="95">
        <v>95.614900000000006</v>
      </c>
      <c r="P376" s="96">
        <v>-3.3000000000000002E-2</v>
      </c>
    </row>
    <row r="377" spans="1:16">
      <c r="A377" s="112">
        <v>44256</v>
      </c>
      <c r="B377" s="113">
        <v>44256</v>
      </c>
      <c r="C377" s="114">
        <v>59.16</v>
      </c>
      <c r="D377" s="114">
        <v>61.95</v>
      </c>
      <c r="E377" s="115">
        <v>-4.4999999999999998E-2</v>
      </c>
      <c r="F377" s="116"/>
      <c r="G377" s="113">
        <v>44256</v>
      </c>
      <c r="H377" s="114">
        <v>19.399999999999999</v>
      </c>
      <c r="I377" s="118"/>
      <c r="J377" s="119">
        <v>44256</v>
      </c>
      <c r="K377" s="120">
        <v>78.62</v>
      </c>
      <c r="L377" s="120">
        <v>100.85</v>
      </c>
      <c r="M377" s="118"/>
      <c r="N377" s="121">
        <v>44256</v>
      </c>
      <c r="O377" s="95">
        <v>98.385599999999997</v>
      </c>
      <c r="P377" s="96">
        <v>2.9000000000000001E-2</v>
      </c>
    </row>
    <row r="378" spans="1:16">
      <c r="A378" s="112">
        <v>44287</v>
      </c>
      <c r="B378" s="113">
        <v>44287</v>
      </c>
      <c r="C378" s="114">
        <v>63.58</v>
      </c>
      <c r="D378" s="114">
        <v>59.49</v>
      </c>
      <c r="E378" s="115">
        <v>6.88E-2</v>
      </c>
      <c r="F378" s="116"/>
      <c r="G378" s="113">
        <v>44287</v>
      </c>
      <c r="H378" s="114">
        <v>18.61</v>
      </c>
      <c r="I378" s="118"/>
      <c r="J378" s="119">
        <v>44287</v>
      </c>
      <c r="K378" s="120">
        <v>88.17</v>
      </c>
      <c r="L378" s="120">
        <v>109.59</v>
      </c>
      <c r="M378" s="118"/>
      <c r="N378" s="121">
        <v>44287</v>
      </c>
      <c r="O378" s="95">
        <v>98.558700000000002</v>
      </c>
      <c r="P378" s="96">
        <v>1.8E-3</v>
      </c>
    </row>
    <row r="379" spans="1:16">
      <c r="A379" s="123">
        <v>44317</v>
      </c>
      <c r="B379" s="124">
        <v>44317</v>
      </c>
      <c r="C379" s="114">
        <v>66.319999999999993</v>
      </c>
      <c r="D379" s="114">
        <v>63.64</v>
      </c>
      <c r="E379" s="115">
        <v>4.2099999999999999E-2</v>
      </c>
      <c r="F379" s="116"/>
      <c r="G379" s="124">
        <v>44317</v>
      </c>
      <c r="H379" s="114">
        <v>16.760000000000002</v>
      </c>
      <c r="I379" s="118"/>
      <c r="J379" s="119">
        <v>44317</v>
      </c>
      <c r="K379" s="120">
        <v>93.01</v>
      </c>
      <c r="L379" s="120">
        <v>120.78</v>
      </c>
      <c r="M379" s="118"/>
      <c r="N379" s="121">
        <v>44317</v>
      </c>
      <c r="O379" s="95">
        <v>99.433300000000003</v>
      </c>
      <c r="P379" s="96">
        <v>8.8999999999999999E-3</v>
      </c>
    </row>
    <row r="380" spans="1:16">
      <c r="A380" s="112">
        <v>44348</v>
      </c>
      <c r="B380" s="113">
        <v>44348</v>
      </c>
      <c r="C380" s="114">
        <v>73.47</v>
      </c>
      <c r="D380" s="114">
        <v>66.680000000000007</v>
      </c>
      <c r="E380" s="115">
        <v>0.1018</v>
      </c>
      <c r="F380" s="116"/>
      <c r="G380" s="113">
        <v>44348</v>
      </c>
      <c r="H380" s="114">
        <v>15.83</v>
      </c>
      <c r="I380" s="118"/>
      <c r="J380" s="119">
        <v>44348</v>
      </c>
      <c r="K380" s="120">
        <v>74.13</v>
      </c>
      <c r="L380" s="120">
        <v>92.55</v>
      </c>
      <c r="M380" s="118"/>
      <c r="N380" s="121">
        <v>44348</v>
      </c>
      <c r="O380" s="95">
        <v>99.798699999999997</v>
      </c>
      <c r="P380" s="96">
        <v>3.7000000000000002E-3</v>
      </c>
    </row>
    <row r="381" spans="1:16">
      <c r="A381" s="112">
        <v>44378</v>
      </c>
      <c r="B381" s="113">
        <v>44378</v>
      </c>
      <c r="C381" s="114">
        <v>73.95</v>
      </c>
      <c r="D381" s="114">
        <v>73.5</v>
      </c>
      <c r="E381" s="115">
        <v>6.1000000000000004E-3</v>
      </c>
      <c r="F381" s="116"/>
      <c r="G381" s="113">
        <v>44378</v>
      </c>
      <c r="H381" s="114">
        <v>18.239999999999998</v>
      </c>
      <c r="I381" s="118"/>
      <c r="J381" s="119">
        <v>44378</v>
      </c>
      <c r="K381" s="120">
        <v>58.42</v>
      </c>
      <c r="L381" s="120">
        <v>64.040000000000006</v>
      </c>
      <c r="M381" s="118"/>
      <c r="N381" s="121">
        <v>44378</v>
      </c>
      <c r="O381" s="95">
        <v>100.25190000000001</v>
      </c>
      <c r="P381" s="96">
        <v>4.4999999999999997E-3</v>
      </c>
    </row>
    <row r="382" spans="1:16">
      <c r="A382" s="112">
        <v>44409</v>
      </c>
      <c r="B382" s="113">
        <v>44409</v>
      </c>
      <c r="C382" s="114">
        <v>68.5</v>
      </c>
      <c r="D382" s="114">
        <v>73.91</v>
      </c>
      <c r="E382" s="115">
        <v>-7.3200000000000001E-2</v>
      </c>
      <c r="F382" s="116"/>
      <c r="G382" s="113">
        <v>44409</v>
      </c>
      <c r="H382" s="114">
        <v>16.48</v>
      </c>
      <c r="I382" s="118"/>
      <c r="J382" s="119">
        <v>44409</v>
      </c>
      <c r="K382" s="120">
        <v>89.49</v>
      </c>
      <c r="L382" s="120">
        <v>103.2</v>
      </c>
      <c r="M382" s="118"/>
      <c r="N382" s="121">
        <v>44409</v>
      </c>
      <c r="O382" s="95">
        <v>100.0437</v>
      </c>
      <c r="P382" s="96">
        <v>-2.0999999999999999E-3</v>
      </c>
    </row>
    <row r="383" spans="1:16">
      <c r="A383" s="112">
        <v>44440</v>
      </c>
      <c r="B383" s="113">
        <v>44440</v>
      </c>
      <c r="C383" s="114">
        <v>75.03</v>
      </c>
      <c r="D383" s="114">
        <v>68.55</v>
      </c>
      <c r="E383" s="115">
        <v>9.4500000000000001E-2</v>
      </c>
      <c r="F383" s="116"/>
      <c r="G383" s="113">
        <v>44440</v>
      </c>
      <c r="H383" s="114">
        <v>23.14</v>
      </c>
      <c r="I383" s="118"/>
      <c r="J383" s="119">
        <v>44440</v>
      </c>
      <c r="K383" s="120">
        <v>80.7</v>
      </c>
      <c r="L383" s="120">
        <v>92.05</v>
      </c>
      <c r="M383" s="118"/>
      <c r="N383" s="121">
        <v>44440</v>
      </c>
      <c r="O383" s="95">
        <v>98.857900000000001</v>
      </c>
      <c r="P383" s="96">
        <v>-1.1900000000000001E-2</v>
      </c>
    </row>
    <row r="384" spans="1:16">
      <c r="A384" s="112">
        <v>44470</v>
      </c>
      <c r="B384" s="113">
        <v>44470</v>
      </c>
      <c r="C384" s="114">
        <v>83.57</v>
      </c>
      <c r="D384" s="114">
        <v>75.12</v>
      </c>
      <c r="E384" s="115">
        <v>0.1125</v>
      </c>
      <c r="F384" s="116"/>
      <c r="G384" s="113">
        <v>44470</v>
      </c>
      <c r="H384" s="114">
        <v>16.260000000000002</v>
      </c>
      <c r="I384" s="118"/>
      <c r="J384" s="119">
        <v>44470</v>
      </c>
      <c r="K384" s="120">
        <v>79.03</v>
      </c>
      <c r="L384" s="120">
        <v>93.81</v>
      </c>
      <c r="M384" s="118"/>
      <c r="N384" s="121">
        <v>44470</v>
      </c>
      <c r="O384" s="95">
        <v>100.1861</v>
      </c>
      <c r="P384" s="96">
        <v>1.34E-2</v>
      </c>
    </row>
    <row r="385" spans="1:16">
      <c r="A385" s="112">
        <v>44501</v>
      </c>
      <c r="B385" s="113">
        <v>44501</v>
      </c>
      <c r="C385" s="114">
        <v>66.180000000000007</v>
      </c>
      <c r="D385" s="114">
        <v>83.36</v>
      </c>
      <c r="E385" s="115">
        <v>-0.20610000000000001</v>
      </c>
      <c r="F385" s="116"/>
      <c r="G385" s="113">
        <v>44501</v>
      </c>
      <c r="H385" s="114">
        <v>27.19</v>
      </c>
      <c r="I385" s="118"/>
      <c r="J385" s="119">
        <v>44501</v>
      </c>
      <c r="K385" s="120">
        <v>86.57</v>
      </c>
      <c r="L385" s="120">
        <v>121.5</v>
      </c>
      <c r="M385" s="118"/>
      <c r="N385" s="121">
        <v>44501</v>
      </c>
      <c r="O385" s="95">
        <v>100.86539999999999</v>
      </c>
      <c r="P385" s="96">
        <v>6.7999999999999996E-3</v>
      </c>
    </row>
    <row r="386" spans="1:16">
      <c r="A386" s="112">
        <v>44531</v>
      </c>
      <c r="B386" s="113">
        <v>44531</v>
      </c>
      <c r="C386" s="114">
        <v>75.209999999999994</v>
      </c>
      <c r="D386" s="114">
        <v>67.010000000000005</v>
      </c>
      <c r="E386" s="115">
        <v>0.12239999999999999</v>
      </c>
      <c r="F386" s="116"/>
      <c r="G386" s="113">
        <v>44531</v>
      </c>
      <c r="H386" s="114">
        <v>17.22</v>
      </c>
      <c r="I386" s="118"/>
      <c r="J386" s="119">
        <v>44531</v>
      </c>
      <c r="K386" s="120">
        <v>105.35</v>
      </c>
      <c r="L386" s="120">
        <v>155.31</v>
      </c>
      <c r="M386" s="118"/>
      <c r="N386" s="121">
        <v>44531</v>
      </c>
      <c r="O386" s="95">
        <v>100.57259999999999</v>
      </c>
      <c r="P386" s="96">
        <v>-2.8999999999999998E-3</v>
      </c>
    </row>
    <row r="387" spans="1:16">
      <c r="A387" s="112">
        <v>44562</v>
      </c>
      <c r="B387" s="113">
        <v>44562</v>
      </c>
      <c r="C387" s="114">
        <v>88.15</v>
      </c>
      <c r="D387" s="114">
        <v>75.69</v>
      </c>
      <c r="E387" s="115">
        <v>0.1646</v>
      </c>
      <c r="F387" s="116"/>
      <c r="G387" s="113">
        <v>44562</v>
      </c>
      <c r="H387" s="114">
        <v>24.83</v>
      </c>
      <c r="I387" s="118"/>
      <c r="J387" s="119">
        <v>44562</v>
      </c>
      <c r="K387" s="120">
        <v>138.66999999999999</v>
      </c>
      <c r="L387" s="120">
        <v>199.49</v>
      </c>
      <c r="M387" s="118"/>
      <c r="N387" s="121">
        <v>44562</v>
      </c>
      <c r="O387" s="95">
        <v>100.18559999999999</v>
      </c>
      <c r="P387" s="96">
        <v>-3.8E-3</v>
      </c>
    </row>
    <row r="388" spans="1:16">
      <c r="A388" s="112">
        <v>44593</v>
      </c>
      <c r="B388" s="113">
        <v>44593</v>
      </c>
      <c r="C388" s="114">
        <v>95.72</v>
      </c>
      <c r="D388" s="114">
        <v>88.15</v>
      </c>
      <c r="E388" s="115">
        <v>8.5900000000000004E-2</v>
      </c>
      <c r="F388" s="116"/>
      <c r="G388" s="113">
        <v>44593</v>
      </c>
      <c r="H388" s="114">
        <v>30.15</v>
      </c>
      <c r="I388" s="118"/>
      <c r="J388" s="119">
        <v>44593</v>
      </c>
      <c r="K388" s="120">
        <v>216.16</v>
      </c>
      <c r="L388" s="120">
        <v>320.61</v>
      </c>
      <c r="M388" s="118"/>
      <c r="N388" s="121">
        <v>44593</v>
      </c>
      <c r="O388" s="95">
        <v>100.8064</v>
      </c>
      <c r="P388" s="96">
        <v>6.1999999999999998E-3</v>
      </c>
    </row>
    <row r="389" spans="1:16">
      <c r="A389" s="112">
        <v>44621</v>
      </c>
      <c r="B389" s="113">
        <v>44621</v>
      </c>
      <c r="C389" s="114">
        <v>100.28</v>
      </c>
      <c r="D389" s="114">
        <v>96.09</v>
      </c>
      <c r="E389" s="115">
        <v>4.36E-2</v>
      </c>
      <c r="F389" s="116"/>
      <c r="G389" s="113">
        <v>44621</v>
      </c>
      <c r="H389" s="114">
        <v>20.56</v>
      </c>
      <c r="I389" s="118"/>
      <c r="J389" s="119">
        <v>44621</v>
      </c>
      <c r="K389" s="120">
        <v>318.95</v>
      </c>
      <c r="L389" s="120">
        <v>403.71</v>
      </c>
      <c r="M389" s="118"/>
      <c r="N389" s="121">
        <v>44621</v>
      </c>
      <c r="O389" s="95">
        <v>101.3907</v>
      </c>
      <c r="P389" s="96">
        <v>5.7999999999999996E-3</v>
      </c>
    </row>
    <row r="390" spans="1:16">
      <c r="A390" s="112">
        <v>44652</v>
      </c>
      <c r="B390" s="113">
        <v>44652</v>
      </c>
      <c r="C390" s="114">
        <v>104.69</v>
      </c>
      <c r="D390" s="114">
        <v>101.23</v>
      </c>
      <c r="E390" s="115">
        <v>3.4200000000000001E-2</v>
      </c>
      <c r="F390" s="116"/>
      <c r="G390" s="113">
        <v>44652</v>
      </c>
      <c r="H390" s="114">
        <v>33.4</v>
      </c>
      <c r="I390" s="118"/>
      <c r="J390" s="119">
        <v>44652</v>
      </c>
      <c r="K390" s="120">
        <v>191.14</v>
      </c>
      <c r="L390" s="120">
        <v>221.91</v>
      </c>
      <c r="M390" s="118"/>
      <c r="N390" s="121">
        <v>44652</v>
      </c>
      <c r="O390" s="95">
        <v>101.44</v>
      </c>
      <c r="P390" s="96">
        <v>5.0000000000000001E-4</v>
      </c>
    </row>
    <row r="391" spans="1:16">
      <c r="A391" s="123">
        <v>44682</v>
      </c>
      <c r="B391" s="124">
        <v>44682</v>
      </c>
      <c r="C391" s="114">
        <v>114.67</v>
      </c>
      <c r="D391" s="114">
        <v>104</v>
      </c>
      <c r="E391" s="115">
        <v>0.1026</v>
      </c>
      <c r="F391" s="116"/>
      <c r="G391" s="124">
        <v>44682</v>
      </c>
      <c r="H391" s="114">
        <v>26.19</v>
      </c>
      <c r="I391" s="118"/>
      <c r="J391" s="119">
        <v>44682</v>
      </c>
      <c r="K391" s="120">
        <v>142.26</v>
      </c>
      <c r="L391" s="120">
        <v>166.42</v>
      </c>
      <c r="M391" s="118"/>
      <c r="N391" s="121">
        <v>44682</v>
      </c>
      <c r="O391" s="95">
        <v>101.3335</v>
      </c>
      <c r="P391" s="96">
        <v>-1E-3</v>
      </c>
    </row>
    <row r="392" spans="1:16">
      <c r="A392" s="112">
        <v>44713</v>
      </c>
      <c r="B392" s="113">
        <v>44713</v>
      </c>
      <c r="C392" s="114">
        <v>105.76</v>
      </c>
      <c r="D392" s="114">
        <v>115.4</v>
      </c>
      <c r="E392" s="115">
        <v>-8.3500000000000005E-2</v>
      </c>
      <c r="F392" s="116"/>
      <c r="G392" s="113">
        <v>44713</v>
      </c>
      <c r="H392" s="114">
        <v>28.71</v>
      </c>
      <c r="I392" s="118"/>
      <c r="J392" s="119">
        <v>44713</v>
      </c>
      <c r="K392" s="120">
        <v>130.71</v>
      </c>
      <c r="L392" s="120">
        <v>160.72999999999999</v>
      </c>
      <c r="M392" s="118"/>
      <c r="N392" s="121">
        <v>44713</v>
      </c>
      <c r="O392" s="95">
        <v>101.018</v>
      </c>
      <c r="P392" s="96">
        <v>-3.0999999999999999E-3</v>
      </c>
    </row>
    <row r="393" spans="1:16">
      <c r="A393" s="112">
        <v>44743</v>
      </c>
      <c r="B393" s="113">
        <v>44743</v>
      </c>
      <c r="C393" s="114">
        <v>98.62</v>
      </c>
      <c r="D393" s="114">
        <v>106.01</v>
      </c>
      <c r="E393" s="115">
        <v>-6.9699999999999998E-2</v>
      </c>
      <c r="F393" s="116"/>
      <c r="G393" s="113">
        <v>44743</v>
      </c>
      <c r="H393" s="114">
        <v>21.33</v>
      </c>
      <c r="I393" s="118"/>
      <c r="J393" s="119">
        <v>44743</v>
      </c>
      <c r="K393" s="120">
        <v>117.18</v>
      </c>
      <c r="L393" s="120">
        <v>141.24</v>
      </c>
      <c r="M393" s="118"/>
      <c r="N393" s="121">
        <v>44743</v>
      </c>
      <c r="O393" s="95">
        <v>101.223</v>
      </c>
      <c r="P393" s="96">
        <v>2E-3</v>
      </c>
    </row>
    <row r="394" spans="1:16">
      <c r="A394" s="112">
        <v>44774</v>
      </c>
      <c r="B394" s="113">
        <v>44774</v>
      </c>
      <c r="C394" s="114">
        <v>89.55</v>
      </c>
      <c r="D394" s="114">
        <v>98.46</v>
      </c>
      <c r="E394" s="115">
        <v>-9.0499999999999997E-2</v>
      </c>
      <c r="F394" s="116"/>
      <c r="G394" s="113">
        <v>44774</v>
      </c>
      <c r="H394" s="114">
        <v>25.87</v>
      </c>
      <c r="I394" s="118"/>
      <c r="J394" s="119">
        <v>44774</v>
      </c>
      <c r="K394" s="120">
        <v>132.86000000000001</v>
      </c>
      <c r="L394" s="120">
        <v>159.38</v>
      </c>
      <c r="M394" s="118"/>
      <c r="N394" s="121">
        <v>44774</v>
      </c>
      <c r="O394" s="95">
        <v>101.0963</v>
      </c>
      <c r="P394" s="96">
        <v>-1.2999999999999999E-3</v>
      </c>
    </row>
    <row r="395" spans="1:16">
      <c r="A395" s="112">
        <v>44805</v>
      </c>
      <c r="B395" s="113">
        <v>44805</v>
      </c>
      <c r="C395" s="114">
        <v>79.489999999999995</v>
      </c>
      <c r="D395" s="114">
        <v>88.83</v>
      </c>
      <c r="E395" s="115">
        <v>-0.1051</v>
      </c>
      <c r="F395" s="116"/>
      <c r="G395" s="113">
        <v>44805</v>
      </c>
      <c r="H395" s="114">
        <v>31.62</v>
      </c>
      <c r="I395" s="118"/>
      <c r="J395" s="119">
        <v>44805</v>
      </c>
      <c r="K395" s="120">
        <v>131.99</v>
      </c>
      <c r="L395" s="120">
        <v>170.31</v>
      </c>
      <c r="M395" s="118"/>
      <c r="N395" s="121">
        <v>44805</v>
      </c>
      <c r="O395" s="95">
        <v>101.29179999999999</v>
      </c>
      <c r="P395" s="96">
        <v>1.9E-3</v>
      </c>
    </row>
    <row r="396" spans="1:16">
      <c r="A396" s="112">
        <v>44835</v>
      </c>
      <c r="B396" s="113">
        <v>44835</v>
      </c>
      <c r="C396" s="114">
        <v>86.53</v>
      </c>
      <c r="D396" s="114">
        <v>81.02</v>
      </c>
      <c r="E396" s="115">
        <v>6.8000000000000005E-2</v>
      </c>
      <c r="F396" s="116"/>
      <c r="G396" s="113">
        <v>44835</v>
      </c>
      <c r="H396" s="114">
        <v>25.88</v>
      </c>
      <c r="I396" s="118"/>
      <c r="J396" s="119">
        <v>44835</v>
      </c>
      <c r="K396" s="120">
        <v>143.16</v>
      </c>
      <c r="L396" s="120">
        <v>185.28</v>
      </c>
      <c r="M396" s="118"/>
      <c r="N396" s="121">
        <v>44835</v>
      </c>
      <c r="O396" s="95">
        <v>101.2529</v>
      </c>
      <c r="P396" s="96">
        <v>-4.0000000000000002E-4</v>
      </c>
    </row>
    <row r="397" spans="1:16">
      <c r="A397" s="112">
        <v>44866</v>
      </c>
      <c r="B397" s="113">
        <v>44866</v>
      </c>
      <c r="C397" s="114">
        <v>80.56</v>
      </c>
      <c r="D397" s="114">
        <v>86.17</v>
      </c>
      <c r="E397" s="115">
        <v>-6.5100000000000005E-2</v>
      </c>
      <c r="F397" s="116"/>
      <c r="G397" s="113">
        <v>44866</v>
      </c>
      <c r="H397" s="114">
        <v>20.58</v>
      </c>
      <c r="I397" s="118"/>
      <c r="J397" s="119">
        <v>44866</v>
      </c>
      <c r="K397" s="120">
        <v>116.72</v>
      </c>
      <c r="L397" s="120">
        <v>143.05000000000001</v>
      </c>
      <c r="M397" s="118"/>
      <c r="N397" s="121">
        <v>44866</v>
      </c>
      <c r="O397" s="95">
        <v>100.9552</v>
      </c>
      <c r="P397" s="96">
        <v>-2.8999999999999998E-3</v>
      </c>
    </row>
    <row r="398" spans="1:16">
      <c r="A398" s="112">
        <v>44896</v>
      </c>
      <c r="B398" s="113">
        <v>44896</v>
      </c>
      <c r="C398" s="114">
        <v>80.47</v>
      </c>
      <c r="D398" s="114">
        <v>80.56</v>
      </c>
      <c r="E398" s="115">
        <v>-1.1000000000000001E-3</v>
      </c>
      <c r="F398" s="116"/>
      <c r="G398" s="113">
        <v>44896</v>
      </c>
      <c r="H398" s="114">
        <v>21.67</v>
      </c>
      <c r="I398" s="118"/>
      <c r="J398" s="119">
        <v>44896</v>
      </c>
      <c r="K398" s="120">
        <v>111.2</v>
      </c>
      <c r="L398" s="120">
        <v>119.14</v>
      </c>
      <c r="M398" s="118"/>
      <c r="N398" s="121">
        <v>44896</v>
      </c>
      <c r="O398" s="95">
        <v>99.766400000000004</v>
      </c>
      <c r="P398" s="96">
        <v>-1.18E-2</v>
      </c>
    </row>
    <row r="399" spans="1:16">
      <c r="A399" s="112">
        <v>44927</v>
      </c>
      <c r="B399" s="113">
        <v>44927</v>
      </c>
      <c r="C399" s="114">
        <v>80.11</v>
      </c>
      <c r="D399" s="114">
        <v>80.569999999999993</v>
      </c>
      <c r="E399" s="115">
        <v>-5.7000000000000002E-3</v>
      </c>
      <c r="F399" s="116"/>
      <c r="G399" s="113">
        <v>44927</v>
      </c>
      <c r="H399" s="114">
        <v>19.399999999999999</v>
      </c>
      <c r="I399" s="118"/>
      <c r="J399" s="119">
        <v>44927</v>
      </c>
      <c r="K399" s="120">
        <v>104.27</v>
      </c>
      <c r="L399" s="120">
        <v>113.02</v>
      </c>
      <c r="M399" s="118"/>
      <c r="N399" s="121">
        <v>44927</v>
      </c>
      <c r="O399" s="95">
        <v>100.505</v>
      </c>
      <c r="P399" s="96">
        <v>7.4000000000000003E-3</v>
      </c>
    </row>
    <row r="400" spans="1:16">
      <c r="A400" s="112">
        <v>44958</v>
      </c>
      <c r="B400" s="113">
        <v>44958</v>
      </c>
      <c r="C400" s="114">
        <v>77.05</v>
      </c>
      <c r="D400" s="114">
        <v>79.12</v>
      </c>
      <c r="E400" s="115">
        <v>-2.6200000000000001E-2</v>
      </c>
      <c r="F400" s="116"/>
      <c r="G400" s="113">
        <v>44958</v>
      </c>
      <c r="H400" s="114">
        <v>20.7</v>
      </c>
      <c r="I400" s="118"/>
      <c r="J400" s="119">
        <v>44958</v>
      </c>
      <c r="K400" s="120">
        <v>120.99</v>
      </c>
      <c r="L400" s="120">
        <v>147.05000000000001</v>
      </c>
      <c r="M400" s="118"/>
      <c r="N400" s="121">
        <v>44958</v>
      </c>
      <c r="O400" s="95">
        <v>100.6416</v>
      </c>
      <c r="P400" s="96">
        <v>1.4E-3</v>
      </c>
    </row>
    <row r="401" spans="1:16">
      <c r="A401" s="112">
        <v>44986</v>
      </c>
      <c r="B401" s="113">
        <v>44986</v>
      </c>
      <c r="C401" s="114">
        <v>75.67</v>
      </c>
      <c r="D401" s="114">
        <v>76.849999999999994</v>
      </c>
      <c r="E401" s="115">
        <v>-1.54E-2</v>
      </c>
      <c r="F401" s="116"/>
      <c r="G401" s="113">
        <v>44986</v>
      </c>
      <c r="H401" s="114">
        <v>18.7</v>
      </c>
      <c r="I401" s="118"/>
      <c r="J401" s="119">
        <v>44986</v>
      </c>
      <c r="K401" s="120">
        <v>105.38</v>
      </c>
      <c r="L401" s="120">
        <v>125.09</v>
      </c>
      <c r="M401" s="118"/>
      <c r="N401" s="121">
        <v>44986</v>
      </c>
      <c r="O401" s="95">
        <v>101.0205</v>
      </c>
      <c r="P401" s="96">
        <v>3.8E-3</v>
      </c>
    </row>
    <row r="402" spans="1:16">
      <c r="A402" s="112">
        <v>45017</v>
      </c>
      <c r="B402" s="113">
        <v>45017</v>
      </c>
      <c r="C402" s="114">
        <v>76.78</v>
      </c>
      <c r="D402" s="114">
        <v>80.27</v>
      </c>
      <c r="E402" s="115">
        <v>-4.3499999999999997E-2</v>
      </c>
      <c r="F402" s="116"/>
      <c r="G402" s="113">
        <v>45017</v>
      </c>
      <c r="H402" s="114">
        <v>15.78</v>
      </c>
      <c r="I402" s="118"/>
      <c r="J402" s="119">
        <v>45017</v>
      </c>
      <c r="K402" s="120">
        <v>106.81</v>
      </c>
      <c r="L402" s="120">
        <v>118.17</v>
      </c>
      <c r="M402" s="118"/>
      <c r="N402" s="121">
        <v>45017</v>
      </c>
      <c r="O402" s="95">
        <v>101.253</v>
      </c>
      <c r="P402" s="96">
        <v>2.3E-3</v>
      </c>
    </row>
    <row r="403" spans="1:16">
      <c r="A403" s="123">
        <v>45047</v>
      </c>
      <c r="B403" s="124">
        <v>45047</v>
      </c>
      <c r="C403" s="114">
        <v>68.09</v>
      </c>
      <c r="D403" s="114">
        <v>76.13</v>
      </c>
      <c r="E403" s="115">
        <v>-0.1056</v>
      </c>
      <c r="F403" s="116"/>
      <c r="G403" s="124">
        <v>45047</v>
      </c>
      <c r="H403" s="114">
        <v>17.940000000000001</v>
      </c>
      <c r="I403" s="118"/>
      <c r="J403" s="119">
        <v>45047</v>
      </c>
      <c r="K403" s="120">
        <v>108.47</v>
      </c>
      <c r="L403" s="120">
        <v>122.47</v>
      </c>
      <c r="M403" s="118"/>
      <c r="N403" s="121">
        <v>45047</v>
      </c>
      <c r="O403" s="95">
        <v>100.9286</v>
      </c>
      <c r="P403" s="96">
        <v>-3.2000000000000002E-3</v>
      </c>
    </row>
    <row r="404" spans="1:16">
      <c r="A404" s="112">
        <v>45078</v>
      </c>
      <c r="B404" s="113">
        <v>45078</v>
      </c>
      <c r="C404" s="114">
        <v>70.64</v>
      </c>
      <c r="D404" s="114">
        <v>67.599999999999994</v>
      </c>
      <c r="E404" s="115">
        <v>4.4999999999999998E-2</v>
      </c>
      <c r="F404" s="116"/>
      <c r="G404" s="113">
        <v>45078</v>
      </c>
      <c r="H404" s="114">
        <v>13.59</v>
      </c>
      <c r="I404" s="118"/>
      <c r="J404" s="119">
        <v>45078</v>
      </c>
      <c r="K404" s="120">
        <v>110.53</v>
      </c>
      <c r="L404" s="120">
        <v>129.41</v>
      </c>
      <c r="M404" s="118"/>
      <c r="N404" s="121">
        <v>45078</v>
      </c>
      <c r="O404" s="95">
        <v>100.11960000000001</v>
      </c>
      <c r="P404" s="96">
        <v>-8.0000000000000002E-3</v>
      </c>
    </row>
    <row r="405" spans="1:16">
      <c r="A405" s="112">
        <v>45108</v>
      </c>
      <c r="B405" s="113">
        <v>45108</v>
      </c>
      <c r="C405" s="114">
        <v>81.8</v>
      </c>
      <c r="D405" s="114">
        <v>70.459999999999994</v>
      </c>
      <c r="E405" s="115">
        <v>0.16089999999999999</v>
      </c>
      <c r="F405" s="116"/>
      <c r="G405" s="113">
        <v>45108</v>
      </c>
      <c r="H405" s="114">
        <v>13.63</v>
      </c>
      <c r="I405" s="118"/>
      <c r="J405" s="119">
        <v>45108</v>
      </c>
      <c r="K405" s="120">
        <v>107.45</v>
      </c>
      <c r="L405" s="120">
        <v>123.81</v>
      </c>
      <c r="M405" s="118"/>
      <c r="N405" s="121">
        <v>45108</v>
      </c>
      <c r="O405" s="95">
        <v>100.9067</v>
      </c>
      <c r="P405" s="96">
        <v>7.9000000000000008E-3</v>
      </c>
    </row>
    <row r="406" spans="1:16">
      <c r="A406" s="112">
        <v>45139</v>
      </c>
      <c r="B406" s="113">
        <v>45139</v>
      </c>
      <c r="C406" s="114">
        <v>83.63</v>
      </c>
      <c r="D406" s="114">
        <v>81.64</v>
      </c>
      <c r="E406" s="115">
        <v>2.4400000000000002E-2</v>
      </c>
      <c r="F406" s="116"/>
      <c r="G406" s="113">
        <v>45139</v>
      </c>
      <c r="H406" s="114">
        <v>13.57</v>
      </c>
      <c r="I406" s="118"/>
      <c r="J406" s="119">
        <v>45139</v>
      </c>
      <c r="K406" s="120">
        <v>101.14</v>
      </c>
      <c r="L406" s="120">
        <v>117.61</v>
      </c>
      <c r="M406" s="118"/>
      <c r="N406" s="121">
        <v>45139</v>
      </c>
      <c r="O406" s="95">
        <v>100.83929999999999</v>
      </c>
      <c r="P406" s="96">
        <v>-6.9999999999999999E-4</v>
      </c>
    </row>
    <row r="407" spans="1:16">
      <c r="A407" s="112">
        <v>45170</v>
      </c>
      <c r="B407" s="113">
        <v>45170</v>
      </c>
      <c r="C407" s="114">
        <v>90.79</v>
      </c>
      <c r="D407" s="114">
        <v>83.63</v>
      </c>
      <c r="E407" s="115">
        <v>8.5599999999999996E-2</v>
      </c>
      <c r="F407" s="116"/>
      <c r="G407" s="113">
        <v>45170</v>
      </c>
      <c r="H407" s="114">
        <v>17.52</v>
      </c>
      <c r="I407" s="118"/>
      <c r="J407" s="119">
        <v>45170</v>
      </c>
      <c r="K407" s="120">
        <v>98.63</v>
      </c>
      <c r="L407" s="120">
        <v>125.65</v>
      </c>
      <c r="M407" s="118"/>
      <c r="N407" s="121">
        <v>45170</v>
      </c>
      <c r="O407" s="95">
        <v>101.0211</v>
      </c>
      <c r="P407" s="96">
        <v>1.8E-3</v>
      </c>
    </row>
    <row r="408" spans="1:16">
      <c r="A408" s="112">
        <v>45200</v>
      </c>
      <c r="B408" s="113">
        <v>45200</v>
      </c>
      <c r="C408" s="114">
        <v>81.02</v>
      </c>
      <c r="D408" s="114">
        <v>90.88</v>
      </c>
      <c r="E408" s="115">
        <v>-0.1085</v>
      </c>
      <c r="F408" s="116"/>
      <c r="G408" s="113">
        <v>45200</v>
      </c>
      <c r="H408" s="114">
        <v>18.14</v>
      </c>
      <c r="I408" s="118"/>
      <c r="J408" s="119">
        <v>45200</v>
      </c>
      <c r="K408" s="120">
        <v>197.89</v>
      </c>
      <c r="L408" s="120">
        <v>205.04</v>
      </c>
      <c r="M408" s="118"/>
      <c r="N408" s="121">
        <v>45200</v>
      </c>
      <c r="O408" s="95">
        <v>100.4689</v>
      </c>
      <c r="P408" s="96">
        <v>-5.4999999999999997E-3</v>
      </c>
    </row>
    <row r="409" spans="1:16">
      <c r="A409" s="112">
        <v>45231</v>
      </c>
      <c r="B409" s="113">
        <v>45231</v>
      </c>
      <c r="C409" s="114">
        <v>75.959999999999994</v>
      </c>
      <c r="D409" s="114">
        <v>81.31</v>
      </c>
      <c r="E409" s="115">
        <v>-6.5799999999999997E-2</v>
      </c>
      <c r="F409" s="116"/>
      <c r="G409" s="113">
        <v>45231</v>
      </c>
      <c r="H409" s="114">
        <v>12.92</v>
      </c>
      <c r="I409" s="118"/>
      <c r="J409" s="119">
        <v>45231</v>
      </c>
      <c r="K409" s="120">
        <v>156.69999999999999</v>
      </c>
      <c r="L409" s="120">
        <v>143.49</v>
      </c>
      <c r="M409" s="118"/>
      <c r="N409" s="121">
        <v>45231</v>
      </c>
      <c r="O409" s="95">
        <v>100.8639</v>
      </c>
      <c r="P409" s="96">
        <v>3.8999999999999998E-3</v>
      </c>
    </row>
    <row r="410" spans="1:16">
      <c r="A410" s="112">
        <v>45261</v>
      </c>
      <c r="B410" s="113">
        <v>45261</v>
      </c>
      <c r="C410" s="114">
        <v>71.650000000000006</v>
      </c>
      <c r="D410" s="114">
        <v>75.59</v>
      </c>
      <c r="E410" s="115">
        <v>-5.21E-2</v>
      </c>
      <c r="F410" s="116"/>
      <c r="G410" s="113">
        <v>45261</v>
      </c>
      <c r="H410" s="114">
        <v>12.45</v>
      </c>
      <c r="I410" s="118"/>
      <c r="J410" s="119">
        <v>45261</v>
      </c>
      <c r="K410" s="120">
        <v>142.28</v>
      </c>
      <c r="L410" s="120">
        <v>136.18</v>
      </c>
      <c r="M410" s="118"/>
      <c r="N410" s="121">
        <v>45261</v>
      </c>
      <c r="O410" s="95">
        <v>100.6031</v>
      </c>
      <c r="P410" s="96">
        <v>-2.5999999999999999E-3</v>
      </c>
    </row>
    <row r="411" spans="1:16">
      <c r="A411" s="112">
        <v>45292</v>
      </c>
      <c r="B411" s="113">
        <v>45292</v>
      </c>
      <c r="C411" s="114">
        <v>75.849999999999994</v>
      </c>
      <c r="D411" s="114">
        <v>71.709999999999994</v>
      </c>
      <c r="E411" s="115">
        <v>5.7700000000000001E-2</v>
      </c>
      <c r="F411" s="116"/>
      <c r="G411" s="113">
        <v>45292</v>
      </c>
      <c r="H411" s="114">
        <v>14.35</v>
      </c>
      <c r="I411" s="118"/>
      <c r="J411" s="119">
        <v>45292</v>
      </c>
      <c r="K411" s="120">
        <v>160.37</v>
      </c>
      <c r="L411" s="120">
        <v>140.84</v>
      </c>
      <c r="M411" s="118"/>
      <c r="N411" s="121">
        <v>45292</v>
      </c>
      <c r="O411" s="95">
        <v>99.222300000000004</v>
      </c>
      <c r="P411" s="96">
        <v>-1.37E-2</v>
      </c>
    </row>
    <row r="412" spans="1:16">
      <c r="A412" s="112">
        <v>45323</v>
      </c>
      <c r="B412" s="113">
        <v>45323</v>
      </c>
      <c r="C412" s="114">
        <v>78.260000000000005</v>
      </c>
      <c r="D412" s="114">
        <v>75.959999999999994</v>
      </c>
      <c r="E412" s="115">
        <v>3.0300000000000001E-2</v>
      </c>
      <c r="F412" s="116"/>
      <c r="G412" s="113">
        <v>45323</v>
      </c>
      <c r="H412" s="114">
        <v>13.4</v>
      </c>
      <c r="I412" s="118"/>
      <c r="J412" s="119">
        <v>45323</v>
      </c>
      <c r="K412" s="120">
        <v>146.6</v>
      </c>
      <c r="L412" s="120">
        <v>140.24</v>
      </c>
      <c r="M412" s="118"/>
      <c r="N412" s="121">
        <v>45323</v>
      </c>
      <c r="O412" s="95">
        <v>100.285</v>
      </c>
      <c r="P412" s="96">
        <v>1.0699999999999999E-2</v>
      </c>
    </row>
    <row r="413" spans="1:16">
      <c r="A413" s="112">
        <v>45352</v>
      </c>
      <c r="B413" s="113">
        <v>45352</v>
      </c>
      <c r="C413" s="114">
        <v>83.17</v>
      </c>
      <c r="D413" s="114">
        <v>78.28</v>
      </c>
      <c r="E413" s="115">
        <v>6.25E-2</v>
      </c>
      <c r="F413" s="116"/>
      <c r="G413" s="113">
        <v>45352</v>
      </c>
      <c r="H413" s="114">
        <v>13.01</v>
      </c>
      <c r="I413" s="118"/>
      <c r="J413" s="119">
        <v>45352</v>
      </c>
      <c r="K413" s="120">
        <v>133.21</v>
      </c>
      <c r="L413" s="120">
        <v>121.54</v>
      </c>
      <c r="M413" s="118"/>
      <c r="N413" s="121">
        <v>45352</v>
      </c>
      <c r="O413" s="95">
        <v>100.4575</v>
      </c>
      <c r="P413" s="96">
        <v>1.6999999999999999E-3</v>
      </c>
    </row>
    <row r="414" spans="1:16">
      <c r="A414" s="112">
        <v>45383</v>
      </c>
      <c r="B414" s="113">
        <v>45383</v>
      </c>
      <c r="C414" s="114">
        <v>81.93</v>
      </c>
      <c r="D414" s="114">
        <v>83.14</v>
      </c>
      <c r="E414" s="115">
        <v>-1.46E-2</v>
      </c>
      <c r="F414" s="116"/>
      <c r="G414" s="113">
        <v>45383</v>
      </c>
      <c r="H414" s="114">
        <v>15.65</v>
      </c>
      <c r="I414" s="118"/>
      <c r="J414" s="119">
        <v>45383</v>
      </c>
      <c r="K414" s="120">
        <v>163.95</v>
      </c>
      <c r="L414" s="120">
        <v>170.7</v>
      </c>
      <c r="M414" s="118"/>
      <c r="N414" s="121">
        <v>45383</v>
      </c>
      <c r="O414" s="95">
        <v>100.24339999999999</v>
      </c>
      <c r="P414" s="96">
        <v>-2.0999999999999999E-3</v>
      </c>
    </row>
    <row r="415" spans="1:16">
      <c r="A415" s="123">
        <v>45413</v>
      </c>
      <c r="B415" s="124">
        <v>45413</v>
      </c>
      <c r="C415" s="114">
        <v>76.989999999999995</v>
      </c>
      <c r="D415" s="114">
        <v>81.48</v>
      </c>
      <c r="E415" s="115">
        <v>-5.5100000000000003E-2</v>
      </c>
      <c r="F415" s="116"/>
      <c r="G415" s="124">
        <v>45413</v>
      </c>
      <c r="H415" s="114">
        <v>12.92</v>
      </c>
      <c r="I415" s="118"/>
      <c r="J415" s="119">
        <v>45413</v>
      </c>
      <c r="K415" s="120">
        <v>130.52000000000001</v>
      </c>
      <c r="L415" s="120">
        <v>131.44999999999999</v>
      </c>
      <c r="M415" s="118"/>
      <c r="N415" s="121">
        <v>45413</v>
      </c>
      <c r="O415" s="95">
        <v>100.863</v>
      </c>
      <c r="P415" s="96">
        <v>6.1999999999999998E-3</v>
      </c>
    </row>
    <row r="416" spans="1:16">
      <c r="A416" s="112">
        <v>45444</v>
      </c>
      <c r="B416" s="113">
        <v>45444</v>
      </c>
      <c r="C416" s="114">
        <v>81.540000000000006</v>
      </c>
      <c r="D416" s="114">
        <v>76.97</v>
      </c>
      <c r="E416" s="115">
        <v>5.9400000000000001E-2</v>
      </c>
      <c r="F416" s="116"/>
      <c r="G416" s="113">
        <v>45444</v>
      </c>
      <c r="H416" s="114">
        <v>12.44</v>
      </c>
      <c r="I416" s="118"/>
      <c r="J416" s="119">
        <v>45444</v>
      </c>
      <c r="K416" s="120">
        <v>113.09</v>
      </c>
      <c r="L416" s="120">
        <v>125.71</v>
      </c>
      <c r="M416" s="118"/>
      <c r="N416" s="121">
        <v>45444</v>
      </c>
      <c r="O416" s="95">
        <v>100.89400000000001</v>
      </c>
      <c r="P416" s="96">
        <v>2.9999999999999997E-4</v>
      </c>
    </row>
    <row r="417" spans="1:16">
      <c r="A417" s="112">
        <v>45474</v>
      </c>
      <c r="B417" s="113">
        <v>45474</v>
      </c>
      <c r="C417" s="114">
        <v>77.91</v>
      </c>
      <c r="D417" s="114">
        <v>81.45</v>
      </c>
      <c r="E417" s="115">
        <v>-4.3499999999999997E-2</v>
      </c>
      <c r="F417" s="116"/>
      <c r="G417" s="113">
        <v>45474</v>
      </c>
      <c r="H417" s="114">
        <v>16.36</v>
      </c>
      <c r="I417" s="118"/>
      <c r="J417" s="119">
        <v>45474</v>
      </c>
      <c r="K417" s="120">
        <v>92.39</v>
      </c>
      <c r="L417" s="120">
        <v>95.16</v>
      </c>
      <c r="M417" s="118"/>
      <c r="N417" s="121">
        <v>45474</v>
      </c>
      <c r="O417" s="95">
        <v>99.975700000000003</v>
      </c>
      <c r="P417" s="96">
        <v>-9.1000000000000004E-3</v>
      </c>
    </row>
    <row r="418" spans="1:16">
      <c r="A418" s="112">
        <v>45505</v>
      </c>
      <c r="B418" s="113">
        <v>45505</v>
      </c>
      <c r="C418" s="114">
        <v>73.55</v>
      </c>
      <c r="D418" s="114">
        <v>78.59</v>
      </c>
      <c r="E418" s="115">
        <v>-6.4100000000000004E-2</v>
      </c>
      <c r="F418" s="116"/>
      <c r="G418" s="113">
        <v>45505</v>
      </c>
      <c r="H418" s="114">
        <v>15</v>
      </c>
      <c r="I418" s="118"/>
      <c r="J418" s="119">
        <v>45505</v>
      </c>
      <c r="K418" s="120">
        <v>140.97999999999999</v>
      </c>
      <c r="L418" s="120">
        <v>124.8</v>
      </c>
      <c r="M418" s="118"/>
      <c r="N418" s="121">
        <v>45505</v>
      </c>
      <c r="O418" s="95">
        <v>100.43089999999999</v>
      </c>
      <c r="P418" s="96">
        <v>4.5999999999999999E-3</v>
      </c>
    </row>
    <row r="419" spans="1:16">
      <c r="A419" s="112">
        <v>45536</v>
      </c>
      <c r="B419" s="113">
        <v>45536</v>
      </c>
      <c r="C419" s="114">
        <v>68.17</v>
      </c>
      <c r="D419" s="114">
        <v>73.53</v>
      </c>
      <c r="E419" s="115">
        <v>-7.2900000000000006E-2</v>
      </c>
      <c r="F419" s="116"/>
      <c r="G419" s="113">
        <v>45536</v>
      </c>
      <c r="H419" s="114">
        <v>16.73</v>
      </c>
      <c r="I419" s="118"/>
      <c r="J419" s="119">
        <v>45536</v>
      </c>
      <c r="K419" s="120">
        <v>130.36000000000001</v>
      </c>
      <c r="L419" s="120">
        <v>134.04</v>
      </c>
      <c r="M419" s="118"/>
      <c r="N419" s="121">
        <v>45536</v>
      </c>
      <c r="O419" s="95">
        <v>99.808400000000006</v>
      </c>
      <c r="P419" s="96">
        <v>-6.1999999999999998E-3</v>
      </c>
    </row>
    <row r="420" spans="1:16">
      <c r="A420" s="112">
        <v>45566</v>
      </c>
      <c r="B420" s="113">
        <v>45566</v>
      </c>
      <c r="C420" s="114">
        <v>69.260000000000005</v>
      </c>
      <c r="D420" s="114">
        <v>68.41</v>
      </c>
      <c r="E420" s="115">
        <v>1.24E-2</v>
      </c>
      <c r="F420" s="116"/>
      <c r="G420" s="113">
        <v>45566</v>
      </c>
      <c r="H420" s="114">
        <v>23.16</v>
      </c>
      <c r="I420" s="118"/>
      <c r="J420" s="119">
        <v>45566</v>
      </c>
      <c r="K420" s="120">
        <v>130.69</v>
      </c>
      <c r="L420" s="120">
        <v>128.41</v>
      </c>
      <c r="M420" s="118"/>
      <c r="N420" s="121">
        <v>45566</v>
      </c>
      <c r="O420" s="95">
        <v>99.469499999999996</v>
      </c>
      <c r="P420" s="96">
        <v>-3.3999999999999998E-3</v>
      </c>
    </row>
    <row r="421" spans="1:16">
      <c r="A421" s="112">
        <v>45597</v>
      </c>
      <c r="B421" s="113">
        <v>45597</v>
      </c>
      <c r="C421" s="114">
        <v>68</v>
      </c>
      <c r="D421" s="114">
        <v>70.44</v>
      </c>
      <c r="E421" s="115">
        <v>-3.4599999999999999E-2</v>
      </c>
      <c r="F421" s="116"/>
      <c r="G421" s="113">
        <v>45597</v>
      </c>
      <c r="H421" s="114">
        <v>13.51</v>
      </c>
      <c r="I421" s="118"/>
      <c r="J421" s="119">
        <v>45597</v>
      </c>
      <c r="K421" s="120">
        <v>128.9</v>
      </c>
      <c r="L421" s="120">
        <v>139.15</v>
      </c>
      <c r="M421" s="118"/>
      <c r="N421" s="121">
        <v>45597</v>
      </c>
      <c r="O421" s="95">
        <v>99.292500000000004</v>
      </c>
      <c r="P421" s="96">
        <v>-1.8E-3</v>
      </c>
    </row>
    <row r="422" spans="1:16">
      <c r="A422" s="112">
        <v>45627</v>
      </c>
      <c r="B422" s="113">
        <v>45627</v>
      </c>
      <c r="C422" s="114">
        <v>71.72</v>
      </c>
      <c r="D422" s="114">
        <v>68</v>
      </c>
      <c r="E422" s="115">
        <v>5.4699999999999999E-2</v>
      </c>
      <c r="F422" s="116"/>
      <c r="G422" s="113">
        <v>45627</v>
      </c>
      <c r="H422" s="114">
        <v>17.350000000000001</v>
      </c>
      <c r="I422" s="118"/>
      <c r="J422" s="119">
        <v>45627</v>
      </c>
      <c r="K422" s="120">
        <v>142.37</v>
      </c>
      <c r="L422" s="120">
        <v>128.26</v>
      </c>
      <c r="M422" s="118"/>
      <c r="N422" s="121">
        <v>45627</v>
      </c>
      <c r="O422" s="95">
        <v>100.32729999999999</v>
      </c>
      <c r="P422" s="96">
        <v>1.04E-2</v>
      </c>
    </row>
    <row r="423" spans="1:16">
      <c r="A423" s="112">
        <v>45658</v>
      </c>
      <c r="B423" s="113">
        <v>45658</v>
      </c>
      <c r="C423" s="114">
        <v>72.53</v>
      </c>
      <c r="D423" s="114">
        <v>71.849999999999994</v>
      </c>
      <c r="E423" s="115">
        <v>9.4999999999999998E-3</v>
      </c>
      <c r="F423" s="116"/>
      <c r="G423" s="113">
        <v>45658</v>
      </c>
      <c r="H423" s="114">
        <v>16.43</v>
      </c>
      <c r="I423" s="118"/>
      <c r="J423" s="119">
        <v>45658</v>
      </c>
      <c r="K423" s="120">
        <v>113.23</v>
      </c>
      <c r="L423" s="120">
        <v>117.09</v>
      </c>
      <c r="M423" s="118"/>
      <c r="N423" s="121">
        <v>45658</v>
      </c>
      <c r="O423" s="95">
        <v>100.0647</v>
      </c>
      <c r="P423" s="96">
        <v>-2.5999999999999999E-3</v>
      </c>
    </row>
    <row r="424" spans="1:16">
      <c r="A424" s="112">
        <v>45689</v>
      </c>
      <c r="B424" s="113">
        <v>45689</v>
      </c>
      <c r="C424" s="114">
        <v>69.760000000000005</v>
      </c>
      <c r="D424" s="114">
        <v>74.14</v>
      </c>
      <c r="E424" s="115">
        <v>-5.91E-2</v>
      </c>
      <c r="F424" s="116"/>
      <c r="G424" s="113">
        <v>45689</v>
      </c>
      <c r="H424" s="114">
        <v>19.63</v>
      </c>
      <c r="I424" s="118"/>
      <c r="J424" s="119">
        <v>45689</v>
      </c>
      <c r="K424" s="120">
        <v>136.97</v>
      </c>
      <c r="L424" s="120">
        <v>138.76</v>
      </c>
      <c r="M424" s="118"/>
      <c r="N424" s="121">
        <v>45689</v>
      </c>
      <c r="O424" s="95">
        <v>101.0993</v>
      </c>
      <c r="P424" s="96">
        <v>1.03E-2</v>
      </c>
    </row>
    <row r="425" spans="1:16">
      <c r="A425" s="112">
        <v>45717</v>
      </c>
      <c r="B425" s="113">
        <v>45717</v>
      </c>
      <c r="C425" s="114">
        <v>71.48</v>
      </c>
      <c r="D425" s="114">
        <v>69.95</v>
      </c>
      <c r="E425" s="115">
        <v>2.1899999999999999E-2</v>
      </c>
      <c r="F425" s="116"/>
      <c r="G425" s="113">
        <v>45717</v>
      </c>
      <c r="H425" s="114">
        <v>22.28</v>
      </c>
      <c r="I425" s="118"/>
      <c r="J425" s="119">
        <v>45717</v>
      </c>
      <c r="K425" s="120">
        <v>173.91</v>
      </c>
      <c r="L425" s="120">
        <v>193.7</v>
      </c>
      <c r="M425" s="118"/>
      <c r="N425" s="121">
        <v>45717</v>
      </c>
      <c r="O425" s="95">
        <v>101.04040000000001</v>
      </c>
      <c r="P425" s="96">
        <v>-5.9999999999999995E-4</v>
      </c>
    </row>
    <row r="426" spans="1:16">
      <c r="A426" s="112">
        <v>45748</v>
      </c>
      <c r="B426" s="113">
        <v>45748</v>
      </c>
      <c r="C426" s="114">
        <v>58.21</v>
      </c>
      <c r="D426" s="114">
        <v>71.39</v>
      </c>
      <c r="E426" s="115">
        <v>-0.18459999999999999</v>
      </c>
      <c r="F426" s="116"/>
      <c r="G426" s="113">
        <v>45748</v>
      </c>
      <c r="H426" s="114">
        <v>24.7</v>
      </c>
      <c r="I426" s="118"/>
      <c r="J426" s="119">
        <v>45748</v>
      </c>
      <c r="K426" s="120">
        <v>140.97</v>
      </c>
      <c r="L426" s="120">
        <v>159.26</v>
      </c>
      <c r="M426" s="118"/>
      <c r="N426" s="121">
        <v>45748</v>
      </c>
      <c r="O426" s="95">
        <v>101.1279</v>
      </c>
      <c r="P426" s="96">
        <v>8.9999999999999998E-4</v>
      </c>
    </row>
    <row r="427" spans="1:16">
      <c r="A427" s="123">
        <v>45778</v>
      </c>
      <c r="B427" s="124">
        <v>45778</v>
      </c>
      <c r="C427" s="114">
        <v>60.79</v>
      </c>
      <c r="D427" s="114">
        <v>58.16</v>
      </c>
      <c r="E427" s="115">
        <v>4.5199999999999997E-2</v>
      </c>
      <c r="F427" s="116"/>
      <c r="G427" s="124">
        <v>45778</v>
      </c>
      <c r="H427" s="114">
        <v>18.57</v>
      </c>
      <c r="I427" s="118"/>
      <c r="J427" s="119">
        <v>45778</v>
      </c>
      <c r="K427" s="120">
        <v>165.66</v>
      </c>
      <c r="L427" s="120">
        <v>203.55</v>
      </c>
      <c r="M427" s="118"/>
      <c r="N427" s="121">
        <v>45778</v>
      </c>
      <c r="O427" s="95">
        <v>100.96550000000001</v>
      </c>
      <c r="P427" s="96">
        <v>-1.6000000000000001E-3</v>
      </c>
    </row>
    <row r="428" spans="1:16">
      <c r="A428" s="112">
        <v>45809</v>
      </c>
      <c r="B428" s="113">
        <v>45809</v>
      </c>
      <c r="C428" s="114">
        <v>65.11</v>
      </c>
      <c r="D428" s="114">
        <v>61.11</v>
      </c>
      <c r="E428" s="115">
        <v>6.5500000000000003E-2</v>
      </c>
      <c r="F428" s="116"/>
      <c r="G428" s="113">
        <v>45809</v>
      </c>
      <c r="H428" s="114">
        <v>16.73</v>
      </c>
      <c r="I428" s="118"/>
      <c r="J428" s="119">
        <v>45809</v>
      </c>
      <c r="K428" s="120">
        <v>222.38</v>
      </c>
      <c r="L428" s="120">
        <v>288.16000000000003</v>
      </c>
      <c r="M428" s="118"/>
      <c r="N428" s="121">
        <v>45809</v>
      </c>
      <c r="O428" s="95">
        <v>101.4785</v>
      </c>
      <c r="P428" s="96">
        <v>5.1000000000000004E-3</v>
      </c>
    </row>
    <row r="429" spans="1:16">
      <c r="A429" s="112">
        <v>45839</v>
      </c>
      <c r="B429" s="113">
        <v>45839</v>
      </c>
      <c r="C429" s="114">
        <v>69.260000000000005</v>
      </c>
      <c r="D429" s="114">
        <v>64.959999999999994</v>
      </c>
      <c r="E429" s="115">
        <v>6.6199999999999995E-2</v>
      </c>
      <c r="F429" s="116"/>
      <c r="G429" s="113">
        <v>45839</v>
      </c>
      <c r="H429" s="114">
        <v>16.72</v>
      </c>
      <c r="I429" s="118"/>
      <c r="J429" s="119">
        <v>45839</v>
      </c>
      <c r="K429" s="120">
        <v>134.02000000000001</v>
      </c>
      <c r="L429" s="120">
        <v>156.11000000000001</v>
      </c>
      <c r="M429" s="118"/>
      <c r="N429" s="121">
        <v>45839</v>
      </c>
      <c r="O429" s="95">
        <v>101.89400000000001</v>
      </c>
      <c r="P429" s="96">
        <v>4.1000000000000003E-3</v>
      </c>
    </row>
    <row r="430" spans="1:16">
      <c r="A430" s="112">
        <v>45870</v>
      </c>
      <c r="B430" s="113">
        <v>45870</v>
      </c>
      <c r="C430" s="114">
        <v>64.010000000000005</v>
      </c>
      <c r="D430" s="114">
        <v>69.349999999999994</v>
      </c>
      <c r="E430" s="115">
        <v>-7.6999999999999999E-2</v>
      </c>
      <c r="F430" s="116"/>
      <c r="G430" s="113">
        <v>45870</v>
      </c>
      <c r="H430" s="114">
        <v>15.36</v>
      </c>
      <c r="I430" s="118"/>
      <c r="J430" s="119">
        <v>45870</v>
      </c>
      <c r="K430" s="120">
        <v>138.56</v>
      </c>
      <c r="L430" s="120">
        <v>160.41999999999999</v>
      </c>
      <c r="M430" s="118"/>
      <c r="N430" s="121">
        <v>45870</v>
      </c>
      <c r="O430" s="95">
        <v>101.6247</v>
      </c>
      <c r="P430" s="96">
        <v>-2.5999999999999999E-3</v>
      </c>
    </row>
    <row r="431" spans="1:16">
      <c r="A431" s="112">
        <v>45901</v>
      </c>
      <c r="B431" s="113">
        <v>45901</v>
      </c>
      <c r="C431" s="114">
        <v>62.37</v>
      </c>
      <c r="D431" s="114">
        <v>63.95</v>
      </c>
      <c r="E431" s="115">
        <v>-2.47E-2</v>
      </c>
      <c r="F431" s="116"/>
      <c r="G431" s="113">
        <v>45901</v>
      </c>
      <c r="H431" s="114">
        <v>16.28</v>
      </c>
      <c r="I431" s="118"/>
      <c r="J431" s="119">
        <v>45901</v>
      </c>
      <c r="K431" s="120">
        <v>125.87</v>
      </c>
      <c r="L431" s="120">
        <v>141.81</v>
      </c>
      <c r="M431" s="118"/>
      <c r="N431" s="121">
        <v>45901</v>
      </c>
      <c r="O431" s="95">
        <v>101.66800000000001</v>
      </c>
      <c r="P431" s="96">
        <v>4.0000000000000002E-4</v>
      </c>
    </row>
    <row r="432" spans="1:16">
      <c r="A432" s="112">
        <v>45931</v>
      </c>
      <c r="B432" s="113">
        <v>45931</v>
      </c>
      <c r="C432" s="114">
        <v>60.98</v>
      </c>
      <c r="D432" s="114">
        <v>62.46</v>
      </c>
      <c r="E432" s="115">
        <v>-2.3699999999999999E-2</v>
      </c>
      <c r="F432" s="116"/>
      <c r="G432" s="113">
        <v>45931</v>
      </c>
      <c r="H432" s="114">
        <v>17.440000000000001</v>
      </c>
      <c r="I432" s="118"/>
      <c r="J432" s="119">
        <v>45931</v>
      </c>
      <c r="K432" s="120">
        <v>154.51</v>
      </c>
      <c r="L432" s="120">
        <v>168</v>
      </c>
      <c r="M432" s="118"/>
      <c r="N432" s="121">
        <v>45931</v>
      </c>
      <c r="O432" s="95">
        <v>101.2075</v>
      </c>
      <c r="P432" s="96">
        <v>-4.4999999999999997E-3</v>
      </c>
    </row>
    <row r="433" spans="1:16">
      <c r="A433" s="112">
        <v>45962</v>
      </c>
      <c r="B433" s="113">
        <v>45962</v>
      </c>
      <c r="C433" s="114">
        <v>58.55</v>
      </c>
      <c r="D433" s="114">
        <v>61.4</v>
      </c>
      <c r="E433" s="115">
        <v>-4.6399999999999997E-2</v>
      </c>
      <c r="F433" s="116"/>
      <c r="G433" s="113">
        <v>45962</v>
      </c>
      <c r="H433" s="114">
        <v>16.350000000000001</v>
      </c>
      <c r="I433" s="118"/>
      <c r="J433" s="119">
        <v>45962</v>
      </c>
      <c r="K433" s="120">
        <v>104.34</v>
      </c>
      <c r="L433" s="120">
        <v>118.68</v>
      </c>
      <c r="M433" s="118"/>
      <c r="N433" s="121">
        <v>45962</v>
      </c>
      <c r="O433" s="95">
        <v>101.3605</v>
      </c>
      <c r="P433" s="96">
        <v>1.5E-3</v>
      </c>
    </row>
    <row r="434" spans="1:16">
      <c r="A434" s="112">
        <v>45992</v>
      </c>
      <c r="B434" s="113">
        <v>45992</v>
      </c>
      <c r="C434" s="114">
        <v>57.42</v>
      </c>
      <c r="D434" s="114">
        <v>58.96</v>
      </c>
      <c r="E434" s="115">
        <v>-2.6100000000000002E-2</v>
      </c>
      <c r="F434" s="116"/>
      <c r="G434" s="113">
        <v>45992</v>
      </c>
      <c r="H434" s="114">
        <v>14.95</v>
      </c>
      <c r="I434" s="118"/>
      <c r="J434" s="119">
        <v>45992</v>
      </c>
      <c r="K434" s="120">
        <v>131.38999999999999</v>
      </c>
      <c r="L434" s="120">
        <v>145.27000000000001</v>
      </c>
      <c r="M434" s="118"/>
      <c r="N434" s="121">
        <v>45992</v>
      </c>
      <c r="O434" s="95">
        <v>101.6781</v>
      </c>
      <c r="P434" s="96">
        <v>3.0999999999999999E-3</v>
      </c>
    </row>
    <row r="435" spans="1:16">
      <c r="A435" s="112">
        <v>46023</v>
      </c>
      <c r="B435" s="113">
        <v>46023</v>
      </c>
      <c r="C435" s="114">
        <v>65.209999999999994</v>
      </c>
      <c r="D435" s="114">
        <v>57.41</v>
      </c>
      <c r="E435" s="115">
        <v>0.13589999999999999</v>
      </c>
      <c r="F435" s="116"/>
      <c r="G435" s="113">
        <v>46023</v>
      </c>
      <c r="H435" s="114">
        <v>17.440000000000001</v>
      </c>
      <c r="I435" s="118"/>
      <c r="J435" s="119">
        <v>46023</v>
      </c>
      <c r="K435" s="120">
        <v>167.8</v>
      </c>
      <c r="L435" s="120">
        <v>219.48</v>
      </c>
      <c r="M435" s="118"/>
      <c r="N435" s="121">
        <v>46023</v>
      </c>
      <c r="O435" s="95">
        <v>102.3963</v>
      </c>
      <c r="P435" s="96">
        <v>7.1000000000000004E-3</v>
      </c>
    </row>
    <row r="436" spans="1:16">
      <c r="A436" s="112">
        <v>46054</v>
      </c>
      <c r="B436" s="125">
        <v>46054</v>
      </c>
      <c r="C436" s="114">
        <v>67.02</v>
      </c>
      <c r="D436" s="114">
        <v>64.72</v>
      </c>
      <c r="E436" s="115">
        <v>3.5499999999999997E-2</v>
      </c>
      <c r="F436" s="116"/>
      <c r="G436" s="113">
        <v>46054</v>
      </c>
      <c r="H436" s="114">
        <v>19.86</v>
      </c>
      <c r="I436" s="118"/>
      <c r="J436" s="119">
        <v>46054</v>
      </c>
      <c r="K436" s="120">
        <v>121.62</v>
      </c>
      <c r="L436" s="120">
        <v>158.19</v>
      </c>
      <c r="M436" s="118"/>
      <c r="N436" s="121">
        <v>46054</v>
      </c>
      <c r="O436" s="95">
        <v>102.551</v>
      </c>
      <c r="P436" s="96">
        <v>1.5E-3</v>
      </c>
    </row>
    <row r="437" spans="1:16">
      <c r="A437" s="112">
        <v>46082</v>
      </c>
      <c r="B437" s="125">
        <v>46082</v>
      </c>
      <c r="C437" s="114">
        <v>101.38</v>
      </c>
      <c r="D437" s="114">
        <v>75</v>
      </c>
      <c r="E437" s="115">
        <v>0.35170000000000001</v>
      </c>
      <c r="F437" s="116"/>
      <c r="G437" s="113">
        <v>46082</v>
      </c>
      <c r="H437" s="114">
        <v>25.25</v>
      </c>
      <c r="I437" s="118"/>
      <c r="J437" s="119">
        <v>46082</v>
      </c>
      <c r="K437" s="120">
        <v>297.27</v>
      </c>
      <c r="L437" s="120">
        <v>293.39</v>
      </c>
      <c r="M437" s="118"/>
      <c r="N437" s="122"/>
      <c r="O437" s="122"/>
      <c r="P437" s="122"/>
    </row>
    <row r="438" spans="1:16">
      <c r="A438" s="112">
        <v>46113</v>
      </c>
      <c r="B438" s="125">
        <v>46113</v>
      </c>
      <c r="C438" s="114">
        <v>94.4</v>
      </c>
      <c r="D438" s="114">
        <v>101.72</v>
      </c>
      <c r="E438" s="115">
        <v>-7.1999999999999995E-2</v>
      </c>
      <c r="F438" s="116"/>
      <c r="G438" s="113">
        <v>46113</v>
      </c>
      <c r="H438" s="114">
        <v>18.71</v>
      </c>
      <c r="I438" s="118"/>
      <c r="J438" s="122"/>
      <c r="K438" s="122"/>
      <c r="L438" s="122"/>
      <c r="M438" s="118"/>
      <c r="N438" s="122"/>
      <c r="O438" s="122"/>
      <c r="P438" s="122"/>
    </row>
    <row r="439" spans="1:16" ht="12.75">
      <c r="A439" s="126"/>
      <c r="B439" s="127"/>
      <c r="C439" s="122"/>
      <c r="D439" s="122"/>
      <c r="E439" s="122"/>
      <c r="F439" s="118"/>
      <c r="G439" s="127"/>
      <c r="H439" s="122"/>
      <c r="I439" s="118"/>
      <c r="J439" s="122"/>
      <c r="K439" s="122"/>
      <c r="L439" s="122"/>
      <c r="M439" s="118"/>
      <c r="N439" s="122"/>
      <c r="O439" s="122"/>
      <c r="P439" s="122"/>
    </row>
    <row r="440" spans="1:16" ht="12.75">
      <c r="A440" s="126"/>
      <c r="B440" s="127"/>
      <c r="C440" s="122"/>
      <c r="D440" s="122"/>
      <c r="E440" s="122"/>
      <c r="F440" s="118"/>
      <c r="G440" s="127"/>
      <c r="H440" s="122"/>
      <c r="I440" s="118"/>
      <c r="J440" s="122"/>
      <c r="K440" s="122"/>
      <c r="L440" s="122"/>
      <c r="M440" s="118"/>
      <c r="N440" s="122"/>
      <c r="O440" s="122"/>
      <c r="P440" s="122"/>
    </row>
    <row r="441" spans="1:16" ht="12.75">
      <c r="A441" s="126"/>
      <c r="B441" s="127"/>
      <c r="C441" s="122"/>
      <c r="D441" s="122"/>
      <c r="E441" s="122"/>
      <c r="F441" s="118"/>
      <c r="G441" s="127"/>
      <c r="H441" s="122"/>
      <c r="I441" s="118"/>
      <c r="J441" s="122"/>
      <c r="K441" s="122"/>
      <c r="L441" s="122"/>
      <c r="M441" s="118"/>
      <c r="N441" s="122"/>
      <c r="O441" s="122"/>
      <c r="P441" s="122"/>
    </row>
    <row r="442" spans="1:16" ht="12.75">
      <c r="A442" s="126"/>
      <c r="B442" s="127"/>
      <c r="C442" s="122"/>
      <c r="D442" s="122"/>
      <c r="E442" s="122"/>
      <c r="F442" s="118"/>
      <c r="G442" s="127"/>
      <c r="H442" s="122"/>
      <c r="I442" s="118"/>
      <c r="J442" s="122"/>
      <c r="K442" s="122"/>
      <c r="L442" s="122"/>
      <c r="M442" s="118"/>
      <c r="N442" s="122"/>
      <c r="O442" s="122"/>
      <c r="P442" s="122"/>
    </row>
    <row r="443" spans="1:16" ht="12.75">
      <c r="A443" s="126"/>
      <c r="B443" s="127"/>
      <c r="C443" s="122"/>
      <c r="D443" s="122"/>
      <c r="E443" s="122"/>
      <c r="F443" s="118"/>
      <c r="G443" s="127"/>
      <c r="H443" s="122"/>
      <c r="I443" s="118"/>
      <c r="J443" s="122"/>
      <c r="K443" s="122"/>
      <c r="L443" s="122"/>
      <c r="M443" s="118"/>
      <c r="N443" s="122"/>
      <c r="O443" s="122"/>
      <c r="P443" s="122"/>
    </row>
    <row r="444" spans="1:16" ht="12.75">
      <c r="A444" s="126"/>
      <c r="B444" s="127"/>
      <c r="C444" s="122"/>
      <c r="D444" s="122"/>
      <c r="E444" s="122"/>
      <c r="F444" s="118"/>
      <c r="G444" s="127"/>
      <c r="H444" s="122"/>
      <c r="I444" s="118"/>
      <c r="J444" s="122"/>
      <c r="K444" s="122"/>
      <c r="L444" s="122"/>
      <c r="M444" s="118"/>
      <c r="N444" s="122"/>
      <c r="O444" s="122"/>
      <c r="P444" s="122"/>
    </row>
    <row r="445" spans="1:16" ht="12.75">
      <c r="A445" s="126"/>
      <c r="B445" s="127"/>
      <c r="C445" s="122"/>
      <c r="D445" s="122"/>
      <c r="E445" s="122"/>
      <c r="F445" s="118"/>
      <c r="G445" s="127"/>
      <c r="H445" s="122"/>
      <c r="I445" s="118"/>
      <c r="J445" s="122"/>
      <c r="K445" s="122"/>
      <c r="L445" s="122"/>
      <c r="M445" s="118"/>
      <c r="N445" s="122"/>
      <c r="O445" s="122"/>
      <c r="P445" s="122"/>
    </row>
    <row r="446" spans="1:16" ht="12.75">
      <c r="A446" s="126"/>
      <c r="B446" s="127"/>
      <c r="C446" s="122"/>
      <c r="D446" s="122"/>
      <c r="E446" s="122"/>
      <c r="F446" s="118"/>
      <c r="G446" s="127"/>
      <c r="H446" s="122"/>
      <c r="I446" s="118"/>
      <c r="J446" s="122"/>
      <c r="K446" s="122"/>
      <c r="L446" s="122"/>
      <c r="M446" s="118"/>
      <c r="N446" s="122"/>
      <c r="O446" s="122"/>
      <c r="P446" s="122"/>
    </row>
    <row r="447" spans="1:16" ht="12.75">
      <c r="A447" s="126"/>
      <c r="B447" s="127"/>
      <c r="C447" s="122"/>
      <c r="D447" s="122"/>
      <c r="E447" s="122"/>
      <c r="F447" s="118"/>
      <c r="G447" s="127"/>
      <c r="H447" s="122"/>
      <c r="I447" s="118"/>
      <c r="J447" s="122"/>
      <c r="K447" s="122"/>
      <c r="L447" s="122"/>
      <c r="M447" s="118"/>
      <c r="N447" s="122"/>
      <c r="O447" s="122"/>
      <c r="P447" s="122"/>
    </row>
    <row r="448" spans="1:16" ht="12.75">
      <c r="A448" s="126"/>
      <c r="B448" s="127"/>
      <c r="C448" s="122"/>
      <c r="D448" s="122"/>
      <c r="E448" s="122"/>
      <c r="F448" s="118"/>
      <c r="G448" s="127"/>
      <c r="H448" s="122"/>
      <c r="I448" s="118"/>
      <c r="J448" s="122"/>
      <c r="K448" s="122"/>
      <c r="L448" s="122"/>
      <c r="M448" s="118"/>
      <c r="N448" s="122"/>
      <c r="O448" s="122"/>
      <c r="P448" s="122"/>
    </row>
    <row r="449" spans="1:16" ht="12.75">
      <c r="A449" s="126"/>
      <c r="B449" s="127"/>
      <c r="C449" s="122"/>
      <c r="D449" s="122"/>
      <c r="E449" s="122"/>
      <c r="F449" s="118"/>
      <c r="G449" s="127"/>
      <c r="H449" s="122"/>
      <c r="I449" s="118"/>
      <c r="J449" s="122"/>
      <c r="K449" s="122"/>
      <c r="L449" s="122"/>
      <c r="M449" s="118"/>
      <c r="N449" s="122"/>
      <c r="O449" s="122"/>
      <c r="P449" s="122"/>
    </row>
    <row r="450" spans="1:16" ht="12.75">
      <c r="A450" s="126"/>
      <c r="B450" s="127"/>
      <c r="C450" s="122"/>
      <c r="D450" s="122"/>
      <c r="E450" s="122"/>
      <c r="F450" s="118"/>
      <c r="G450" s="127"/>
      <c r="H450" s="122"/>
      <c r="I450" s="118"/>
      <c r="J450" s="122"/>
      <c r="K450" s="122"/>
      <c r="L450" s="122"/>
      <c r="M450" s="118"/>
      <c r="N450" s="122"/>
      <c r="O450" s="122"/>
      <c r="P450" s="122"/>
    </row>
    <row r="451" spans="1:16" ht="12.75">
      <c r="A451" s="126"/>
      <c r="B451" s="127"/>
      <c r="C451" s="122"/>
      <c r="D451" s="122"/>
      <c r="E451" s="122"/>
      <c r="F451" s="118"/>
      <c r="G451" s="127"/>
      <c r="H451" s="122"/>
      <c r="I451" s="118"/>
      <c r="J451" s="122"/>
      <c r="K451" s="122"/>
      <c r="L451" s="122"/>
      <c r="M451" s="118"/>
      <c r="N451" s="122"/>
      <c r="O451" s="122"/>
      <c r="P451" s="122"/>
    </row>
    <row r="452" spans="1:16" ht="12.75">
      <c r="A452" s="126"/>
      <c r="B452" s="127"/>
      <c r="C452" s="122"/>
      <c r="D452" s="122"/>
      <c r="E452" s="122"/>
      <c r="F452" s="118"/>
      <c r="G452" s="127"/>
      <c r="H452" s="122"/>
      <c r="I452" s="118"/>
      <c r="J452" s="122"/>
      <c r="K452" s="122"/>
      <c r="L452" s="122"/>
      <c r="M452" s="118"/>
      <c r="N452" s="122"/>
      <c r="O452" s="122"/>
      <c r="P452" s="122"/>
    </row>
    <row r="453" spans="1:16" ht="12.75">
      <c r="A453" s="126"/>
      <c r="B453" s="127"/>
      <c r="C453" s="122"/>
      <c r="D453" s="122"/>
      <c r="E453" s="122"/>
      <c r="F453" s="118"/>
      <c r="G453" s="127"/>
      <c r="H453" s="122"/>
      <c r="I453" s="118"/>
      <c r="J453" s="122"/>
      <c r="K453" s="122"/>
      <c r="L453" s="122"/>
      <c r="M453" s="118"/>
      <c r="N453" s="122"/>
      <c r="O453" s="122"/>
      <c r="P453" s="122"/>
    </row>
    <row r="454" spans="1:16" ht="12.75">
      <c r="A454" s="126"/>
      <c r="B454" s="127"/>
      <c r="C454" s="122"/>
      <c r="D454" s="122"/>
      <c r="E454" s="122"/>
      <c r="F454" s="118"/>
      <c r="G454" s="127"/>
      <c r="H454" s="122"/>
      <c r="I454" s="118"/>
      <c r="J454" s="122"/>
      <c r="K454" s="122"/>
      <c r="L454" s="122"/>
      <c r="M454" s="118"/>
      <c r="N454" s="122"/>
      <c r="O454" s="122"/>
      <c r="P454" s="122"/>
    </row>
    <row r="455" spans="1:16" ht="12.75">
      <c r="A455" s="126"/>
      <c r="B455" s="127"/>
      <c r="C455" s="122"/>
      <c r="D455" s="122"/>
      <c r="E455" s="122"/>
      <c r="F455" s="118"/>
      <c r="G455" s="127"/>
      <c r="H455" s="122"/>
      <c r="I455" s="118"/>
      <c r="J455" s="122"/>
      <c r="K455" s="122"/>
      <c r="L455" s="122"/>
      <c r="M455" s="118"/>
      <c r="N455" s="122"/>
      <c r="O455" s="122"/>
      <c r="P455" s="122"/>
    </row>
    <row r="456" spans="1:16" ht="12.75">
      <c r="A456" s="126"/>
      <c r="B456" s="127"/>
      <c r="C456" s="122"/>
      <c r="D456" s="122"/>
      <c r="E456" s="122"/>
      <c r="F456" s="118"/>
      <c r="G456" s="127"/>
      <c r="H456" s="122"/>
      <c r="I456" s="118"/>
      <c r="J456" s="122"/>
      <c r="K456" s="122"/>
      <c r="L456" s="122"/>
      <c r="M456" s="118"/>
      <c r="N456" s="122"/>
      <c r="O456" s="122"/>
      <c r="P456" s="122"/>
    </row>
    <row r="457" spans="1:16" ht="12.75">
      <c r="A457" s="126"/>
      <c r="B457" s="127"/>
      <c r="C457" s="122"/>
      <c r="D457" s="122"/>
      <c r="E457" s="122"/>
      <c r="F457" s="118"/>
      <c r="G457" s="127"/>
      <c r="H457" s="122"/>
      <c r="I457" s="118"/>
      <c r="J457" s="122"/>
      <c r="K457" s="122"/>
      <c r="L457" s="122"/>
      <c r="M457" s="118"/>
      <c r="N457" s="122"/>
      <c r="O457" s="122"/>
      <c r="P457" s="122"/>
    </row>
    <row r="458" spans="1:16" ht="12.75">
      <c r="A458" s="126"/>
      <c r="B458" s="127"/>
      <c r="C458" s="122"/>
      <c r="D458" s="122"/>
      <c r="E458" s="122"/>
      <c r="F458" s="118"/>
      <c r="G458" s="127"/>
      <c r="H458" s="122"/>
      <c r="I458" s="118"/>
      <c r="J458" s="122"/>
      <c r="K458" s="122"/>
      <c r="L458" s="122"/>
      <c r="M458" s="118"/>
      <c r="N458" s="122"/>
      <c r="O458" s="122"/>
      <c r="P458" s="122"/>
    </row>
    <row r="459" spans="1:16" ht="12.75">
      <c r="A459" s="126"/>
      <c r="B459" s="127"/>
      <c r="C459" s="122"/>
      <c r="D459" s="122"/>
      <c r="E459" s="122"/>
      <c r="F459" s="118"/>
      <c r="G459" s="127"/>
      <c r="H459" s="122"/>
      <c r="I459" s="118"/>
      <c r="J459" s="122"/>
      <c r="K459" s="122"/>
      <c r="L459" s="122"/>
      <c r="M459" s="118"/>
      <c r="N459" s="122"/>
      <c r="O459" s="122"/>
      <c r="P459" s="122"/>
    </row>
    <row r="460" spans="1:16" ht="12.75">
      <c r="A460" s="126"/>
      <c r="B460" s="127"/>
      <c r="C460" s="122"/>
      <c r="D460" s="122"/>
      <c r="E460" s="122"/>
      <c r="F460" s="118"/>
      <c r="G460" s="127"/>
      <c r="H460" s="122"/>
      <c r="I460" s="118"/>
      <c r="J460" s="122"/>
      <c r="K460" s="122"/>
      <c r="L460" s="122"/>
      <c r="M460" s="118"/>
      <c r="N460" s="122"/>
      <c r="O460" s="122"/>
      <c r="P460" s="122"/>
    </row>
    <row r="461" spans="1:16" ht="12.75">
      <c r="A461" s="126"/>
      <c r="B461" s="127"/>
      <c r="C461" s="122"/>
      <c r="D461" s="122"/>
      <c r="E461" s="122"/>
      <c r="F461" s="118"/>
      <c r="G461" s="127"/>
      <c r="H461" s="122"/>
      <c r="I461" s="118"/>
      <c r="J461" s="122"/>
      <c r="K461" s="122"/>
      <c r="L461" s="122"/>
      <c r="M461" s="118"/>
      <c r="N461" s="122"/>
      <c r="O461" s="122"/>
      <c r="P461" s="122"/>
    </row>
    <row r="462" spans="1:16" ht="12.75">
      <c r="A462" s="126"/>
      <c r="B462" s="127"/>
      <c r="C462" s="122"/>
      <c r="D462" s="122"/>
      <c r="E462" s="122"/>
      <c r="F462" s="118"/>
      <c r="G462" s="127"/>
      <c r="H462" s="122"/>
      <c r="I462" s="118"/>
      <c r="J462" s="122"/>
      <c r="K462" s="122"/>
      <c r="L462" s="122"/>
      <c r="M462" s="118"/>
      <c r="N462" s="122"/>
      <c r="O462" s="122"/>
      <c r="P462" s="122"/>
    </row>
    <row r="463" spans="1:16" ht="12.75">
      <c r="A463" s="126"/>
      <c r="B463" s="127"/>
      <c r="C463" s="122"/>
      <c r="D463" s="122"/>
      <c r="E463" s="122"/>
      <c r="F463" s="118"/>
      <c r="G463" s="127"/>
      <c r="H463" s="122"/>
      <c r="I463" s="118"/>
      <c r="J463" s="122"/>
      <c r="K463" s="122"/>
      <c r="L463" s="122"/>
      <c r="M463" s="118"/>
      <c r="N463" s="122"/>
      <c r="O463" s="122"/>
      <c r="P463" s="122"/>
    </row>
    <row r="464" spans="1:16" ht="12.75">
      <c r="A464" s="126"/>
      <c r="B464" s="127"/>
      <c r="C464" s="122"/>
      <c r="D464" s="122"/>
      <c r="E464" s="122"/>
      <c r="F464" s="118"/>
      <c r="G464" s="127"/>
      <c r="H464" s="122"/>
      <c r="I464" s="118"/>
      <c r="J464" s="122"/>
      <c r="K464" s="122"/>
      <c r="L464" s="122"/>
      <c r="M464" s="118"/>
      <c r="N464" s="122"/>
      <c r="O464" s="122"/>
      <c r="P464" s="122"/>
    </row>
    <row r="465" spans="1:16" ht="12.75">
      <c r="A465" s="126"/>
      <c r="B465" s="127"/>
      <c r="C465" s="122"/>
      <c r="D465" s="122"/>
      <c r="E465" s="122"/>
      <c r="F465" s="118"/>
      <c r="G465" s="127"/>
      <c r="H465" s="122"/>
      <c r="I465" s="118"/>
      <c r="J465" s="122"/>
      <c r="K465" s="122"/>
      <c r="L465" s="122"/>
      <c r="M465" s="118"/>
      <c r="N465" s="122"/>
      <c r="O465" s="122"/>
      <c r="P465" s="122"/>
    </row>
    <row r="466" spans="1:16" ht="12.75">
      <c r="A466" s="126"/>
      <c r="B466" s="127"/>
      <c r="C466" s="122"/>
      <c r="D466" s="122"/>
      <c r="E466" s="122"/>
      <c r="F466" s="118"/>
      <c r="G466" s="127"/>
      <c r="H466" s="122"/>
      <c r="I466" s="118"/>
      <c r="J466" s="122"/>
      <c r="K466" s="122"/>
      <c r="L466" s="122"/>
      <c r="M466" s="118"/>
      <c r="N466" s="122"/>
      <c r="O466" s="122"/>
      <c r="P466" s="122"/>
    </row>
    <row r="467" spans="1:16" ht="12.75">
      <c r="A467" s="126"/>
      <c r="B467" s="127"/>
      <c r="C467" s="122"/>
      <c r="D467" s="122"/>
      <c r="E467" s="122"/>
      <c r="F467" s="118"/>
      <c r="G467" s="127"/>
      <c r="H467" s="122"/>
      <c r="I467" s="118"/>
      <c r="J467" s="122"/>
      <c r="K467" s="122"/>
      <c r="L467" s="122"/>
      <c r="M467" s="118"/>
      <c r="N467" s="122"/>
      <c r="O467" s="122"/>
      <c r="P467" s="122"/>
    </row>
    <row r="468" spans="1:16" ht="12.75">
      <c r="A468" s="126"/>
      <c r="B468" s="127"/>
      <c r="C468" s="122"/>
      <c r="D468" s="122"/>
      <c r="E468" s="122"/>
      <c r="F468" s="118"/>
      <c r="G468" s="127"/>
      <c r="H468" s="122"/>
      <c r="I468" s="118"/>
      <c r="J468" s="122"/>
      <c r="K468" s="122"/>
      <c r="L468" s="122"/>
      <c r="M468" s="118"/>
      <c r="N468" s="122"/>
      <c r="O468" s="122"/>
      <c r="P468" s="122"/>
    </row>
    <row r="469" spans="1:16" ht="12.75">
      <c r="A469" s="126"/>
      <c r="B469" s="127"/>
      <c r="C469" s="122"/>
      <c r="D469" s="122"/>
      <c r="E469" s="122"/>
      <c r="F469" s="118"/>
      <c r="G469" s="127"/>
      <c r="H469" s="122"/>
      <c r="I469" s="118"/>
      <c r="J469" s="122"/>
      <c r="K469" s="122"/>
      <c r="L469" s="122"/>
      <c r="M469" s="118"/>
      <c r="N469" s="122"/>
      <c r="O469" s="122"/>
      <c r="P469" s="122"/>
    </row>
    <row r="470" spans="1:16" ht="12.75">
      <c r="A470" s="126"/>
      <c r="B470" s="127"/>
      <c r="C470" s="122"/>
      <c r="D470" s="122"/>
      <c r="E470" s="122"/>
      <c r="F470" s="118"/>
      <c r="G470" s="127"/>
      <c r="H470" s="122"/>
      <c r="I470" s="118"/>
      <c r="J470" s="122"/>
      <c r="K470" s="122"/>
      <c r="L470" s="122"/>
      <c r="M470" s="118"/>
      <c r="N470" s="122"/>
      <c r="O470" s="122"/>
      <c r="P470" s="122"/>
    </row>
    <row r="471" spans="1:16" ht="12.75">
      <c r="A471" s="126"/>
      <c r="B471" s="127"/>
      <c r="C471" s="122"/>
      <c r="D471" s="122"/>
      <c r="E471" s="122"/>
      <c r="F471" s="118"/>
      <c r="G471" s="127"/>
      <c r="H471" s="122"/>
      <c r="I471" s="118"/>
      <c r="J471" s="122"/>
      <c r="K471" s="122"/>
      <c r="L471" s="122"/>
      <c r="M471" s="118"/>
      <c r="N471" s="122"/>
      <c r="O471" s="122"/>
      <c r="P471" s="122"/>
    </row>
    <row r="472" spans="1:16" ht="12.75">
      <c r="A472" s="126"/>
      <c r="B472" s="127"/>
      <c r="C472" s="122"/>
      <c r="D472" s="122"/>
      <c r="E472" s="122"/>
      <c r="F472" s="118"/>
      <c r="G472" s="127"/>
      <c r="H472" s="122"/>
      <c r="I472" s="118"/>
      <c r="J472" s="122"/>
      <c r="K472" s="122"/>
      <c r="L472" s="122"/>
      <c r="M472" s="118"/>
      <c r="N472" s="122"/>
      <c r="O472" s="122"/>
      <c r="P472" s="122"/>
    </row>
    <row r="473" spans="1:16" ht="12.75">
      <c r="A473" s="126"/>
      <c r="B473" s="127"/>
      <c r="C473" s="122"/>
      <c r="D473" s="122"/>
      <c r="E473" s="122"/>
      <c r="F473" s="118"/>
      <c r="G473" s="127"/>
      <c r="H473" s="122"/>
      <c r="I473" s="118"/>
      <c r="J473" s="122"/>
      <c r="K473" s="122"/>
      <c r="L473" s="122"/>
      <c r="M473" s="118"/>
      <c r="N473" s="122"/>
      <c r="O473" s="122"/>
      <c r="P473" s="122"/>
    </row>
    <row r="474" spans="1:16" ht="12.75">
      <c r="A474" s="126"/>
      <c r="B474" s="127"/>
      <c r="C474" s="122"/>
      <c r="D474" s="122"/>
      <c r="E474" s="122"/>
      <c r="F474" s="118"/>
      <c r="G474" s="127"/>
      <c r="H474" s="122"/>
      <c r="I474" s="118"/>
      <c r="J474" s="122"/>
      <c r="K474" s="122"/>
      <c r="L474" s="122"/>
      <c r="M474" s="118"/>
      <c r="N474" s="122"/>
      <c r="O474" s="122"/>
      <c r="P474" s="122"/>
    </row>
    <row r="475" spans="1:16" ht="12.75">
      <c r="A475" s="126"/>
      <c r="B475" s="127"/>
      <c r="C475" s="122"/>
      <c r="D475" s="122"/>
      <c r="E475" s="122"/>
      <c r="F475" s="118"/>
      <c r="G475" s="127"/>
      <c r="H475" s="122"/>
      <c r="I475" s="118"/>
      <c r="J475" s="122"/>
      <c r="K475" s="122"/>
      <c r="L475" s="122"/>
      <c r="M475" s="118"/>
      <c r="N475" s="122"/>
      <c r="O475" s="122"/>
      <c r="P475" s="122"/>
    </row>
    <row r="476" spans="1:16" ht="12.75">
      <c r="A476" s="126"/>
      <c r="B476" s="127"/>
      <c r="C476" s="122"/>
      <c r="D476" s="122"/>
      <c r="E476" s="122"/>
      <c r="F476" s="118"/>
      <c r="G476" s="127"/>
      <c r="H476" s="122"/>
      <c r="I476" s="118"/>
      <c r="J476" s="122"/>
      <c r="K476" s="122"/>
      <c r="L476" s="122"/>
      <c r="M476" s="118"/>
      <c r="N476" s="122"/>
      <c r="O476" s="122"/>
      <c r="P476" s="122"/>
    </row>
    <row r="477" spans="1:16" ht="12.75">
      <c r="A477" s="126"/>
      <c r="B477" s="127"/>
      <c r="C477" s="122"/>
      <c r="D477" s="122"/>
      <c r="E477" s="122"/>
      <c r="F477" s="118"/>
      <c r="G477" s="127"/>
      <c r="H477" s="122"/>
      <c r="I477" s="118"/>
      <c r="J477" s="122"/>
      <c r="K477" s="122"/>
      <c r="L477" s="122"/>
      <c r="M477" s="118"/>
      <c r="N477" s="122"/>
      <c r="O477" s="122"/>
      <c r="P477" s="122"/>
    </row>
    <row r="478" spans="1:16" ht="12.75">
      <c r="A478" s="126"/>
      <c r="B478" s="127"/>
      <c r="C478" s="122"/>
      <c r="D478" s="122"/>
      <c r="E478" s="122"/>
      <c r="F478" s="118"/>
      <c r="G478" s="127"/>
      <c r="H478" s="122"/>
      <c r="I478" s="118"/>
      <c r="J478" s="122"/>
      <c r="K478" s="122"/>
      <c r="L478" s="122"/>
      <c r="M478" s="118"/>
      <c r="N478" s="122"/>
      <c r="O478" s="122"/>
      <c r="P478" s="122"/>
    </row>
    <row r="479" spans="1:16" ht="12.75">
      <c r="A479" s="126"/>
      <c r="B479" s="127"/>
      <c r="C479" s="122"/>
      <c r="D479" s="122"/>
      <c r="E479" s="122"/>
      <c r="F479" s="118"/>
      <c r="G479" s="127"/>
      <c r="H479" s="122"/>
      <c r="I479" s="118"/>
      <c r="J479" s="122"/>
      <c r="K479" s="122"/>
      <c r="L479" s="122"/>
      <c r="M479" s="118"/>
      <c r="N479" s="122"/>
      <c r="O479" s="122"/>
      <c r="P479" s="122"/>
    </row>
    <row r="480" spans="1:16" ht="12.75">
      <c r="A480" s="126"/>
      <c r="B480" s="127"/>
      <c r="C480" s="122"/>
      <c r="D480" s="122"/>
      <c r="E480" s="122"/>
      <c r="F480" s="118"/>
      <c r="G480" s="127"/>
      <c r="H480" s="122"/>
      <c r="I480" s="118"/>
      <c r="J480" s="122"/>
      <c r="K480" s="122"/>
      <c r="L480" s="122"/>
      <c r="M480" s="118"/>
      <c r="N480" s="122"/>
      <c r="O480" s="122"/>
      <c r="P480" s="122"/>
    </row>
    <row r="481" spans="1:16" ht="12.75">
      <c r="A481" s="126"/>
      <c r="B481" s="127"/>
      <c r="C481" s="122"/>
      <c r="D481" s="122"/>
      <c r="E481" s="122"/>
      <c r="F481" s="118"/>
      <c r="G481" s="127"/>
      <c r="H481" s="122"/>
      <c r="I481" s="118"/>
      <c r="J481" s="122"/>
      <c r="K481" s="122"/>
      <c r="L481" s="122"/>
      <c r="M481" s="118"/>
      <c r="N481" s="122"/>
      <c r="O481" s="122"/>
      <c r="P481" s="122"/>
    </row>
    <row r="482" spans="1:16" ht="12.75">
      <c r="A482" s="126"/>
      <c r="B482" s="127"/>
      <c r="C482" s="122"/>
      <c r="D482" s="122"/>
      <c r="E482" s="122"/>
      <c r="F482" s="118"/>
      <c r="G482" s="127"/>
      <c r="H482" s="122"/>
      <c r="I482" s="118"/>
      <c r="J482" s="122"/>
      <c r="K482" s="122"/>
      <c r="L482" s="122"/>
      <c r="M482" s="118"/>
      <c r="N482" s="122"/>
      <c r="O482" s="122"/>
      <c r="P482" s="122"/>
    </row>
    <row r="483" spans="1:16" ht="12.75">
      <c r="A483" s="126"/>
      <c r="B483" s="127"/>
      <c r="C483" s="122"/>
      <c r="D483" s="122"/>
      <c r="E483" s="122"/>
      <c r="F483" s="118"/>
      <c r="G483" s="127"/>
      <c r="H483" s="122"/>
      <c r="I483" s="118"/>
      <c r="J483" s="122"/>
      <c r="K483" s="122"/>
      <c r="L483" s="122"/>
      <c r="M483" s="118"/>
      <c r="N483" s="122"/>
      <c r="O483" s="122"/>
      <c r="P483" s="122"/>
    </row>
    <row r="484" spans="1:16" ht="12.75">
      <c r="A484" s="126"/>
      <c r="B484" s="127"/>
      <c r="C484" s="122"/>
      <c r="D484" s="122"/>
      <c r="E484" s="122"/>
      <c r="F484" s="118"/>
      <c r="G484" s="127"/>
      <c r="H484" s="122"/>
      <c r="I484" s="118"/>
      <c r="J484" s="122"/>
      <c r="K484" s="122"/>
      <c r="L484" s="122"/>
      <c r="M484" s="118"/>
      <c r="N484" s="122"/>
      <c r="O484" s="122"/>
      <c r="P484" s="122"/>
    </row>
    <row r="485" spans="1:16" ht="12.75">
      <c r="A485" s="126"/>
      <c r="B485" s="127"/>
      <c r="C485" s="122"/>
      <c r="D485" s="122"/>
      <c r="E485" s="122"/>
      <c r="F485" s="118"/>
      <c r="G485" s="127"/>
      <c r="H485" s="122"/>
      <c r="I485" s="118"/>
      <c r="J485" s="122"/>
      <c r="K485" s="122"/>
      <c r="L485" s="122"/>
      <c r="M485" s="118"/>
      <c r="N485" s="122"/>
      <c r="O485" s="122"/>
      <c r="P485" s="122"/>
    </row>
    <row r="486" spans="1:16" ht="12.75">
      <c r="A486" s="126"/>
      <c r="B486" s="127"/>
      <c r="C486" s="122"/>
      <c r="D486" s="122"/>
      <c r="E486" s="122"/>
      <c r="F486" s="118"/>
      <c r="G486" s="127"/>
      <c r="H486" s="122"/>
      <c r="I486" s="118"/>
      <c r="J486" s="122"/>
      <c r="K486" s="122"/>
      <c r="L486" s="122"/>
      <c r="M486" s="118"/>
      <c r="N486" s="122"/>
      <c r="O486" s="122"/>
      <c r="P486" s="122"/>
    </row>
    <row r="487" spans="1:16" ht="12.75">
      <c r="A487" s="126"/>
      <c r="B487" s="127"/>
      <c r="C487" s="122"/>
      <c r="D487" s="122"/>
      <c r="E487" s="122"/>
      <c r="F487" s="118"/>
      <c r="G487" s="127"/>
      <c r="H487" s="122"/>
      <c r="I487" s="118"/>
      <c r="J487" s="122"/>
      <c r="K487" s="122"/>
      <c r="L487" s="122"/>
      <c r="M487" s="118"/>
      <c r="N487" s="122"/>
      <c r="O487" s="122"/>
      <c r="P487" s="122"/>
    </row>
    <row r="488" spans="1:16" ht="12.75">
      <c r="A488" s="126"/>
      <c r="B488" s="127"/>
      <c r="C488" s="122"/>
      <c r="D488" s="122"/>
      <c r="E488" s="122"/>
      <c r="F488" s="118"/>
      <c r="G488" s="127"/>
      <c r="H488" s="122"/>
      <c r="I488" s="118"/>
      <c r="J488" s="122"/>
      <c r="K488" s="122"/>
      <c r="L488" s="122"/>
      <c r="M488" s="118"/>
      <c r="N488" s="122"/>
      <c r="O488" s="122"/>
      <c r="P488" s="122"/>
    </row>
    <row r="489" spans="1:16" ht="12.75">
      <c r="A489" s="126"/>
      <c r="B489" s="127"/>
      <c r="C489" s="122"/>
      <c r="D489" s="122"/>
      <c r="E489" s="122"/>
      <c r="F489" s="118"/>
      <c r="G489" s="127"/>
      <c r="H489" s="122"/>
      <c r="I489" s="118"/>
      <c r="J489" s="122"/>
      <c r="K489" s="122"/>
      <c r="L489" s="122"/>
      <c r="M489" s="118"/>
      <c r="N489" s="122"/>
      <c r="O489" s="122"/>
      <c r="P489" s="122"/>
    </row>
    <row r="490" spans="1:16" ht="12.75">
      <c r="A490" s="126"/>
      <c r="B490" s="127"/>
      <c r="C490" s="122"/>
      <c r="D490" s="122"/>
      <c r="E490" s="122"/>
      <c r="F490" s="118"/>
      <c r="G490" s="127"/>
      <c r="H490" s="122"/>
      <c r="I490" s="118"/>
      <c r="J490" s="122"/>
      <c r="K490" s="122"/>
      <c r="L490" s="122"/>
      <c r="M490" s="118"/>
      <c r="N490" s="122"/>
      <c r="O490" s="122"/>
      <c r="P490" s="122"/>
    </row>
    <row r="491" spans="1:16" ht="12.75">
      <c r="A491" s="126"/>
      <c r="B491" s="127"/>
      <c r="C491" s="122"/>
      <c r="D491" s="122"/>
      <c r="E491" s="122"/>
      <c r="F491" s="118"/>
      <c r="G491" s="127"/>
      <c r="H491" s="122"/>
      <c r="I491" s="118"/>
      <c r="J491" s="122"/>
      <c r="K491" s="122"/>
      <c r="L491" s="122"/>
      <c r="M491" s="118"/>
      <c r="N491" s="122"/>
      <c r="O491" s="122"/>
      <c r="P491" s="122"/>
    </row>
    <row r="492" spans="1:16" ht="12.75">
      <c r="A492" s="126"/>
      <c r="B492" s="127"/>
      <c r="C492" s="122"/>
      <c r="D492" s="122"/>
      <c r="E492" s="122"/>
      <c r="F492" s="118"/>
      <c r="G492" s="127"/>
      <c r="H492" s="122"/>
      <c r="I492" s="118"/>
      <c r="J492" s="122"/>
      <c r="K492" s="122"/>
      <c r="L492" s="122"/>
      <c r="M492" s="118"/>
      <c r="N492" s="122"/>
      <c r="O492" s="122"/>
      <c r="P492" s="122"/>
    </row>
    <row r="493" spans="1:16" ht="12.75">
      <c r="A493" s="126"/>
      <c r="B493" s="127"/>
      <c r="C493" s="122"/>
      <c r="D493" s="122"/>
      <c r="E493" s="122"/>
      <c r="F493" s="118"/>
      <c r="G493" s="127"/>
      <c r="H493" s="122"/>
      <c r="I493" s="118"/>
      <c r="J493" s="122"/>
      <c r="K493" s="122"/>
      <c r="L493" s="122"/>
      <c r="M493" s="118"/>
      <c r="N493" s="122"/>
      <c r="O493" s="122"/>
      <c r="P493" s="122"/>
    </row>
    <row r="494" spans="1:16" ht="12.75">
      <c r="A494" s="126"/>
      <c r="B494" s="127"/>
      <c r="C494" s="122"/>
      <c r="D494" s="122"/>
      <c r="E494" s="122"/>
      <c r="F494" s="118"/>
      <c r="G494" s="127"/>
      <c r="H494" s="122"/>
      <c r="I494" s="118"/>
      <c r="J494" s="122"/>
      <c r="K494" s="122"/>
      <c r="L494" s="122"/>
      <c r="M494" s="118"/>
      <c r="N494" s="122"/>
      <c r="O494" s="122"/>
      <c r="P494" s="122"/>
    </row>
    <row r="495" spans="1:16" ht="12.75">
      <c r="A495" s="126"/>
      <c r="B495" s="127"/>
      <c r="C495" s="122"/>
      <c r="D495" s="122"/>
      <c r="E495" s="122"/>
      <c r="F495" s="118"/>
      <c r="G495" s="127"/>
      <c r="H495" s="122"/>
      <c r="I495" s="118"/>
      <c r="J495" s="122"/>
      <c r="K495" s="122"/>
      <c r="L495" s="122"/>
      <c r="M495" s="118"/>
      <c r="N495" s="122"/>
      <c r="O495" s="122"/>
      <c r="P495" s="122"/>
    </row>
    <row r="496" spans="1:16" ht="12.75">
      <c r="A496" s="126"/>
      <c r="B496" s="127"/>
      <c r="C496" s="122"/>
      <c r="D496" s="122"/>
      <c r="E496" s="122"/>
      <c r="F496" s="118"/>
      <c r="G496" s="127"/>
      <c r="H496" s="122"/>
      <c r="I496" s="118"/>
      <c r="J496" s="122"/>
      <c r="K496" s="122"/>
      <c r="L496" s="122"/>
      <c r="M496" s="118"/>
      <c r="N496" s="122"/>
      <c r="O496" s="122"/>
      <c r="P496" s="122"/>
    </row>
    <row r="497" spans="1:16" ht="12.75">
      <c r="A497" s="126"/>
      <c r="B497" s="127"/>
      <c r="C497" s="122"/>
      <c r="D497" s="122"/>
      <c r="E497" s="122"/>
      <c r="F497" s="118"/>
      <c r="G497" s="127"/>
      <c r="H497" s="122"/>
      <c r="I497" s="118"/>
      <c r="J497" s="122"/>
      <c r="K497" s="122"/>
      <c r="L497" s="122"/>
      <c r="M497" s="118"/>
      <c r="N497" s="122"/>
      <c r="O497" s="122"/>
      <c r="P497" s="122"/>
    </row>
    <row r="498" spans="1:16" ht="12.75">
      <c r="A498" s="126"/>
      <c r="B498" s="127"/>
      <c r="C498" s="122"/>
      <c r="D498" s="122"/>
      <c r="E498" s="122"/>
      <c r="F498" s="118"/>
      <c r="G498" s="127"/>
      <c r="H498" s="122"/>
      <c r="I498" s="118"/>
      <c r="J498" s="122"/>
      <c r="K498" s="122"/>
      <c r="L498" s="122"/>
      <c r="M498" s="118"/>
      <c r="N498" s="122"/>
      <c r="O498" s="122"/>
      <c r="P498" s="122"/>
    </row>
    <row r="499" spans="1:16" ht="12.75">
      <c r="A499" s="126"/>
      <c r="B499" s="127"/>
      <c r="C499" s="122"/>
      <c r="D499" s="122"/>
      <c r="E499" s="122"/>
      <c r="F499" s="118"/>
      <c r="G499" s="127"/>
      <c r="H499" s="122"/>
      <c r="I499" s="118"/>
      <c r="J499" s="122"/>
      <c r="K499" s="122"/>
      <c r="L499" s="122"/>
      <c r="M499" s="118"/>
      <c r="N499" s="122"/>
      <c r="O499" s="122"/>
      <c r="P499" s="122"/>
    </row>
    <row r="500" spans="1:16" ht="12.75">
      <c r="A500" s="126"/>
      <c r="B500" s="127"/>
      <c r="C500" s="122"/>
      <c r="D500" s="122"/>
      <c r="E500" s="122"/>
      <c r="F500" s="118"/>
      <c r="G500" s="127"/>
      <c r="H500" s="122"/>
      <c r="I500" s="118"/>
      <c r="J500" s="122"/>
      <c r="K500" s="122"/>
      <c r="L500" s="122"/>
      <c r="M500" s="118"/>
      <c r="N500" s="122"/>
      <c r="O500" s="122"/>
      <c r="P500" s="122"/>
    </row>
    <row r="501" spans="1:16" ht="12.75">
      <c r="A501" s="126"/>
      <c r="B501" s="127"/>
      <c r="C501" s="122"/>
      <c r="D501" s="122"/>
      <c r="E501" s="122"/>
      <c r="F501" s="118"/>
      <c r="G501" s="127"/>
      <c r="H501" s="122"/>
      <c r="I501" s="118"/>
      <c r="J501" s="122"/>
      <c r="K501" s="122"/>
      <c r="L501" s="122"/>
      <c r="M501" s="118"/>
      <c r="N501" s="122"/>
      <c r="O501" s="122"/>
      <c r="P501" s="122"/>
    </row>
    <row r="502" spans="1:16" ht="12.75">
      <c r="A502" s="126"/>
      <c r="B502" s="127"/>
      <c r="C502" s="122"/>
      <c r="D502" s="122"/>
      <c r="E502" s="122"/>
      <c r="F502" s="118"/>
      <c r="G502" s="127"/>
      <c r="H502" s="122"/>
      <c r="I502" s="118"/>
      <c r="J502" s="122"/>
      <c r="K502" s="122"/>
      <c r="L502" s="122"/>
      <c r="M502" s="118"/>
      <c r="N502" s="122"/>
      <c r="O502" s="122"/>
      <c r="P502" s="122"/>
    </row>
    <row r="503" spans="1:16" ht="12.75">
      <c r="A503" s="126"/>
      <c r="B503" s="127"/>
      <c r="C503" s="122"/>
      <c r="D503" s="122"/>
      <c r="E503" s="122"/>
      <c r="F503" s="118"/>
      <c r="G503" s="127"/>
      <c r="H503" s="122"/>
      <c r="I503" s="118"/>
      <c r="J503" s="122"/>
      <c r="K503" s="122"/>
      <c r="L503" s="122"/>
      <c r="M503" s="118"/>
      <c r="N503" s="122"/>
      <c r="O503" s="122"/>
      <c r="P503" s="122"/>
    </row>
    <row r="504" spans="1:16" ht="12.75">
      <c r="A504" s="126"/>
      <c r="B504" s="127"/>
      <c r="C504" s="122"/>
      <c r="D504" s="122"/>
      <c r="E504" s="122"/>
      <c r="F504" s="118"/>
      <c r="G504" s="127"/>
      <c r="H504" s="122"/>
      <c r="I504" s="118"/>
      <c r="J504" s="122"/>
      <c r="K504" s="122"/>
      <c r="L504" s="122"/>
      <c r="M504" s="118"/>
      <c r="N504" s="122"/>
      <c r="O504" s="122"/>
      <c r="P504" s="122"/>
    </row>
    <row r="505" spans="1:16" ht="12.75">
      <c r="A505" s="126"/>
      <c r="B505" s="127"/>
      <c r="C505" s="122"/>
      <c r="D505" s="122"/>
      <c r="E505" s="122"/>
      <c r="F505" s="118"/>
      <c r="G505" s="127"/>
      <c r="H505" s="122"/>
      <c r="I505" s="118"/>
      <c r="J505" s="122"/>
      <c r="K505" s="122"/>
      <c r="L505" s="122"/>
      <c r="M505" s="118"/>
      <c r="N505" s="122"/>
      <c r="O505" s="122"/>
      <c r="P505" s="122"/>
    </row>
    <row r="506" spans="1:16" ht="12.75">
      <c r="A506" s="126"/>
      <c r="B506" s="127"/>
      <c r="C506" s="122"/>
      <c r="D506" s="122"/>
      <c r="E506" s="122"/>
      <c r="F506" s="118"/>
      <c r="G506" s="127"/>
      <c r="H506" s="122"/>
      <c r="I506" s="118"/>
      <c r="J506" s="122"/>
      <c r="K506" s="122"/>
      <c r="L506" s="122"/>
      <c r="M506" s="118"/>
      <c r="N506" s="122"/>
      <c r="O506" s="122"/>
      <c r="P506" s="122"/>
    </row>
    <row r="507" spans="1:16" ht="12.75">
      <c r="A507" s="126"/>
      <c r="B507" s="127"/>
      <c r="C507" s="122"/>
      <c r="D507" s="122"/>
      <c r="E507" s="122"/>
      <c r="F507" s="118"/>
      <c r="G507" s="127"/>
      <c r="H507" s="122"/>
      <c r="I507" s="118"/>
      <c r="J507" s="122"/>
      <c r="K507" s="122"/>
      <c r="L507" s="122"/>
      <c r="M507" s="118"/>
      <c r="N507" s="122"/>
      <c r="O507" s="122"/>
      <c r="P507" s="122"/>
    </row>
    <row r="508" spans="1:16" ht="12.75">
      <c r="A508" s="126"/>
      <c r="B508" s="127"/>
      <c r="C508" s="122"/>
      <c r="D508" s="122"/>
      <c r="E508" s="122"/>
      <c r="F508" s="118"/>
      <c r="G508" s="127"/>
      <c r="H508" s="122"/>
      <c r="I508" s="118"/>
      <c r="J508" s="122"/>
      <c r="K508" s="122"/>
      <c r="L508" s="122"/>
      <c r="M508" s="118"/>
      <c r="N508" s="122"/>
      <c r="O508" s="122"/>
      <c r="P508" s="122"/>
    </row>
    <row r="509" spans="1:16" ht="12.75">
      <c r="A509" s="126"/>
      <c r="B509" s="127"/>
      <c r="C509" s="122"/>
      <c r="D509" s="122"/>
      <c r="E509" s="122"/>
      <c r="F509" s="118"/>
      <c r="G509" s="127"/>
      <c r="H509" s="122"/>
      <c r="I509" s="118"/>
      <c r="J509" s="122"/>
      <c r="K509" s="122"/>
      <c r="L509" s="122"/>
      <c r="M509" s="118"/>
      <c r="N509" s="122"/>
      <c r="O509" s="122"/>
      <c r="P509" s="122"/>
    </row>
    <row r="510" spans="1:16" ht="12.75">
      <c r="A510" s="126"/>
      <c r="B510" s="127"/>
      <c r="C510" s="122"/>
      <c r="D510" s="122"/>
      <c r="E510" s="122"/>
      <c r="F510" s="118"/>
      <c r="G510" s="127"/>
      <c r="H510" s="122"/>
      <c r="I510" s="118"/>
      <c r="J510" s="122"/>
      <c r="K510" s="122"/>
      <c r="L510" s="122"/>
      <c r="M510" s="118"/>
      <c r="N510" s="122"/>
      <c r="O510" s="122"/>
      <c r="P510" s="122"/>
    </row>
    <row r="511" spans="1:16" ht="12.75">
      <c r="A511" s="126"/>
      <c r="B511" s="127"/>
      <c r="C511" s="122"/>
      <c r="D511" s="122"/>
      <c r="E511" s="122"/>
      <c r="F511" s="118"/>
      <c r="G511" s="127"/>
      <c r="H511" s="122"/>
      <c r="I511" s="118"/>
      <c r="J511" s="122"/>
      <c r="K511" s="122"/>
      <c r="L511" s="122"/>
      <c r="M511" s="118"/>
      <c r="N511" s="122"/>
      <c r="O511" s="122"/>
      <c r="P511" s="122"/>
    </row>
    <row r="512" spans="1:16" ht="12.75">
      <c r="A512" s="126"/>
      <c r="B512" s="127"/>
      <c r="C512" s="122"/>
      <c r="D512" s="122"/>
      <c r="E512" s="122"/>
      <c r="F512" s="118"/>
      <c r="G512" s="127"/>
      <c r="H512" s="122"/>
      <c r="I512" s="118"/>
      <c r="J512" s="122"/>
      <c r="K512" s="122"/>
      <c r="L512" s="122"/>
      <c r="M512" s="118"/>
      <c r="N512" s="122"/>
      <c r="O512" s="122"/>
      <c r="P512" s="122"/>
    </row>
    <row r="513" spans="1:16" ht="12.75">
      <c r="A513" s="126"/>
      <c r="B513" s="127"/>
      <c r="C513" s="122"/>
      <c r="D513" s="122"/>
      <c r="E513" s="122"/>
      <c r="F513" s="118"/>
      <c r="G513" s="127"/>
      <c r="H513" s="122"/>
      <c r="I513" s="118"/>
      <c r="J513" s="122"/>
      <c r="K513" s="122"/>
      <c r="L513" s="122"/>
      <c r="M513" s="118"/>
      <c r="N513" s="122"/>
      <c r="O513" s="122"/>
      <c r="P513" s="122"/>
    </row>
    <row r="514" spans="1:16" ht="12.75">
      <c r="A514" s="126"/>
      <c r="B514" s="127"/>
      <c r="C514" s="122"/>
      <c r="D514" s="122"/>
      <c r="E514" s="122"/>
      <c r="F514" s="118"/>
      <c r="G514" s="127"/>
      <c r="H514" s="122"/>
      <c r="I514" s="118"/>
      <c r="J514" s="122"/>
      <c r="K514" s="122"/>
      <c r="L514" s="122"/>
      <c r="M514" s="118"/>
      <c r="N514" s="122"/>
      <c r="O514" s="122"/>
      <c r="P514" s="122"/>
    </row>
    <row r="515" spans="1:16" ht="12.75">
      <c r="A515" s="126"/>
      <c r="B515" s="127"/>
      <c r="C515" s="122"/>
      <c r="D515" s="122"/>
      <c r="E515" s="122"/>
      <c r="F515" s="118"/>
      <c r="G515" s="127"/>
      <c r="H515" s="122"/>
      <c r="I515" s="118"/>
      <c r="J515" s="122"/>
      <c r="K515" s="122"/>
      <c r="L515" s="122"/>
      <c r="M515" s="118"/>
      <c r="N515" s="122"/>
      <c r="O515" s="122"/>
      <c r="P515" s="122"/>
    </row>
    <row r="516" spans="1:16" ht="12.75">
      <c r="A516" s="126"/>
      <c r="B516" s="127"/>
      <c r="C516" s="122"/>
      <c r="D516" s="122"/>
      <c r="E516" s="122"/>
      <c r="F516" s="118"/>
      <c r="G516" s="127"/>
      <c r="H516" s="122"/>
      <c r="I516" s="118"/>
      <c r="J516" s="122"/>
      <c r="K516" s="122"/>
      <c r="L516" s="122"/>
      <c r="M516" s="118"/>
      <c r="N516" s="122"/>
      <c r="O516" s="122"/>
      <c r="P516" s="122"/>
    </row>
    <row r="517" spans="1:16" ht="12.75">
      <c r="A517" s="126"/>
      <c r="B517" s="127"/>
      <c r="C517" s="122"/>
      <c r="D517" s="122"/>
      <c r="E517" s="122"/>
      <c r="F517" s="118"/>
      <c r="G517" s="127"/>
      <c r="H517" s="122"/>
      <c r="I517" s="118"/>
      <c r="J517" s="122"/>
      <c r="K517" s="122"/>
      <c r="L517" s="122"/>
      <c r="M517" s="118"/>
      <c r="N517" s="122"/>
      <c r="O517" s="122"/>
      <c r="P517" s="122"/>
    </row>
    <row r="518" spans="1:16" ht="12.75">
      <c r="A518" s="126"/>
      <c r="B518" s="127"/>
      <c r="C518" s="122"/>
      <c r="D518" s="122"/>
      <c r="E518" s="122"/>
      <c r="F518" s="118"/>
      <c r="G518" s="127"/>
      <c r="H518" s="122"/>
      <c r="I518" s="118"/>
      <c r="J518" s="122"/>
      <c r="K518" s="122"/>
      <c r="L518" s="122"/>
      <c r="M518" s="118"/>
      <c r="N518" s="122"/>
      <c r="O518" s="122"/>
      <c r="P518" s="122"/>
    </row>
    <row r="519" spans="1:16" ht="12.75">
      <c r="A519" s="126"/>
      <c r="B519" s="127"/>
      <c r="C519" s="122"/>
      <c r="D519" s="122"/>
      <c r="E519" s="122"/>
      <c r="F519" s="118"/>
      <c r="G519" s="127"/>
      <c r="H519" s="122"/>
      <c r="I519" s="118"/>
      <c r="J519" s="122"/>
      <c r="K519" s="122"/>
      <c r="L519" s="122"/>
      <c r="M519" s="118"/>
      <c r="N519" s="122"/>
      <c r="O519" s="122"/>
      <c r="P519" s="122"/>
    </row>
    <row r="520" spans="1:16" ht="12.75">
      <c r="A520" s="126"/>
      <c r="B520" s="127"/>
      <c r="C520" s="122"/>
      <c r="D520" s="122"/>
      <c r="E520" s="122"/>
      <c r="F520" s="118"/>
      <c r="G520" s="127"/>
      <c r="H520" s="122"/>
      <c r="I520" s="118"/>
      <c r="J520" s="122"/>
      <c r="K520" s="122"/>
      <c r="L520" s="122"/>
      <c r="M520" s="118"/>
      <c r="N520" s="122"/>
      <c r="O520" s="122"/>
      <c r="P520" s="122"/>
    </row>
    <row r="521" spans="1:16" ht="12.75">
      <c r="A521" s="126"/>
      <c r="B521" s="127"/>
      <c r="C521" s="122"/>
      <c r="D521" s="122"/>
      <c r="E521" s="122"/>
      <c r="F521" s="118"/>
      <c r="G521" s="127"/>
      <c r="H521" s="122"/>
      <c r="I521" s="118"/>
      <c r="J521" s="122"/>
      <c r="K521" s="122"/>
      <c r="L521" s="122"/>
      <c r="M521" s="118"/>
      <c r="N521" s="122"/>
      <c r="O521" s="122"/>
      <c r="P521" s="122"/>
    </row>
    <row r="522" spans="1:16" ht="12.75">
      <c r="A522" s="126"/>
      <c r="B522" s="127"/>
      <c r="C522" s="122"/>
      <c r="D522" s="122"/>
      <c r="E522" s="122"/>
      <c r="F522" s="118"/>
      <c r="G522" s="127"/>
      <c r="H522" s="122"/>
      <c r="I522" s="118"/>
      <c r="J522" s="122"/>
      <c r="K522" s="122"/>
      <c r="L522" s="122"/>
      <c r="M522" s="118"/>
      <c r="N522" s="122"/>
      <c r="O522" s="122"/>
      <c r="P522" s="122"/>
    </row>
    <row r="523" spans="1:16" ht="12.75">
      <c r="A523" s="126"/>
      <c r="B523" s="127"/>
      <c r="C523" s="122"/>
      <c r="D523" s="122"/>
      <c r="E523" s="122"/>
      <c r="F523" s="118"/>
      <c r="G523" s="127"/>
      <c r="H523" s="122"/>
      <c r="I523" s="118"/>
      <c r="J523" s="122"/>
      <c r="K523" s="122"/>
      <c r="L523" s="122"/>
      <c r="M523" s="118"/>
      <c r="N523" s="122"/>
      <c r="O523" s="122"/>
      <c r="P523" s="122"/>
    </row>
    <row r="524" spans="1:16" ht="12.75">
      <c r="A524" s="126"/>
      <c r="B524" s="127"/>
      <c r="C524" s="122"/>
      <c r="D524" s="122"/>
      <c r="E524" s="122"/>
      <c r="F524" s="118"/>
      <c r="G524" s="127"/>
      <c r="H524" s="122"/>
      <c r="I524" s="118"/>
      <c r="J524" s="122"/>
      <c r="K524" s="122"/>
      <c r="L524" s="122"/>
      <c r="M524" s="118"/>
      <c r="N524" s="122"/>
      <c r="O524" s="122"/>
      <c r="P524" s="122"/>
    </row>
    <row r="525" spans="1:16" ht="12.75">
      <c r="A525" s="126"/>
      <c r="B525" s="127"/>
      <c r="C525" s="122"/>
      <c r="D525" s="122"/>
      <c r="E525" s="122"/>
      <c r="F525" s="118"/>
      <c r="G525" s="127"/>
      <c r="H525" s="122"/>
      <c r="I525" s="118"/>
      <c r="J525" s="122"/>
      <c r="K525" s="122"/>
      <c r="L525" s="122"/>
      <c r="M525" s="118"/>
      <c r="N525" s="122"/>
      <c r="O525" s="122"/>
      <c r="P525" s="122"/>
    </row>
    <row r="526" spans="1:16" ht="12.75">
      <c r="A526" s="126"/>
      <c r="B526" s="127"/>
      <c r="C526" s="122"/>
      <c r="D526" s="122"/>
      <c r="E526" s="122"/>
      <c r="F526" s="118"/>
      <c r="G526" s="127"/>
      <c r="H526" s="122"/>
      <c r="I526" s="118"/>
      <c r="J526" s="122"/>
      <c r="K526" s="122"/>
      <c r="L526" s="122"/>
      <c r="M526" s="118"/>
      <c r="N526" s="122"/>
      <c r="O526" s="122"/>
      <c r="P526" s="122"/>
    </row>
    <row r="527" spans="1:16" ht="12.75">
      <c r="A527" s="126"/>
      <c r="B527" s="127"/>
      <c r="C527" s="122"/>
      <c r="D527" s="122"/>
      <c r="E527" s="122"/>
      <c r="F527" s="118"/>
      <c r="G527" s="127"/>
      <c r="H527" s="122"/>
      <c r="I527" s="118"/>
      <c r="J527" s="122"/>
      <c r="K527" s="122"/>
      <c r="L527" s="122"/>
      <c r="M527" s="118"/>
      <c r="N527" s="122"/>
      <c r="O527" s="122"/>
      <c r="P527" s="122"/>
    </row>
    <row r="528" spans="1:16" ht="12.75">
      <c r="A528" s="126"/>
      <c r="B528" s="127"/>
      <c r="C528" s="122"/>
      <c r="D528" s="122"/>
      <c r="E528" s="122"/>
      <c r="F528" s="118"/>
      <c r="G528" s="127"/>
      <c r="H528" s="122"/>
      <c r="I528" s="118"/>
      <c r="J528" s="122"/>
      <c r="K528" s="122"/>
      <c r="L528" s="122"/>
      <c r="M528" s="118"/>
      <c r="N528" s="122"/>
      <c r="O528" s="122"/>
      <c r="P528" s="122"/>
    </row>
    <row r="529" spans="1:16" ht="12.75">
      <c r="A529" s="126"/>
      <c r="B529" s="127"/>
      <c r="C529" s="122"/>
      <c r="D529" s="122"/>
      <c r="E529" s="122"/>
      <c r="F529" s="118"/>
      <c r="G529" s="127"/>
      <c r="H529" s="122"/>
      <c r="I529" s="118"/>
      <c r="J529" s="122"/>
      <c r="K529" s="122"/>
      <c r="L529" s="122"/>
      <c r="M529" s="118"/>
      <c r="N529" s="122"/>
      <c r="O529" s="122"/>
      <c r="P529" s="122"/>
    </row>
    <row r="530" spans="1:16" ht="12.75">
      <c r="A530" s="126"/>
      <c r="B530" s="127"/>
      <c r="C530" s="122"/>
      <c r="D530" s="122"/>
      <c r="E530" s="122"/>
      <c r="F530" s="118"/>
      <c r="G530" s="127"/>
      <c r="H530" s="122"/>
      <c r="I530" s="118"/>
      <c r="J530" s="122"/>
      <c r="K530" s="122"/>
      <c r="L530" s="122"/>
      <c r="M530" s="118"/>
      <c r="N530" s="122"/>
      <c r="O530" s="122"/>
      <c r="P530" s="122"/>
    </row>
    <row r="531" spans="1:16" ht="12.75">
      <c r="A531" s="126"/>
      <c r="B531" s="127"/>
      <c r="C531" s="122"/>
      <c r="D531" s="122"/>
      <c r="E531" s="122"/>
      <c r="F531" s="118"/>
      <c r="G531" s="127"/>
      <c r="H531" s="122"/>
      <c r="I531" s="118"/>
      <c r="J531" s="122"/>
      <c r="K531" s="122"/>
      <c r="L531" s="122"/>
      <c r="M531" s="118"/>
      <c r="N531" s="122"/>
      <c r="O531" s="122"/>
      <c r="P531" s="122"/>
    </row>
    <row r="532" spans="1:16" ht="12.75">
      <c r="A532" s="126"/>
      <c r="B532" s="127"/>
      <c r="C532" s="122"/>
      <c r="D532" s="122"/>
      <c r="E532" s="122"/>
      <c r="F532" s="118"/>
      <c r="G532" s="127"/>
      <c r="H532" s="122"/>
      <c r="I532" s="118"/>
      <c r="J532" s="122"/>
      <c r="K532" s="122"/>
      <c r="L532" s="122"/>
      <c r="M532" s="118"/>
      <c r="N532" s="122"/>
      <c r="O532" s="122"/>
      <c r="P532" s="122"/>
    </row>
    <row r="533" spans="1:16" ht="12.75">
      <c r="A533" s="126"/>
      <c r="B533" s="127"/>
      <c r="C533" s="122"/>
      <c r="D533" s="122"/>
      <c r="E533" s="122"/>
      <c r="F533" s="118"/>
      <c r="G533" s="127"/>
      <c r="H533" s="122"/>
      <c r="I533" s="118"/>
      <c r="J533" s="122"/>
      <c r="K533" s="122"/>
      <c r="L533" s="122"/>
      <c r="M533" s="118"/>
      <c r="N533" s="122"/>
      <c r="O533" s="122"/>
      <c r="P533" s="122"/>
    </row>
    <row r="534" spans="1:16" ht="12.75">
      <c r="A534" s="126"/>
      <c r="B534" s="127"/>
      <c r="C534" s="122"/>
      <c r="D534" s="122"/>
      <c r="E534" s="122"/>
      <c r="F534" s="118"/>
      <c r="G534" s="127"/>
      <c r="H534" s="122"/>
      <c r="I534" s="118"/>
      <c r="J534" s="122"/>
      <c r="K534" s="122"/>
      <c r="L534" s="122"/>
      <c r="M534" s="118"/>
      <c r="N534" s="122"/>
      <c r="O534" s="122"/>
      <c r="P534" s="122"/>
    </row>
    <row r="535" spans="1:16" ht="12.75">
      <c r="A535" s="126"/>
      <c r="B535" s="127"/>
      <c r="C535" s="122"/>
      <c r="D535" s="122"/>
      <c r="E535" s="122"/>
      <c r="F535" s="118"/>
      <c r="G535" s="127"/>
      <c r="H535" s="122"/>
      <c r="I535" s="118"/>
      <c r="J535" s="122"/>
      <c r="K535" s="122"/>
      <c r="L535" s="122"/>
      <c r="M535" s="118"/>
      <c r="N535" s="122"/>
      <c r="O535" s="122"/>
      <c r="P535" s="122"/>
    </row>
    <row r="536" spans="1:16" ht="12.75">
      <c r="A536" s="126"/>
      <c r="B536" s="127"/>
      <c r="C536" s="122"/>
      <c r="D536" s="122"/>
      <c r="E536" s="122"/>
      <c r="F536" s="118"/>
      <c r="G536" s="127"/>
      <c r="H536" s="122"/>
      <c r="I536" s="118"/>
      <c r="J536" s="122"/>
      <c r="K536" s="122"/>
      <c r="L536" s="122"/>
      <c r="M536" s="118"/>
      <c r="N536" s="122"/>
      <c r="O536" s="122"/>
      <c r="P536" s="122"/>
    </row>
    <row r="537" spans="1:16" ht="12.75">
      <c r="A537" s="126"/>
      <c r="B537" s="127"/>
      <c r="C537" s="122"/>
      <c r="D537" s="122"/>
      <c r="E537" s="122"/>
      <c r="F537" s="118"/>
      <c r="G537" s="127"/>
      <c r="H537" s="122"/>
      <c r="I537" s="118"/>
      <c r="J537" s="122"/>
      <c r="K537" s="122"/>
      <c r="L537" s="122"/>
      <c r="M537" s="118"/>
      <c r="N537" s="122"/>
      <c r="O537" s="122"/>
      <c r="P537" s="122"/>
    </row>
    <row r="538" spans="1:16" ht="12.75">
      <c r="A538" s="126"/>
      <c r="B538" s="127"/>
      <c r="C538" s="122"/>
      <c r="D538" s="122"/>
      <c r="E538" s="122"/>
      <c r="F538" s="118"/>
      <c r="G538" s="127"/>
      <c r="H538" s="122"/>
      <c r="I538" s="118"/>
      <c r="J538" s="122"/>
      <c r="K538" s="122"/>
      <c r="L538" s="122"/>
      <c r="M538" s="118"/>
      <c r="N538" s="122"/>
      <c r="O538" s="122"/>
      <c r="P538" s="122"/>
    </row>
    <row r="539" spans="1:16" ht="12.75">
      <c r="A539" s="126"/>
      <c r="B539" s="127"/>
      <c r="C539" s="122"/>
      <c r="D539" s="122"/>
      <c r="E539" s="122"/>
      <c r="F539" s="118"/>
      <c r="G539" s="127"/>
      <c r="H539" s="122"/>
      <c r="I539" s="118"/>
      <c r="J539" s="122"/>
      <c r="K539" s="122"/>
      <c r="L539" s="122"/>
      <c r="M539" s="118"/>
      <c r="N539" s="122"/>
      <c r="O539" s="122"/>
      <c r="P539" s="122"/>
    </row>
    <row r="540" spans="1:16" ht="12.75">
      <c r="A540" s="126"/>
      <c r="B540" s="127"/>
      <c r="C540" s="122"/>
      <c r="D540" s="122"/>
      <c r="E540" s="122"/>
      <c r="F540" s="118"/>
      <c r="G540" s="127"/>
      <c r="H540" s="122"/>
      <c r="I540" s="118"/>
      <c r="J540" s="122"/>
      <c r="K540" s="122"/>
      <c r="L540" s="122"/>
      <c r="M540" s="118"/>
      <c r="N540" s="122"/>
      <c r="O540" s="122"/>
      <c r="P540" s="122"/>
    </row>
    <row r="541" spans="1:16" ht="12.75">
      <c r="A541" s="126"/>
      <c r="B541" s="127"/>
      <c r="C541" s="122"/>
      <c r="D541" s="122"/>
      <c r="E541" s="122"/>
      <c r="F541" s="118"/>
      <c r="G541" s="127"/>
      <c r="H541" s="122"/>
      <c r="I541" s="118"/>
      <c r="J541" s="122"/>
      <c r="K541" s="122"/>
      <c r="L541" s="122"/>
      <c r="M541" s="118"/>
      <c r="N541" s="122"/>
      <c r="O541" s="122"/>
      <c r="P541" s="122"/>
    </row>
    <row r="542" spans="1:16" ht="12.75">
      <c r="A542" s="126"/>
      <c r="B542" s="127"/>
      <c r="C542" s="122"/>
      <c r="D542" s="122"/>
      <c r="E542" s="122"/>
      <c r="F542" s="118"/>
      <c r="G542" s="127"/>
      <c r="H542" s="122"/>
      <c r="I542" s="118"/>
      <c r="J542" s="122"/>
      <c r="K542" s="122"/>
      <c r="L542" s="122"/>
      <c r="M542" s="118"/>
      <c r="N542" s="122"/>
      <c r="O542" s="122"/>
      <c r="P542" s="122"/>
    </row>
    <row r="543" spans="1:16" ht="12.75">
      <c r="A543" s="126"/>
      <c r="B543" s="127"/>
      <c r="C543" s="122"/>
      <c r="D543" s="122"/>
      <c r="E543" s="122"/>
      <c r="F543" s="118"/>
      <c r="G543" s="127"/>
      <c r="H543" s="122"/>
      <c r="I543" s="118"/>
      <c r="J543" s="122"/>
      <c r="K543" s="122"/>
      <c r="L543" s="122"/>
      <c r="M543" s="118"/>
      <c r="N543" s="122"/>
      <c r="O543" s="122"/>
      <c r="P543" s="122"/>
    </row>
    <row r="544" spans="1:16" ht="12.75">
      <c r="A544" s="126"/>
      <c r="B544" s="127"/>
      <c r="C544" s="122"/>
      <c r="D544" s="122"/>
      <c r="E544" s="122"/>
      <c r="F544" s="118"/>
      <c r="G544" s="127"/>
      <c r="H544" s="122"/>
      <c r="I544" s="118"/>
      <c r="J544" s="122"/>
      <c r="K544" s="122"/>
      <c r="L544" s="122"/>
      <c r="M544" s="118"/>
      <c r="N544" s="122"/>
      <c r="O544" s="122"/>
      <c r="P544" s="122"/>
    </row>
    <row r="545" spans="1:16" ht="12.75">
      <c r="A545" s="126"/>
      <c r="B545" s="127"/>
      <c r="C545" s="122"/>
      <c r="D545" s="122"/>
      <c r="E545" s="122"/>
      <c r="F545" s="118"/>
      <c r="G545" s="127"/>
      <c r="H545" s="122"/>
      <c r="I545" s="118"/>
      <c r="J545" s="122"/>
      <c r="K545" s="122"/>
      <c r="L545" s="122"/>
      <c r="M545" s="118"/>
      <c r="N545" s="122"/>
      <c r="O545" s="122"/>
      <c r="P545" s="122"/>
    </row>
    <row r="546" spans="1:16" ht="12.75">
      <c r="A546" s="126"/>
      <c r="B546" s="127"/>
      <c r="C546" s="122"/>
      <c r="D546" s="122"/>
      <c r="E546" s="122"/>
      <c r="F546" s="118"/>
      <c r="G546" s="127"/>
      <c r="H546" s="122"/>
      <c r="I546" s="118"/>
      <c r="J546" s="122"/>
      <c r="K546" s="122"/>
      <c r="L546" s="122"/>
      <c r="M546" s="118"/>
      <c r="N546" s="122"/>
      <c r="O546" s="122"/>
      <c r="P546" s="122"/>
    </row>
    <row r="547" spans="1:16" ht="12.75">
      <c r="A547" s="126"/>
      <c r="B547" s="127"/>
      <c r="C547" s="122"/>
      <c r="D547" s="122"/>
      <c r="E547" s="122"/>
      <c r="F547" s="118"/>
      <c r="G547" s="127"/>
      <c r="H547" s="122"/>
      <c r="I547" s="118"/>
      <c r="J547" s="122"/>
      <c r="K547" s="122"/>
      <c r="L547" s="122"/>
      <c r="M547" s="118"/>
      <c r="N547" s="122"/>
      <c r="O547" s="122"/>
      <c r="P547" s="122"/>
    </row>
    <row r="548" spans="1:16" ht="12.75">
      <c r="A548" s="126"/>
      <c r="B548" s="127"/>
      <c r="C548" s="122"/>
      <c r="D548" s="122"/>
      <c r="E548" s="122"/>
      <c r="F548" s="118"/>
      <c r="G548" s="127"/>
      <c r="H548" s="122"/>
      <c r="I548" s="118"/>
      <c r="J548" s="122"/>
      <c r="K548" s="122"/>
      <c r="L548" s="122"/>
      <c r="M548" s="118"/>
      <c r="N548" s="122"/>
      <c r="O548" s="122"/>
      <c r="P548" s="122"/>
    </row>
    <row r="549" spans="1:16" ht="12.75">
      <c r="A549" s="126"/>
      <c r="B549" s="127"/>
      <c r="C549" s="122"/>
      <c r="D549" s="122"/>
      <c r="E549" s="122"/>
      <c r="F549" s="118"/>
      <c r="G549" s="127"/>
      <c r="H549" s="122"/>
      <c r="I549" s="118"/>
      <c r="J549" s="122"/>
      <c r="K549" s="122"/>
      <c r="L549" s="122"/>
      <c r="M549" s="118"/>
      <c r="N549" s="122"/>
      <c r="O549" s="122"/>
      <c r="P549" s="122"/>
    </row>
    <row r="550" spans="1:16" ht="12.75">
      <c r="A550" s="126"/>
      <c r="B550" s="127"/>
      <c r="C550" s="122"/>
      <c r="D550" s="122"/>
      <c r="E550" s="122"/>
      <c r="F550" s="118"/>
      <c r="G550" s="127"/>
      <c r="H550" s="122"/>
      <c r="I550" s="118"/>
      <c r="J550" s="122"/>
      <c r="K550" s="122"/>
      <c r="L550" s="122"/>
      <c r="M550" s="118"/>
      <c r="N550" s="122"/>
      <c r="O550" s="122"/>
      <c r="P550" s="122"/>
    </row>
    <row r="551" spans="1:16" ht="12.75">
      <c r="A551" s="126"/>
      <c r="B551" s="127"/>
      <c r="C551" s="122"/>
      <c r="D551" s="122"/>
      <c r="E551" s="122"/>
      <c r="F551" s="118"/>
      <c r="G551" s="127"/>
      <c r="H551" s="122"/>
      <c r="I551" s="118"/>
      <c r="J551" s="122"/>
      <c r="K551" s="122"/>
      <c r="L551" s="122"/>
      <c r="M551" s="118"/>
      <c r="N551" s="122"/>
      <c r="O551" s="122"/>
      <c r="P551" s="122"/>
    </row>
    <row r="552" spans="1:16" ht="12.75">
      <c r="A552" s="126"/>
      <c r="B552" s="127"/>
      <c r="C552" s="122"/>
      <c r="D552" s="122"/>
      <c r="E552" s="122"/>
      <c r="F552" s="118"/>
      <c r="G552" s="127"/>
      <c r="H552" s="122"/>
      <c r="I552" s="118"/>
      <c r="J552" s="122"/>
      <c r="K552" s="122"/>
      <c r="L552" s="122"/>
      <c r="M552" s="118"/>
      <c r="N552" s="122"/>
      <c r="O552" s="122"/>
      <c r="P552" s="122"/>
    </row>
    <row r="553" spans="1:16" ht="12.75">
      <c r="A553" s="126"/>
      <c r="B553" s="127"/>
      <c r="C553" s="122"/>
      <c r="D553" s="122"/>
      <c r="E553" s="122"/>
      <c r="F553" s="118"/>
      <c r="G553" s="127"/>
      <c r="H553" s="122"/>
      <c r="I553" s="118"/>
      <c r="J553" s="122"/>
      <c r="K553" s="122"/>
      <c r="L553" s="122"/>
      <c r="M553" s="118"/>
      <c r="N553" s="122"/>
      <c r="O553" s="122"/>
      <c r="P553" s="122"/>
    </row>
    <row r="554" spans="1:16" ht="12.75">
      <c r="A554" s="126"/>
      <c r="B554" s="127"/>
      <c r="C554" s="122"/>
      <c r="D554" s="122"/>
      <c r="E554" s="122"/>
      <c r="F554" s="118"/>
      <c r="G554" s="127"/>
      <c r="H554" s="122"/>
      <c r="I554" s="118"/>
      <c r="J554" s="122"/>
      <c r="K554" s="122"/>
      <c r="L554" s="122"/>
      <c r="M554" s="118"/>
      <c r="N554" s="122"/>
      <c r="O554" s="122"/>
      <c r="P554" s="122"/>
    </row>
    <row r="555" spans="1:16" ht="12.75">
      <c r="A555" s="126"/>
      <c r="B555" s="127"/>
      <c r="C555" s="122"/>
      <c r="D555" s="122"/>
      <c r="E555" s="122"/>
      <c r="F555" s="118"/>
      <c r="G555" s="127"/>
      <c r="H555" s="122"/>
      <c r="I555" s="118"/>
      <c r="J555" s="122"/>
      <c r="K555" s="122"/>
      <c r="L555" s="122"/>
      <c r="M555" s="118"/>
      <c r="N555" s="122"/>
      <c r="O555" s="122"/>
      <c r="P555" s="122"/>
    </row>
    <row r="556" spans="1:16" ht="12.75">
      <c r="A556" s="126"/>
      <c r="B556" s="127"/>
      <c r="C556" s="122"/>
      <c r="D556" s="122"/>
      <c r="E556" s="122"/>
      <c r="F556" s="118"/>
      <c r="G556" s="127"/>
      <c r="H556" s="122"/>
      <c r="I556" s="118"/>
      <c r="J556" s="122"/>
      <c r="K556" s="122"/>
      <c r="L556" s="122"/>
      <c r="M556" s="118"/>
      <c r="N556" s="122"/>
      <c r="O556" s="122"/>
      <c r="P556" s="122"/>
    </row>
    <row r="557" spans="1:16" ht="12.75">
      <c r="A557" s="126"/>
      <c r="B557" s="127"/>
      <c r="C557" s="122"/>
      <c r="D557" s="122"/>
      <c r="E557" s="122"/>
      <c r="F557" s="118"/>
      <c r="G557" s="127"/>
      <c r="H557" s="122"/>
      <c r="I557" s="118"/>
      <c r="J557" s="122"/>
      <c r="K557" s="122"/>
      <c r="L557" s="122"/>
      <c r="M557" s="118"/>
      <c r="N557" s="122"/>
      <c r="O557" s="122"/>
      <c r="P557" s="122"/>
    </row>
    <row r="558" spans="1:16" ht="12.75">
      <c r="A558" s="126"/>
      <c r="B558" s="127"/>
      <c r="C558" s="122"/>
      <c r="D558" s="122"/>
      <c r="E558" s="122"/>
      <c r="F558" s="118"/>
      <c r="G558" s="127"/>
      <c r="H558" s="122"/>
      <c r="I558" s="118"/>
      <c r="J558" s="122"/>
      <c r="K558" s="122"/>
      <c r="L558" s="122"/>
      <c r="M558" s="118"/>
      <c r="N558" s="122"/>
      <c r="O558" s="122"/>
      <c r="P558" s="122"/>
    </row>
    <row r="559" spans="1:16" ht="12.75">
      <c r="A559" s="126"/>
      <c r="B559" s="127"/>
      <c r="C559" s="122"/>
      <c r="D559" s="122"/>
      <c r="E559" s="122"/>
      <c r="F559" s="118"/>
      <c r="G559" s="127"/>
      <c r="H559" s="122"/>
      <c r="I559" s="118"/>
      <c r="J559" s="122"/>
      <c r="K559" s="122"/>
      <c r="L559" s="122"/>
      <c r="M559" s="118"/>
      <c r="N559" s="122"/>
      <c r="O559" s="122"/>
      <c r="P559" s="122"/>
    </row>
    <row r="560" spans="1:16" ht="12.75">
      <c r="A560" s="126"/>
      <c r="B560" s="127"/>
      <c r="C560" s="122"/>
      <c r="D560" s="122"/>
      <c r="E560" s="122"/>
      <c r="F560" s="118"/>
      <c r="G560" s="127"/>
      <c r="H560" s="122"/>
      <c r="I560" s="118"/>
      <c r="J560" s="122"/>
      <c r="K560" s="122"/>
      <c r="L560" s="122"/>
      <c r="M560" s="118"/>
      <c r="N560" s="122"/>
      <c r="O560" s="122"/>
      <c r="P560" s="122"/>
    </row>
    <row r="561" spans="1:16" ht="12.75">
      <c r="A561" s="126"/>
      <c r="B561" s="127"/>
      <c r="C561" s="122"/>
      <c r="D561" s="122"/>
      <c r="E561" s="122"/>
      <c r="F561" s="118"/>
      <c r="G561" s="127"/>
      <c r="H561" s="122"/>
      <c r="I561" s="118"/>
      <c r="J561" s="122"/>
      <c r="K561" s="122"/>
      <c r="L561" s="122"/>
      <c r="M561" s="118"/>
      <c r="N561" s="122"/>
      <c r="O561" s="122"/>
      <c r="P561" s="122"/>
    </row>
    <row r="562" spans="1:16" ht="12.75">
      <c r="A562" s="126"/>
      <c r="B562" s="127"/>
      <c r="C562" s="122"/>
      <c r="D562" s="122"/>
      <c r="E562" s="122"/>
      <c r="F562" s="118"/>
      <c r="G562" s="127"/>
      <c r="H562" s="122"/>
      <c r="I562" s="118"/>
      <c r="J562" s="122"/>
      <c r="K562" s="122"/>
      <c r="L562" s="122"/>
      <c r="M562" s="118"/>
      <c r="N562" s="122"/>
      <c r="O562" s="122"/>
      <c r="P562" s="122"/>
    </row>
    <row r="563" spans="1:16" ht="12.75">
      <c r="A563" s="126"/>
      <c r="B563" s="127"/>
      <c r="C563" s="122"/>
      <c r="D563" s="122"/>
      <c r="E563" s="122"/>
      <c r="F563" s="118"/>
      <c r="G563" s="127"/>
      <c r="H563" s="122"/>
      <c r="I563" s="118"/>
      <c r="J563" s="122"/>
      <c r="K563" s="122"/>
      <c r="L563" s="122"/>
      <c r="M563" s="118"/>
      <c r="N563" s="122"/>
      <c r="O563" s="122"/>
      <c r="P563" s="122"/>
    </row>
    <row r="564" spans="1:16" ht="12.75">
      <c r="A564" s="126"/>
      <c r="B564" s="127"/>
      <c r="C564" s="122"/>
      <c r="D564" s="122"/>
      <c r="E564" s="122"/>
      <c r="F564" s="118"/>
      <c r="G564" s="127"/>
      <c r="H564" s="122"/>
      <c r="I564" s="118"/>
      <c r="J564" s="122"/>
      <c r="K564" s="122"/>
      <c r="L564" s="122"/>
      <c r="M564" s="118"/>
      <c r="N564" s="122"/>
      <c r="O564" s="122"/>
      <c r="P564" s="122"/>
    </row>
    <row r="565" spans="1:16" ht="12.75">
      <c r="A565" s="126"/>
      <c r="B565" s="127"/>
      <c r="C565" s="122"/>
      <c r="D565" s="122"/>
      <c r="E565" s="122"/>
      <c r="F565" s="118"/>
      <c r="G565" s="127"/>
      <c r="H565" s="122"/>
      <c r="I565" s="118"/>
      <c r="J565" s="122"/>
      <c r="K565" s="122"/>
      <c r="L565" s="122"/>
      <c r="M565" s="118"/>
      <c r="N565" s="122"/>
      <c r="O565" s="122"/>
      <c r="P565" s="122"/>
    </row>
    <row r="566" spans="1:16" ht="12.75">
      <c r="A566" s="126"/>
      <c r="B566" s="127"/>
      <c r="C566" s="122"/>
      <c r="D566" s="122"/>
      <c r="E566" s="122"/>
      <c r="F566" s="118"/>
      <c r="G566" s="127"/>
      <c r="H566" s="122"/>
      <c r="I566" s="118"/>
      <c r="J566" s="122"/>
      <c r="K566" s="122"/>
      <c r="L566" s="122"/>
      <c r="M566" s="118"/>
      <c r="N566" s="122"/>
      <c r="O566" s="122"/>
      <c r="P566" s="122"/>
    </row>
    <row r="567" spans="1:16" ht="12.75">
      <c r="A567" s="126"/>
      <c r="B567" s="127"/>
      <c r="C567" s="122"/>
      <c r="D567" s="122"/>
      <c r="E567" s="122"/>
      <c r="F567" s="118"/>
      <c r="G567" s="127"/>
      <c r="H567" s="122"/>
      <c r="I567" s="118"/>
      <c r="J567" s="122"/>
      <c r="K567" s="122"/>
      <c r="L567" s="122"/>
      <c r="M567" s="118"/>
      <c r="N567" s="122"/>
      <c r="O567" s="122"/>
      <c r="P567" s="122"/>
    </row>
    <row r="568" spans="1:16" ht="12.75">
      <c r="A568" s="126"/>
      <c r="B568" s="127"/>
      <c r="C568" s="122"/>
      <c r="D568" s="122"/>
      <c r="E568" s="122"/>
      <c r="F568" s="118"/>
      <c r="G568" s="127"/>
      <c r="H568" s="122"/>
      <c r="I568" s="118"/>
      <c r="J568" s="122"/>
      <c r="K568" s="122"/>
      <c r="L568" s="122"/>
      <c r="M568" s="118"/>
      <c r="N568" s="122"/>
      <c r="O568" s="122"/>
      <c r="P568" s="122"/>
    </row>
    <row r="569" spans="1:16" ht="12.75">
      <c r="A569" s="126"/>
      <c r="B569" s="127"/>
      <c r="C569" s="122"/>
      <c r="D569" s="122"/>
      <c r="E569" s="122"/>
      <c r="F569" s="118"/>
      <c r="G569" s="127"/>
      <c r="H569" s="122"/>
      <c r="I569" s="118"/>
      <c r="J569" s="122"/>
      <c r="K569" s="122"/>
      <c r="L569" s="122"/>
      <c r="M569" s="118"/>
      <c r="N569" s="122"/>
      <c r="O569" s="122"/>
      <c r="P569" s="122"/>
    </row>
    <row r="570" spans="1:16" ht="12.75">
      <c r="A570" s="126"/>
      <c r="B570" s="127"/>
      <c r="C570" s="122"/>
      <c r="D570" s="122"/>
      <c r="E570" s="122"/>
      <c r="F570" s="118"/>
      <c r="G570" s="127"/>
      <c r="H570" s="122"/>
      <c r="I570" s="118"/>
      <c r="J570" s="122"/>
      <c r="K570" s="122"/>
      <c r="L570" s="122"/>
      <c r="M570" s="118"/>
      <c r="N570" s="122"/>
      <c r="O570" s="122"/>
      <c r="P570" s="122"/>
    </row>
    <row r="571" spans="1:16" ht="12.75">
      <c r="A571" s="126"/>
      <c r="B571" s="127"/>
      <c r="C571" s="122"/>
      <c r="D571" s="122"/>
      <c r="E571" s="122"/>
      <c r="F571" s="118"/>
      <c r="G571" s="127"/>
      <c r="H571" s="122"/>
      <c r="I571" s="118"/>
      <c r="J571" s="122"/>
      <c r="K571" s="122"/>
      <c r="L571" s="122"/>
      <c r="M571" s="118"/>
      <c r="N571" s="122"/>
      <c r="O571" s="122"/>
      <c r="P571" s="122"/>
    </row>
    <row r="572" spans="1:16" ht="12.75">
      <c r="A572" s="126"/>
      <c r="B572" s="127"/>
      <c r="C572" s="122"/>
      <c r="D572" s="122"/>
      <c r="E572" s="122"/>
      <c r="F572" s="118"/>
      <c r="G572" s="127"/>
      <c r="H572" s="122"/>
      <c r="I572" s="118"/>
      <c r="J572" s="122"/>
      <c r="K572" s="122"/>
      <c r="L572" s="122"/>
      <c r="M572" s="118"/>
      <c r="N572" s="122"/>
      <c r="O572" s="122"/>
      <c r="P572" s="122"/>
    </row>
    <row r="573" spans="1:16" ht="12.75">
      <c r="A573" s="126"/>
      <c r="B573" s="127"/>
      <c r="C573" s="122"/>
      <c r="D573" s="122"/>
      <c r="E573" s="122"/>
      <c r="F573" s="118"/>
      <c r="G573" s="127"/>
      <c r="H573" s="122"/>
      <c r="I573" s="118"/>
      <c r="J573" s="122"/>
      <c r="K573" s="122"/>
      <c r="L573" s="122"/>
      <c r="M573" s="118"/>
      <c r="N573" s="122"/>
      <c r="O573" s="122"/>
      <c r="P573" s="122"/>
    </row>
    <row r="574" spans="1:16" ht="12.75">
      <c r="A574" s="126"/>
      <c r="B574" s="127"/>
      <c r="C574" s="122"/>
      <c r="D574" s="122"/>
      <c r="E574" s="122"/>
      <c r="F574" s="118"/>
      <c r="G574" s="127"/>
      <c r="H574" s="122"/>
      <c r="I574" s="118"/>
      <c r="J574" s="122"/>
      <c r="K574" s="122"/>
      <c r="L574" s="122"/>
      <c r="M574" s="118"/>
      <c r="N574" s="122"/>
      <c r="O574" s="122"/>
      <c r="P574" s="122"/>
    </row>
    <row r="575" spans="1:16" ht="12.75">
      <c r="A575" s="126"/>
      <c r="B575" s="127"/>
      <c r="C575" s="122"/>
      <c r="D575" s="122"/>
      <c r="E575" s="122"/>
      <c r="F575" s="118"/>
      <c r="G575" s="127"/>
      <c r="H575" s="122"/>
      <c r="I575" s="118"/>
      <c r="J575" s="122"/>
      <c r="K575" s="122"/>
      <c r="L575" s="122"/>
      <c r="M575" s="118"/>
      <c r="N575" s="122"/>
      <c r="O575" s="122"/>
      <c r="P575" s="122"/>
    </row>
    <row r="576" spans="1:16" ht="12.75">
      <c r="A576" s="126"/>
      <c r="B576" s="127"/>
      <c r="C576" s="122"/>
      <c r="D576" s="122"/>
      <c r="E576" s="122"/>
      <c r="F576" s="118"/>
      <c r="G576" s="127"/>
      <c r="H576" s="122"/>
      <c r="I576" s="118"/>
      <c r="J576" s="122"/>
      <c r="K576" s="122"/>
      <c r="L576" s="122"/>
      <c r="M576" s="118"/>
      <c r="N576" s="122"/>
      <c r="O576" s="122"/>
      <c r="P576" s="122"/>
    </row>
    <row r="577" spans="1:16" ht="12.75">
      <c r="A577" s="126"/>
      <c r="B577" s="127"/>
      <c r="C577" s="122"/>
      <c r="D577" s="122"/>
      <c r="E577" s="122"/>
      <c r="F577" s="118"/>
      <c r="G577" s="127"/>
      <c r="H577" s="122"/>
      <c r="I577" s="118"/>
      <c r="J577" s="122"/>
      <c r="K577" s="122"/>
      <c r="L577" s="122"/>
      <c r="M577" s="118"/>
      <c r="N577" s="122"/>
      <c r="O577" s="122"/>
      <c r="P577" s="122"/>
    </row>
    <row r="578" spans="1:16" ht="12.75">
      <c r="A578" s="126"/>
      <c r="B578" s="127"/>
      <c r="C578" s="122"/>
      <c r="D578" s="122"/>
      <c r="E578" s="122"/>
      <c r="F578" s="118"/>
      <c r="G578" s="127"/>
      <c r="H578" s="122"/>
      <c r="I578" s="118"/>
      <c r="J578" s="122"/>
      <c r="K578" s="122"/>
      <c r="L578" s="122"/>
      <c r="M578" s="118"/>
      <c r="N578" s="122"/>
      <c r="O578" s="122"/>
      <c r="P578" s="122"/>
    </row>
    <row r="579" spans="1:16" ht="12.75">
      <c r="A579" s="126"/>
      <c r="B579" s="127"/>
      <c r="C579" s="122"/>
      <c r="D579" s="122"/>
      <c r="E579" s="122"/>
      <c r="F579" s="118"/>
      <c r="G579" s="127"/>
      <c r="H579" s="122"/>
      <c r="I579" s="118"/>
      <c r="J579" s="122"/>
      <c r="K579" s="122"/>
      <c r="L579" s="122"/>
      <c r="M579" s="118"/>
      <c r="N579" s="122"/>
      <c r="O579" s="122"/>
      <c r="P579" s="122"/>
    </row>
    <row r="580" spans="1:16" ht="12.75">
      <c r="A580" s="126"/>
      <c r="B580" s="127"/>
      <c r="C580" s="122"/>
      <c r="D580" s="122"/>
      <c r="E580" s="122"/>
      <c r="F580" s="118"/>
      <c r="G580" s="127"/>
      <c r="H580" s="122"/>
      <c r="I580" s="118"/>
      <c r="J580" s="122"/>
      <c r="K580" s="122"/>
      <c r="L580" s="122"/>
      <c r="M580" s="118"/>
      <c r="N580" s="122"/>
      <c r="O580" s="122"/>
      <c r="P580" s="122"/>
    </row>
    <row r="581" spans="1:16" ht="12.75">
      <c r="A581" s="126"/>
      <c r="B581" s="127"/>
      <c r="C581" s="122"/>
      <c r="D581" s="122"/>
      <c r="E581" s="122"/>
      <c r="F581" s="118"/>
      <c r="G581" s="127"/>
      <c r="H581" s="122"/>
      <c r="I581" s="118"/>
      <c r="J581" s="122"/>
      <c r="K581" s="122"/>
      <c r="L581" s="122"/>
      <c r="M581" s="118"/>
      <c r="N581" s="122"/>
      <c r="O581" s="122"/>
      <c r="P581" s="122"/>
    </row>
    <row r="582" spans="1:16" ht="12.75">
      <c r="A582" s="126"/>
      <c r="B582" s="127"/>
      <c r="C582" s="122"/>
      <c r="D582" s="122"/>
      <c r="E582" s="122"/>
      <c r="F582" s="118"/>
      <c r="G582" s="127"/>
      <c r="H582" s="122"/>
      <c r="I582" s="118"/>
      <c r="J582" s="122"/>
      <c r="K582" s="122"/>
      <c r="L582" s="122"/>
      <c r="M582" s="118"/>
      <c r="N582" s="122"/>
      <c r="O582" s="122"/>
      <c r="P582" s="122"/>
    </row>
    <row r="583" spans="1:16" ht="12.75">
      <c r="A583" s="126"/>
      <c r="B583" s="127"/>
      <c r="C583" s="122"/>
      <c r="D583" s="122"/>
      <c r="E583" s="122"/>
      <c r="F583" s="118"/>
      <c r="G583" s="127"/>
      <c r="H583" s="122"/>
      <c r="I583" s="118"/>
      <c r="J583" s="122"/>
      <c r="K583" s="122"/>
      <c r="L583" s="122"/>
      <c r="M583" s="118"/>
      <c r="N583" s="122"/>
      <c r="O583" s="122"/>
      <c r="P583" s="122"/>
    </row>
    <row r="584" spans="1:16" ht="12.75">
      <c r="A584" s="126"/>
      <c r="B584" s="127"/>
      <c r="C584" s="122"/>
      <c r="D584" s="122"/>
      <c r="E584" s="122"/>
      <c r="F584" s="118"/>
      <c r="G584" s="127"/>
      <c r="H584" s="122"/>
      <c r="I584" s="118"/>
      <c r="J584" s="122"/>
      <c r="K584" s="122"/>
      <c r="L584" s="122"/>
      <c r="M584" s="118"/>
      <c r="N584" s="122"/>
      <c r="O584" s="122"/>
      <c r="P584" s="122"/>
    </row>
    <row r="585" spans="1:16" ht="12.75">
      <c r="A585" s="126"/>
      <c r="B585" s="127"/>
      <c r="C585" s="122"/>
      <c r="D585" s="122"/>
      <c r="E585" s="122"/>
      <c r="F585" s="118"/>
      <c r="G585" s="127"/>
      <c r="H585" s="122"/>
      <c r="I585" s="118"/>
      <c r="J585" s="122"/>
      <c r="K585" s="122"/>
      <c r="L585" s="122"/>
      <c r="M585" s="118"/>
      <c r="N585" s="122"/>
      <c r="O585" s="122"/>
      <c r="P585" s="122"/>
    </row>
    <row r="586" spans="1:16" ht="12.75">
      <c r="A586" s="126"/>
      <c r="B586" s="127"/>
      <c r="C586" s="122"/>
      <c r="D586" s="122"/>
      <c r="E586" s="122"/>
      <c r="F586" s="118"/>
      <c r="G586" s="127"/>
      <c r="H586" s="122"/>
      <c r="I586" s="118"/>
      <c r="J586" s="122"/>
      <c r="K586" s="122"/>
      <c r="L586" s="122"/>
      <c r="M586" s="118"/>
      <c r="N586" s="122"/>
      <c r="O586" s="122"/>
      <c r="P586" s="122"/>
    </row>
    <row r="587" spans="1:16" ht="12.75">
      <c r="A587" s="126"/>
      <c r="B587" s="127"/>
      <c r="C587" s="122"/>
      <c r="D587" s="122"/>
      <c r="E587" s="122"/>
      <c r="F587" s="118"/>
      <c r="G587" s="127"/>
      <c r="H587" s="122"/>
      <c r="I587" s="118"/>
      <c r="J587" s="122"/>
      <c r="K587" s="122"/>
      <c r="L587" s="122"/>
      <c r="M587" s="118"/>
      <c r="N587" s="122"/>
      <c r="O587" s="122"/>
      <c r="P587" s="122"/>
    </row>
    <row r="588" spans="1:16" ht="12.75">
      <c r="A588" s="126"/>
      <c r="B588" s="127"/>
      <c r="C588" s="122"/>
      <c r="D588" s="122"/>
      <c r="E588" s="122"/>
      <c r="F588" s="118"/>
      <c r="G588" s="127"/>
      <c r="H588" s="122"/>
      <c r="I588" s="118"/>
      <c r="J588" s="122"/>
      <c r="K588" s="122"/>
      <c r="L588" s="122"/>
      <c r="M588" s="118"/>
      <c r="N588" s="122"/>
      <c r="O588" s="122"/>
      <c r="P588" s="122"/>
    </row>
    <row r="589" spans="1:16" ht="12.75">
      <c r="A589" s="126"/>
      <c r="B589" s="127"/>
      <c r="C589" s="122"/>
      <c r="D589" s="122"/>
      <c r="E589" s="122"/>
      <c r="F589" s="118"/>
      <c r="G589" s="127"/>
      <c r="H589" s="122"/>
      <c r="I589" s="118"/>
      <c r="J589" s="122"/>
      <c r="K589" s="122"/>
      <c r="L589" s="122"/>
      <c r="M589" s="118"/>
      <c r="N589" s="122"/>
      <c r="O589" s="122"/>
      <c r="P589" s="122"/>
    </row>
    <row r="590" spans="1:16" ht="12.75">
      <c r="A590" s="126"/>
      <c r="B590" s="127"/>
      <c r="C590" s="122"/>
      <c r="D590" s="122"/>
      <c r="E590" s="122"/>
      <c r="F590" s="118"/>
      <c r="G590" s="127"/>
      <c r="H590" s="122"/>
      <c r="I590" s="118"/>
      <c r="J590" s="122"/>
      <c r="K590" s="122"/>
      <c r="L590" s="122"/>
      <c r="M590" s="118"/>
      <c r="N590" s="122"/>
      <c r="O590" s="122"/>
      <c r="P590" s="122"/>
    </row>
    <row r="591" spans="1:16" ht="12.75">
      <c r="A591" s="126"/>
      <c r="B591" s="127"/>
      <c r="C591" s="122"/>
      <c r="D591" s="122"/>
      <c r="E591" s="122"/>
      <c r="F591" s="118"/>
      <c r="G591" s="127"/>
      <c r="H591" s="122"/>
      <c r="I591" s="118"/>
      <c r="J591" s="122"/>
      <c r="K591" s="122"/>
      <c r="L591" s="122"/>
      <c r="M591" s="118"/>
      <c r="N591" s="122"/>
      <c r="O591" s="122"/>
      <c r="P591" s="122"/>
    </row>
    <row r="592" spans="1:16" ht="12.75">
      <c r="A592" s="126"/>
      <c r="B592" s="127"/>
      <c r="C592" s="122"/>
      <c r="D592" s="122"/>
      <c r="E592" s="122"/>
      <c r="F592" s="118"/>
      <c r="G592" s="127"/>
      <c r="H592" s="122"/>
      <c r="I592" s="118"/>
      <c r="J592" s="122"/>
      <c r="K592" s="122"/>
      <c r="L592" s="122"/>
      <c r="M592" s="118"/>
      <c r="N592" s="122"/>
      <c r="O592" s="122"/>
      <c r="P592" s="122"/>
    </row>
    <row r="593" spans="1:16" ht="12.75">
      <c r="A593" s="126"/>
      <c r="B593" s="127"/>
      <c r="C593" s="122"/>
      <c r="D593" s="122"/>
      <c r="E593" s="122"/>
      <c r="F593" s="118"/>
      <c r="G593" s="127"/>
      <c r="H593" s="122"/>
      <c r="I593" s="118"/>
      <c r="J593" s="122"/>
      <c r="K593" s="122"/>
      <c r="L593" s="122"/>
      <c r="M593" s="118"/>
      <c r="N593" s="122"/>
      <c r="O593" s="122"/>
      <c r="P593" s="122"/>
    </row>
    <row r="594" spans="1:16" ht="12.75">
      <c r="A594" s="126"/>
      <c r="B594" s="127"/>
      <c r="C594" s="122"/>
      <c r="D594" s="122"/>
      <c r="E594" s="122"/>
      <c r="F594" s="118"/>
      <c r="G594" s="127"/>
      <c r="H594" s="122"/>
      <c r="I594" s="118"/>
      <c r="J594" s="122"/>
      <c r="K594" s="122"/>
      <c r="L594" s="122"/>
      <c r="M594" s="118"/>
      <c r="N594" s="122"/>
      <c r="O594" s="122"/>
      <c r="P594" s="122"/>
    </row>
    <row r="595" spans="1:16" ht="12.75">
      <c r="A595" s="126"/>
      <c r="B595" s="127"/>
      <c r="C595" s="122"/>
      <c r="D595" s="122"/>
      <c r="E595" s="122"/>
      <c r="F595" s="118"/>
      <c r="G595" s="127"/>
      <c r="H595" s="122"/>
      <c r="I595" s="118"/>
      <c r="J595" s="122"/>
      <c r="K595" s="122"/>
      <c r="L595" s="122"/>
      <c r="M595" s="118"/>
      <c r="N595" s="122"/>
      <c r="O595" s="122"/>
      <c r="P595" s="122"/>
    </row>
    <row r="596" spans="1:16" ht="12.75">
      <c r="A596" s="126"/>
      <c r="B596" s="127"/>
      <c r="C596" s="122"/>
      <c r="D596" s="122"/>
      <c r="E596" s="122"/>
      <c r="F596" s="118"/>
      <c r="G596" s="127"/>
      <c r="H596" s="122"/>
      <c r="I596" s="118"/>
      <c r="J596" s="122"/>
      <c r="K596" s="122"/>
      <c r="L596" s="122"/>
      <c r="M596" s="118"/>
      <c r="N596" s="122"/>
      <c r="O596" s="122"/>
      <c r="P596" s="122"/>
    </row>
    <row r="597" spans="1:16" ht="12.75">
      <c r="A597" s="126"/>
      <c r="B597" s="127"/>
      <c r="C597" s="122"/>
      <c r="D597" s="122"/>
      <c r="E597" s="122"/>
      <c r="F597" s="118"/>
      <c r="G597" s="127"/>
      <c r="H597" s="122"/>
      <c r="I597" s="118"/>
      <c r="J597" s="122"/>
      <c r="K597" s="122"/>
      <c r="L597" s="122"/>
      <c r="M597" s="118"/>
      <c r="N597" s="122"/>
      <c r="O597" s="122"/>
      <c r="P597" s="122"/>
    </row>
    <row r="598" spans="1:16" ht="12.75">
      <c r="A598" s="126"/>
      <c r="B598" s="127"/>
      <c r="C598" s="122"/>
      <c r="D598" s="122"/>
      <c r="E598" s="122"/>
      <c r="F598" s="118"/>
      <c r="G598" s="127"/>
      <c r="H598" s="122"/>
      <c r="I598" s="118"/>
      <c r="J598" s="122"/>
      <c r="K598" s="122"/>
      <c r="L598" s="122"/>
      <c r="M598" s="118"/>
      <c r="N598" s="122"/>
      <c r="O598" s="122"/>
      <c r="P598" s="122"/>
    </row>
    <row r="599" spans="1:16" ht="12.75">
      <c r="A599" s="126"/>
      <c r="B599" s="127"/>
      <c r="C599" s="122"/>
      <c r="D599" s="122"/>
      <c r="E599" s="122"/>
      <c r="F599" s="118"/>
      <c r="G599" s="127"/>
      <c r="H599" s="122"/>
      <c r="I599" s="118"/>
      <c r="J599" s="122"/>
      <c r="K599" s="122"/>
      <c r="L599" s="122"/>
      <c r="M599" s="118"/>
      <c r="N599" s="122"/>
      <c r="O599" s="122"/>
      <c r="P599" s="122"/>
    </row>
    <row r="600" spans="1:16" ht="12.75">
      <c r="A600" s="126"/>
      <c r="B600" s="127"/>
      <c r="C600" s="122"/>
      <c r="D600" s="122"/>
      <c r="E600" s="122"/>
      <c r="F600" s="118"/>
      <c r="G600" s="127"/>
      <c r="H600" s="122"/>
      <c r="I600" s="118"/>
      <c r="J600" s="122"/>
      <c r="K600" s="122"/>
      <c r="L600" s="122"/>
      <c r="M600" s="118"/>
      <c r="N600" s="122"/>
      <c r="O600" s="122"/>
      <c r="P600" s="122"/>
    </row>
    <row r="601" spans="1:16" ht="12.75">
      <c r="A601" s="126"/>
      <c r="B601" s="127"/>
      <c r="C601" s="122"/>
      <c r="D601" s="122"/>
      <c r="E601" s="122"/>
      <c r="F601" s="118"/>
      <c r="G601" s="127"/>
      <c r="H601" s="122"/>
      <c r="I601" s="118"/>
      <c r="J601" s="122"/>
      <c r="K601" s="122"/>
      <c r="L601" s="122"/>
      <c r="M601" s="118"/>
      <c r="N601" s="122"/>
      <c r="O601" s="122"/>
      <c r="P601" s="122"/>
    </row>
    <row r="602" spans="1:16" ht="12.75">
      <c r="A602" s="126"/>
      <c r="B602" s="127"/>
      <c r="C602" s="122"/>
      <c r="D602" s="122"/>
      <c r="E602" s="122"/>
      <c r="F602" s="118"/>
      <c r="G602" s="127"/>
      <c r="H602" s="122"/>
      <c r="I602" s="118"/>
      <c r="J602" s="122"/>
      <c r="K602" s="122"/>
      <c r="L602" s="122"/>
      <c r="M602" s="118"/>
      <c r="N602" s="122"/>
      <c r="O602" s="122"/>
      <c r="P602" s="122"/>
    </row>
    <row r="603" spans="1:16" ht="12.75">
      <c r="A603" s="126"/>
      <c r="B603" s="127"/>
      <c r="C603" s="122"/>
      <c r="D603" s="122"/>
      <c r="E603" s="122"/>
      <c r="F603" s="118"/>
      <c r="G603" s="127"/>
      <c r="H603" s="122"/>
      <c r="I603" s="118"/>
      <c r="J603" s="122"/>
      <c r="K603" s="122"/>
      <c r="L603" s="122"/>
      <c r="M603" s="118"/>
      <c r="N603" s="122"/>
      <c r="O603" s="122"/>
      <c r="P603" s="122"/>
    </row>
    <row r="604" spans="1:16" ht="12.75">
      <c r="A604" s="126"/>
      <c r="B604" s="127"/>
      <c r="C604" s="122"/>
      <c r="D604" s="122"/>
      <c r="E604" s="122"/>
      <c r="F604" s="118"/>
      <c r="G604" s="127"/>
      <c r="H604" s="122"/>
      <c r="I604" s="118"/>
      <c r="J604" s="122"/>
      <c r="K604" s="122"/>
      <c r="L604" s="122"/>
      <c r="M604" s="118"/>
      <c r="N604" s="122"/>
      <c r="O604" s="122"/>
      <c r="P604" s="122"/>
    </row>
    <row r="605" spans="1:16" ht="12.75">
      <c r="A605" s="126"/>
      <c r="B605" s="127"/>
      <c r="C605" s="122"/>
      <c r="D605" s="122"/>
      <c r="E605" s="122"/>
      <c r="F605" s="118"/>
      <c r="G605" s="127"/>
      <c r="H605" s="122"/>
      <c r="I605" s="118"/>
      <c r="J605" s="122"/>
      <c r="K605" s="122"/>
      <c r="L605" s="122"/>
      <c r="M605" s="118"/>
      <c r="N605" s="122"/>
      <c r="O605" s="122"/>
      <c r="P605" s="122"/>
    </row>
    <row r="606" spans="1:16" ht="12.75">
      <c r="A606" s="126"/>
      <c r="B606" s="127"/>
      <c r="C606" s="122"/>
      <c r="D606" s="122"/>
      <c r="E606" s="122"/>
      <c r="F606" s="118"/>
      <c r="G606" s="127"/>
      <c r="H606" s="122"/>
      <c r="I606" s="118"/>
      <c r="J606" s="122"/>
      <c r="K606" s="122"/>
      <c r="L606" s="122"/>
      <c r="M606" s="118"/>
      <c r="N606" s="122"/>
      <c r="O606" s="122"/>
      <c r="P606" s="122"/>
    </row>
    <row r="607" spans="1:16" ht="12.75">
      <c r="A607" s="126"/>
      <c r="B607" s="127"/>
      <c r="C607" s="122"/>
      <c r="D607" s="122"/>
      <c r="E607" s="122"/>
      <c r="F607" s="118"/>
      <c r="G607" s="127"/>
      <c r="H607" s="122"/>
      <c r="I607" s="118"/>
      <c r="J607" s="122"/>
      <c r="K607" s="122"/>
      <c r="L607" s="122"/>
      <c r="M607" s="118"/>
      <c r="N607" s="122"/>
      <c r="O607" s="122"/>
      <c r="P607" s="122"/>
    </row>
    <row r="608" spans="1:16" ht="12.75">
      <c r="A608" s="126"/>
      <c r="B608" s="127"/>
      <c r="C608" s="122"/>
      <c r="D608" s="122"/>
      <c r="E608" s="122"/>
      <c r="F608" s="118"/>
      <c r="G608" s="127"/>
      <c r="H608" s="122"/>
      <c r="I608" s="118"/>
      <c r="J608" s="122"/>
      <c r="K608" s="122"/>
      <c r="L608" s="122"/>
      <c r="M608" s="118"/>
      <c r="N608" s="122"/>
      <c r="O608" s="122"/>
      <c r="P608" s="122"/>
    </row>
    <row r="609" spans="1:16" ht="12.75">
      <c r="A609" s="126"/>
      <c r="B609" s="127"/>
      <c r="C609" s="122"/>
      <c r="D609" s="122"/>
      <c r="E609" s="122"/>
      <c r="F609" s="118"/>
      <c r="G609" s="127"/>
      <c r="H609" s="122"/>
      <c r="I609" s="118"/>
      <c r="J609" s="122"/>
      <c r="K609" s="122"/>
      <c r="L609" s="122"/>
      <c r="M609" s="118"/>
      <c r="N609" s="122"/>
      <c r="O609" s="122"/>
      <c r="P609" s="122"/>
    </row>
    <row r="610" spans="1:16" ht="12.75">
      <c r="A610" s="126"/>
      <c r="B610" s="127"/>
      <c r="C610" s="122"/>
      <c r="D610" s="122"/>
      <c r="E610" s="122"/>
      <c r="F610" s="118"/>
      <c r="G610" s="127"/>
      <c r="H610" s="122"/>
      <c r="I610" s="118"/>
      <c r="J610" s="122"/>
      <c r="K610" s="122"/>
      <c r="L610" s="122"/>
      <c r="M610" s="118"/>
      <c r="N610" s="122"/>
      <c r="O610" s="122"/>
      <c r="P610" s="122"/>
    </row>
    <row r="611" spans="1:16" ht="12.75">
      <c r="A611" s="126"/>
      <c r="B611" s="127"/>
      <c r="C611" s="122"/>
      <c r="D611" s="122"/>
      <c r="E611" s="122"/>
      <c r="F611" s="118"/>
      <c r="G611" s="127"/>
      <c r="H611" s="122"/>
      <c r="I611" s="118"/>
      <c r="J611" s="122"/>
      <c r="K611" s="122"/>
      <c r="L611" s="122"/>
      <c r="M611" s="118"/>
      <c r="N611" s="122"/>
      <c r="O611" s="122"/>
      <c r="P611" s="122"/>
    </row>
    <row r="612" spans="1:16" ht="12.75">
      <c r="A612" s="126"/>
      <c r="B612" s="127"/>
      <c r="C612" s="122"/>
      <c r="D612" s="122"/>
      <c r="E612" s="122"/>
      <c r="F612" s="118"/>
      <c r="G612" s="127"/>
      <c r="H612" s="122"/>
      <c r="I612" s="118"/>
      <c r="J612" s="122"/>
      <c r="K612" s="122"/>
      <c r="L612" s="122"/>
      <c r="M612" s="118"/>
      <c r="N612" s="122"/>
      <c r="O612" s="122"/>
      <c r="P612" s="122"/>
    </row>
    <row r="613" spans="1:16" ht="12.75">
      <c r="A613" s="126"/>
      <c r="B613" s="127"/>
      <c r="C613" s="122"/>
      <c r="D613" s="122"/>
      <c r="E613" s="122"/>
      <c r="F613" s="118"/>
      <c r="G613" s="127"/>
      <c r="H613" s="122"/>
      <c r="I613" s="118"/>
      <c r="J613" s="122"/>
      <c r="K613" s="122"/>
      <c r="L613" s="122"/>
      <c r="M613" s="118"/>
      <c r="N613" s="122"/>
      <c r="O613" s="122"/>
      <c r="P613" s="122"/>
    </row>
    <row r="614" spans="1:16" ht="12.75">
      <c r="A614" s="126"/>
      <c r="B614" s="127"/>
      <c r="C614" s="122"/>
      <c r="D614" s="122"/>
      <c r="E614" s="122"/>
      <c r="F614" s="118"/>
      <c r="G614" s="127"/>
      <c r="H614" s="122"/>
      <c r="I614" s="118"/>
      <c r="J614" s="122"/>
      <c r="K614" s="122"/>
      <c r="L614" s="122"/>
      <c r="M614" s="118"/>
      <c r="N614" s="122"/>
      <c r="O614" s="122"/>
      <c r="P614" s="122"/>
    </row>
    <row r="615" spans="1:16" ht="12.75">
      <c r="A615" s="126"/>
      <c r="B615" s="127"/>
      <c r="C615" s="122"/>
      <c r="D615" s="122"/>
      <c r="E615" s="122"/>
      <c r="F615" s="118"/>
      <c r="G615" s="127"/>
      <c r="H615" s="122"/>
      <c r="I615" s="118"/>
      <c r="J615" s="122"/>
      <c r="K615" s="122"/>
      <c r="L615" s="122"/>
      <c r="M615" s="118"/>
      <c r="N615" s="122"/>
      <c r="O615" s="122"/>
      <c r="P615" s="122"/>
    </row>
    <row r="616" spans="1:16" ht="12.75">
      <c r="A616" s="126"/>
      <c r="B616" s="127"/>
      <c r="C616" s="122"/>
      <c r="D616" s="122"/>
      <c r="E616" s="122"/>
      <c r="F616" s="118"/>
      <c r="G616" s="127"/>
      <c r="H616" s="122"/>
      <c r="I616" s="118"/>
      <c r="J616" s="122"/>
      <c r="K616" s="122"/>
      <c r="L616" s="122"/>
      <c r="M616" s="118"/>
      <c r="N616" s="122"/>
      <c r="O616" s="122"/>
      <c r="P616" s="122"/>
    </row>
    <row r="617" spans="1:16" ht="12.75">
      <c r="A617" s="126"/>
      <c r="B617" s="127"/>
      <c r="C617" s="122"/>
      <c r="D617" s="122"/>
      <c r="E617" s="122"/>
      <c r="F617" s="118"/>
      <c r="G617" s="127"/>
      <c r="H617" s="122"/>
      <c r="I617" s="118"/>
      <c r="J617" s="122"/>
      <c r="K617" s="122"/>
      <c r="L617" s="122"/>
      <c r="M617" s="118"/>
      <c r="N617" s="122"/>
      <c r="O617" s="122"/>
      <c r="P617" s="122"/>
    </row>
    <row r="618" spans="1:16" ht="12.75">
      <c r="A618" s="126"/>
      <c r="B618" s="127"/>
      <c r="C618" s="122"/>
      <c r="D618" s="122"/>
      <c r="E618" s="122"/>
      <c r="F618" s="118"/>
      <c r="G618" s="127"/>
      <c r="H618" s="122"/>
      <c r="I618" s="118"/>
      <c r="J618" s="122"/>
      <c r="K618" s="122"/>
      <c r="L618" s="122"/>
      <c r="M618" s="118"/>
      <c r="N618" s="122"/>
      <c r="O618" s="122"/>
      <c r="P618" s="122"/>
    </row>
    <row r="619" spans="1:16" ht="12.75">
      <c r="A619" s="126"/>
      <c r="B619" s="127"/>
      <c r="C619" s="122"/>
      <c r="D619" s="122"/>
      <c r="E619" s="122"/>
      <c r="F619" s="118"/>
      <c r="G619" s="127"/>
      <c r="H619" s="122"/>
      <c r="I619" s="118"/>
      <c r="J619" s="122"/>
      <c r="K619" s="122"/>
      <c r="L619" s="122"/>
      <c r="M619" s="118"/>
      <c r="N619" s="122"/>
      <c r="O619" s="122"/>
      <c r="P619" s="122"/>
    </row>
    <row r="620" spans="1:16" ht="12.75">
      <c r="A620" s="126"/>
      <c r="B620" s="127"/>
      <c r="C620" s="122"/>
      <c r="D620" s="122"/>
      <c r="E620" s="122"/>
      <c r="F620" s="118"/>
      <c r="G620" s="127"/>
      <c r="H620" s="122"/>
      <c r="I620" s="118"/>
      <c r="J620" s="122"/>
      <c r="K620" s="122"/>
      <c r="L620" s="122"/>
      <c r="M620" s="118"/>
      <c r="N620" s="122"/>
      <c r="O620" s="122"/>
      <c r="P620" s="122"/>
    </row>
    <row r="621" spans="1:16" ht="12.75">
      <c r="A621" s="126"/>
      <c r="B621" s="127"/>
      <c r="C621" s="122"/>
      <c r="D621" s="122"/>
      <c r="E621" s="122"/>
      <c r="F621" s="118"/>
      <c r="G621" s="127"/>
      <c r="H621" s="122"/>
      <c r="I621" s="118"/>
      <c r="J621" s="122"/>
      <c r="K621" s="122"/>
      <c r="L621" s="122"/>
      <c r="M621" s="118"/>
      <c r="N621" s="122"/>
      <c r="O621" s="122"/>
      <c r="P621" s="122"/>
    </row>
    <row r="622" spans="1:16" ht="12.75">
      <c r="A622" s="126"/>
      <c r="B622" s="127"/>
      <c r="C622" s="122"/>
      <c r="D622" s="122"/>
      <c r="E622" s="122"/>
      <c r="F622" s="118"/>
      <c r="G622" s="127"/>
      <c r="H622" s="122"/>
      <c r="I622" s="118"/>
      <c r="J622" s="122"/>
      <c r="K622" s="122"/>
      <c r="L622" s="122"/>
      <c r="M622" s="118"/>
      <c r="N622" s="122"/>
      <c r="O622" s="122"/>
      <c r="P622" s="122"/>
    </row>
    <row r="623" spans="1:16" ht="12.75">
      <c r="A623" s="126"/>
      <c r="B623" s="127"/>
      <c r="C623" s="122"/>
      <c r="D623" s="122"/>
      <c r="E623" s="122"/>
      <c r="F623" s="118"/>
      <c r="G623" s="127"/>
      <c r="H623" s="122"/>
      <c r="I623" s="118"/>
      <c r="J623" s="122"/>
      <c r="K623" s="122"/>
      <c r="L623" s="122"/>
      <c r="M623" s="118"/>
      <c r="N623" s="122"/>
      <c r="O623" s="122"/>
      <c r="P623" s="122"/>
    </row>
    <row r="624" spans="1:16" ht="12.75">
      <c r="A624" s="126"/>
      <c r="B624" s="127"/>
      <c r="C624" s="122"/>
      <c r="D624" s="122"/>
      <c r="E624" s="122"/>
      <c r="F624" s="118"/>
      <c r="G624" s="127"/>
      <c r="H624" s="122"/>
      <c r="I624" s="118"/>
      <c r="J624" s="122"/>
      <c r="K624" s="122"/>
      <c r="L624" s="122"/>
      <c r="M624" s="118"/>
      <c r="N624" s="122"/>
      <c r="O624" s="122"/>
      <c r="P624" s="122"/>
    </row>
    <row r="625" spans="1:16" ht="12.75">
      <c r="A625" s="126"/>
      <c r="B625" s="127"/>
      <c r="C625" s="122"/>
      <c r="D625" s="122"/>
      <c r="E625" s="122"/>
      <c r="F625" s="118"/>
      <c r="G625" s="127"/>
      <c r="H625" s="122"/>
      <c r="I625" s="118"/>
      <c r="J625" s="122"/>
      <c r="K625" s="122"/>
      <c r="L625" s="122"/>
      <c r="M625" s="118"/>
      <c r="N625" s="122"/>
      <c r="O625" s="122"/>
      <c r="P625" s="122"/>
    </row>
    <row r="626" spans="1:16" ht="12.75">
      <c r="A626" s="126"/>
      <c r="B626" s="127"/>
      <c r="C626" s="122"/>
      <c r="D626" s="122"/>
      <c r="E626" s="122"/>
      <c r="F626" s="118"/>
      <c r="G626" s="127"/>
      <c r="H626" s="122"/>
      <c r="I626" s="118"/>
      <c r="J626" s="122"/>
      <c r="K626" s="122"/>
      <c r="L626" s="122"/>
      <c r="M626" s="118"/>
      <c r="N626" s="122"/>
      <c r="O626" s="122"/>
      <c r="P626" s="122"/>
    </row>
    <row r="627" spans="1:16" ht="12.75">
      <c r="A627" s="126"/>
      <c r="B627" s="127"/>
      <c r="C627" s="122"/>
      <c r="D627" s="122"/>
      <c r="E627" s="122"/>
      <c r="F627" s="118"/>
      <c r="G627" s="127"/>
      <c r="H627" s="122"/>
      <c r="I627" s="118"/>
      <c r="J627" s="122"/>
      <c r="K627" s="122"/>
      <c r="L627" s="122"/>
      <c r="M627" s="118"/>
      <c r="N627" s="122"/>
      <c r="O627" s="122"/>
      <c r="P627" s="122"/>
    </row>
    <row r="628" spans="1:16" ht="12.75">
      <c r="A628" s="126"/>
      <c r="B628" s="127"/>
      <c r="C628" s="122"/>
      <c r="D628" s="122"/>
      <c r="E628" s="122"/>
      <c r="F628" s="118"/>
      <c r="G628" s="127"/>
      <c r="H628" s="122"/>
      <c r="I628" s="118"/>
      <c r="J628" s="122"/>
      <c r="K628" s="122"/>
      <c r="L628" s="122"/>
      <c r="M628" s="118"/>
      <c r="N628" s="122"/>
      <c r="O628" s="122"/>
      <c r="P628" s="122"/>
    </row>
    <row r="629" spans="1:16" ht="12.75">
      <c r="A629" s="126"/>
      <c r="B629" s="127"/>
      <c r="C629" s="122"/>
      <c r="D629" s="122"/>
      <c r="E629" s="122"/>
      <c r="F629" s="118"/>
      <c r="G629" s="127"/>
      <c r="H629" s="122"/>
      <c r="I629" s="118"/>
      <c r="J629" s="122"/>
      <c r="K629" s="122"/>
      <c r="L629" s="122"/>
      <c r="M629" s="118"/>
      <c r="N629" s="122"/>
      <c r="O629" s="122"/>
      <c r="P629" s="122"/>
    </row>
    <row r="630" spans="1:16" ht="12.75">
      <c r="A630" s="126"/>
      <c r="B630" s="127"/>
      <c r="C630" s="122"/>
      <c r="D630" s="122"/>
      <c r="E630" s="122"/>
      <c r="F630" s="118"/>
      <c r="G630" s="127"/>
      <c r="H630" s="122"/>
      <c r="I630" s="118"/>
      <c r="J630" s="122"/>
      <c r="K630" s="122"/>
      <c r="L630" s="122"/>
      <c r="M630" s="118"/>
      <c r="N630" s="122"/>
      <c r="O630" s="122"/>
      <c r="P630" s="122"/>
    </row>
    <row r="631" spans="1:16" ht="12.75">
      <c r="A631" s="126"/>
      <c r="B631" s="127"/>
      <c r="C631" s="122"/>
      <c r="D631" s="122"/>
      <c r="E631" s="122"/>
      <c r="F631" s="118"/>
      <c r="G631" s="127"/>
      <c r="H631" s="122"/>
      <c r="I631" s="118"/>
      <c r="J631" s="122"/>
      <c r="K631" s="122"/>
      <c r="L631" s="122"/>
      <c r="M631" s="118"/>
      <c r="N631" s="122"/>
      <c r="O631" s="122"/>
      <c r="P631" s="122"/>
    </row>
    <row r="632" spans="1:16" ht="12.75">
      <c r="A632" s="126"/>
      <c r="B632" s="127"/>
      <c r="C632" s="122"/>
      <c r="D632" s="122"/>
      <c r="E632" s="122"/>
      <c r="F632" s="118"/>
      <c r="G632" s="127"/>
      <c r="H632" s="122"/>
      <c r="I632" s="118"/>
      <c r="J632" s="122"/>
      <c r="K632" s="122"/>
      <c r="L632" s="122"/>
      <c r="M632" s="118"/>
      <c r="N632" s="122"/>
      <c r="O632" s="122"/>
      <c r="P632" s="122"/>
    </row>
    <row r="633" spans="1:16" ht="12.75">
      <c r="A633" s="126"/>
      <c r="B633" s="127"/>
      <c r="C633" s="122"/>
      <c r="D633" s="122"/>
      <c r="E633" s="122"/>
      <c r="F633" s="118"/>
      <c r="G633" s="127"/>
      <c r="H633" s="122"/>
      <c r="I633" s="118"/>
      <c r="J633" s="122"/>
      <c r="K633" s="122"/>
      <c r="L633" s="122"/>
      <c r="M633" s="118"/>
      <c r="N633" s="122"/>
      <c r="O633" s="122"/>
      <c r="P633" s="122"/>
    </row>
    <row r="634" spans="1:16" ht="12.75">
      <c r="A634" s="126"/>
      <c r="B634" s="127"/>
      <c r="C634" s="122"/>
      <c r="D634" s="122"/>
      <c r="E634" s="122"/>
      <c r="F634" s="118"/>
      <c r="G634" s="127"/>
      <c r="H634" s="122"/>
      <c r="I634" s="118"/>
      <c r="J634" s="122"/>
      <c r="K634" s="122"/>
      <c r="L634" s="122"/>
      <c r="M634" s="118"/>
      <c r="N634" s="122"/>
      <c r="O634" s="122"/>
      <c r="P634" s="122"/>
    </row>
    <row r="635" spans="1:16" ht="12.75">
      <c r="A635" s="126"/>
      <c r="B635" s="127"/>
      <c r="C635" s="122"/>
      <c r="D635" s="122"/>
      <c r="E635" s="122"/>
      <c r="F635" s="118"/>
      <c r="G635" s="127"/>
      <c r="H635" s="122"/>
      <c r="I635" s="118"/>
      <c r="J635" s="122"/>
      <c r="K635" s="122"/>
      <c r="L635" s="122"/>
      <c r="M635" s="118"/>
      <c r="N635" s="122"/>
      <c r="O635" s="122"/>
      <c r="P635" s="122"/>
    </row>
    <row r="636" spans="1:16" ht="12.75">
      <c r="A636" s="126"/>
      <c r="B636" s="127"/>
      <c r="C636" s="122"/>
      <c r="D636" s="122"/>
      <c r="E636" s="122"/>
      <c r="F636" s="118"/>
      <c r="G636" s="127"/>
      <c r="H636" s="122"/>
      <c r="I636" s="118"/>
      <c r="J636" s="122"/>
      <c r="K636" s="122"/>
      <c r="L636" s="122"/>
      <c r="M636" s="118"/>
      <c r="N636" s="122"/>
      <c r="O636" s="122"/>
      <c r="P636" s="122"/>
    </row>
    <row r="637" spans="1:16" ht="12.75">
      <c r="A637" s="126"/>
      <c r="B637" s="127"/>
      <c r="C637" s="122"/>
      <c r="D637" s="122"/>
      <c r="E637" s="122"/>
      <c r="F637" s="118"/>
      <c r="G637" s="127"/>
      <c r="H637" s="122"/>
      <c r="I637" s="118"/>
      <c r="J637" s="122"/>
      <c r="K637" s="122"/>
      <c r="L637" s="122"/>
      <c r="M637" s="118"/>
      <c r="N637" s="122"/>
      <c r="O637" s="122"/>
      <c r="P637" s="122"/>
    </row>
    <row r="638" spans="1:16" ht="12.75">
      <c r="A638" s="126"/>
      <c r="B638" s="127"/>
      <c r="C638" s="122"/>
      <c r="D638" s="122"/>
      <c r="E638" s="122"/>
      <c r="F638" s="118"/>
      <c r="G638" s="127"/>
      <c r="H638" s="122"/>
      <c r="I638" s="118"/>
      <c r="J638" s="122"/>
      <c r="K638" s="122"/>
      <c r="L638" s="122"/>
      <c r="M638" s="118"/>
      <c r="N638" s="122"/>
      <c r="O638" s="122"/>
      <c r="P638" s="122"/>
    </row>
    <row r="639" spans="1:16" ht="12.75">
      <c r="A639" s="126"/>
      <c r="B639" s="127"/>
      <c r="C639" s="122"/>
      <c r="D639" s="122"/>
      <c r="E639" s="122"/>
      <c r="F639" s="118"/>
      <c r="G639" s="127"/>
      <c r="H639" s="122"/>
      <c r="I639" s="118"/>
      <c r="J639" s="122"/>
      <c r="K639" s="122"/>
      <c r="L639" s="122"/>
      <c r="M639" s="118"/>
      <c r="N639" s="122"/>
      <c r="O639" s="122"/>
      <c r="P639" s="122"/>
    </row>
    <row r="640" spans="1:16" ht="12.75">
      <c r="A640" s="126"/>
      <c r="B640" s="127"/>
      <c r="C640" s="122"/>
      <c r="D640" s="122"/>
      <c r="E640" s="122"/>
      <c r="F640" s="118"/>
      <c r="G640" s="127"/>
      <c r="H640" s="122"/>
      <c r="I640" s="118"/>
      <c r="J640" s="122"/>
      <c r="K640" s="122"/>
      <c r="L640" s="122"/>
      <c r="M640" s="118"/>
      <c r="N640" s="122"/>
      <c r="O640" s="122"/>
      <c r="P640" s="122"/>
    </row>
    <row r="641" spans="1:16" ht="12.75">
      <c r="A641" s="126"/>
      <c r="B641" s="127"/>
      <c r="C641" s="122"/>
      <c r="D641" s="122"/>
      <c r="E641" s="122"/>
      <c r="F641" s="118"/>
      <c r="G641" s="127"/>
      <c r="H641" s="122"/>
      <c r="I641" s="118"/>
      <c r="J641" s="122"/>
      <c r="K641" s="122"/>
      <c r="L641" s="122"/>
      <c r="M641" s="118"/>
      <c r="N641" s="122"/>
      <c r="O641" s="122"/>
      <c r="P641" s="122"/>
    </row>
    <row r="642" spans="1:16" ht="12.75">
      <c r="A642" s="126"/>
      <c r="B642" s="127"/>
      <c r="C642" s="122"/>
      <c r="D642" s="122"/>
      <c r="E642" s="122"/>
      <c r="F642" s="118"/>
      <c r="G642" s="127"/>
      <c r="H642" s="122"/>
      <c r="I642" s="118"/>
      <c r="J642" s="122"/>
      <c r="K642" s="122"/>
      <c r="L642" s="122"/>
      <c r="M642" s="118"/>
      <c r="N642" s="122"/>
      <c r="O642" s="122"/>
      <c r="P642" s="122"/>
    </row>
    <row r="643" spans="1:16" ht="12.75">
      <c r="A643" s="126"/>
      <c r="B643" s="127"/>
      <c r="C643" s="122"/>
      <c r="D643" s="122"/>
      <c r="E643" s="122"/>
      <c r="F643" s="118"/>
      <c r="G643" s="127"/>
      <c r="H643" s="122"/>
      <c r="I643" s="118"/>
      <c r="J643" s="122"/>
      <c r="K643" s="122"/>
      <c r="L643" s="122"/>
      <c r="M643" s="118"/>
      <c r="N643" s="122"/>
      <c r="O643" s="122"/>
      <c r="P643" s="122"/>
    </row>
    <row r="644" spans="1:16" ht="12.75">
      <c r="A644" s="126"/>
      <c r="B644" s="127"/>
      <c r="C644" s="122"/>
      <c r="D644" s="122"/>
      <c r="E644" s="122"/>
      <c r="F644" s="118"/>
      <c r="G644" s="127"/>
      <c r="H644" s="122"/>
      <c r="I644" s="118"/>
      <c r="J644" s="122"/>
      <c r="K644" s="122"/>
      <c r="L644" s="122"/>
      <c r="M644" s="118"/>
      <c r="N644" s="122"/>
      <c r="O644" s="122"/>
      <c r="P644" s="122"/>
    </row>
    <row r="645" spans="1:16" ht="12.75">
      <c r="A645" s="126"/>
      <c r="B645" s="127"/>
      <c r="C645" s="122"/>
      <c r="D645" s="122"/>
      <c r="E645" s="122"/>
      <c r="F645" s="118"/>
      <c r="G645" s="127"/>
      <c r="H645" s="122"/>
      <c r="I645" s="118"/>
      <c r="J645" s="122"/>
      <c r="K645" s="122"/>
      <c r="L645" s="122"/>
      <c r="M645" s="118"/>
      <c r="N645" s="122"/>
      <c r="O645" s="122"/>
      <c r="P645" s="122"/>
    </row>
    <row r="646" spans="1:16" ht="12.75">
      <c r="A646" s="126"/>
      <c r="B646" s="127"/>
      <c r="C646" s="122"/>
      <c r="D646" s="122"/>
      <c r="E646" s="122"/>
      <c r="F646" s="118"/>
      <c r="G646" s="127"/>
      <c r="H646" s="122"/>
      <c r="I646" s="118"/>
      <c r="J646" s="122"/>
      <c r="K646" s="122"/>
      <c r="L646" s="122"/>
      <c r="M646" s="118"/>
      <c r="N646" s="122"/>
      <c r="O646" s="122"/>
      <c r="P646" s="122"/>
    </row>
    <row r="647" spans="1:16" ht="12.75">
      <c r="A647" s="126"/>
      <c r="B647" s="127"/>
      <c r="C647" s="122"/>
      <c r="D647" s="122"/>
      <c r="E647" s="122"/>
      <c r="F647" s="118"/>
      <c r="G647" s="127"/>
      <c r="H647" s="122"/>
      <c r="I647" s="118"/>
      <c r="J647" s="122"/>
      <c r="K647" s="122"/>
      <c r="L647" s="122"/>
      <c r="M647" s="118"/>
      <c r="N647" s="122"/>
      <c r="O647" s="122"/>
      <c r="P647" s="122"/>
    </row>
    <row r="648" spans="1:16" ht="12.75">
      <c r="A648" s="126"/>
      <c r="B648" s="127"/>
      <c r="C648" s="122"/>
      <c r="D648" s="122"/>
      <c r="E648" s="122"/>
      <c r="F648" s="118"/>
      <c r="G648" s="127"/>
      <c r="H648" s="122"/>
      <c r="I648" s="118"/>
      <c r="J648" s="122"/>
      <c r="K648" s="122"/>
      <c r="L648" s="122"/>
      <c r="M648" s="118"/>
      <c r="N648" s="122"/>
      <c r="O648" s="122"/>
      <c r="P648" s="122"/>
    </row>
    <row r="649" spans="1:16" ht="12.75">
      <c r="A649" s="126"/>
      <c r="B649" s="127"/>
      <c r="C649" s="122"/>
      <c r="D649" s="122"/>
      <c r="E649" s="122"/>
      <c r="F649" s="118"/>
      <c r="G649" s="127"/>
      <c r="H649" s="122"/>
      <c r="I649" s="118"/>
      <c r="J649" s="122"/>
      <c r="K649" s="122"/>
      <c r="L649" s="122"/>
      <c r="M649" s="118"/>
      <c r="N649" s="122"/>
      <c r="O649" s="122"/>
      <c r="P649" s="122"/>
    </row>
    <row r="650" spans="1:16" ht="12.75">
      <c r="A650" s="126"/>
      <c r="B650" s="127"/>
      <c r="C650" s="122"/>
      <c r="D650" s="122"/>
      <c r="E650" s="122"/>
      <c r="F650" s="118"/>
      <c r="G650" s="127"/>
      <c r="H650" s="122"/>
      <c r="I650" s="118"/>
      <c r="J650" s="122"/>
      <c r="K650" s="122"/>
      <c r="L650" s="122"/>
      <c r="M650" s="118"/>
      <c r="N650" s="122"/>
      <c r="O650" s="122"/>
      <c r="P650" s="122"/>
    </row>
    <row r="651" spans="1:16" ht="12.75">
      <c r="A651" s="126"/>
      <c r="B651" s="127"/>
      <c r="C651" s="122"/>
      <c r="D651" s="122"/>
      <c r="E651" s="122"/>
      <c r="F651" s="118"/>
      <c r="G651" s="127"/>
      <c r="H651" s="122"/>
      <c r="I651" s="118"/>
      <c r="J651" s="122"/>
      <c r="K651" s="122"/>
      <c r="L651" s="122"/>
      <c r="M651" s="118"/>
      <c r="N651" s="122"/>
      <c r="O651" s="122"/>
      <c r="P651" s="122"/>
    </row>
    <row r="652" spans="1:16" ht="12.75">
      <c r="A652" s="126"/>
      <c r="B652" s="127"/>
      <c r="C652" s="122"/>
      <c r="D652" s="122"/>
      <c r="E652" s="122"/>
      <c r="F652" s="118"/>
      <c r="G652" s="127"/>
      <c r="H652" s="122"/>
      <c r="I652" s="118"/>
      <c r="J652" s="122"/>
      <c r="K652" s="122"/>
      <c r="L652" s="122"/>
      <c r="M652" s="118"/>
      <c r="N652" s="122"/>
      <c r="O652" s="122"/>
      <c r="P652" s="122"/>
    </row>
    <row r="653" spans="1:16" ht="12.75">
      <c r="A653" s="126"/>
      <c r="B653" s="127"/>
      <c r="C653" s="122"/>
      <c r="D653" s="122"/>
      <c r="E653" s="122"/>
      <c r="F653" s="118"/>
      <c r="G653" s="127"/>
      <c r="H653" s="122"/>
      <c r="I653" s="118"/>
      <c r="J653" s="122"/>
      <c r="K653" s="122"/>
      <c r="L653" s="122"/>
      <c r="M653" s="118"/>
      <c r="N653" s="122"/>
      <c r="O653" s="122"/>
      <c r="P653" s="122"/>
    </row>
    <row r="654" spans="1:16" ht="12.75">
      <c r="A654" s="126"/>
      <c r="B654" s="127"/>
      <c r="C654" s="122"/>
      <c r="D654" s="122"/>
      <c r="E654" s="122"/>
      <c r="F654" s="118"/>
      <c r="G654" s="127"/>
      <c r="H654" s="122"/>
      <c r="I654" s="118"/>
      <c r="J654" s="122"/>
      <c r="K654" s="122"/>
      <c r="L654" s="122"/>
      <c r="M654" s="118"/>
      <c r="N654" s="122"/>
      <c r="O654" s="122"/>
      <c r="P654" s="122"/>
    </row>
    <row r="655" spans="1:16" ht="12.75">
      <c r="A655" s="126"/>
      <c r="B655" s="127"/>
      <c r="C655" s="122"/>
      <c r="D655" s="122"/>
      <c r="E655" s="122"/>
      <c r="F655" s="118"/>
      <c r="G655" s="127"/>
      <c r="H655" s="122"/>
      <c r="I655" s="118"/>
      <c r="J655" s="122"/>
      <c r="K655" s="122"/>
      <c r="L655" s="122"/>
      <c r="M655" s="118"/>
      <c r="N655" s="122"/>
      <c r="O655" s="122"/>
      <c r="P655" s="122"/>
    </row>
    <row r="656" spans="1:16" ht="12.75">
      <c r="A656" s="126"/>
      <c r="B656" s="127"/>
      <c r="C656" s="122"/>
      <c r="D656" s="122"/>
      <c r="E656" s="122"/>
      <c r="F656" s="118"/>
      <c r="G656" s="127"/>
      <c r="H656" s="122"/>
      <c r="I656" s="118"/>
      <c r="J656" s="122"/>
      <c r="K656" s="122"/>
      <c r="L656" s="122"/>
      <c r="M656" s="118"/>
      <c r="N656" s="122"/>
      <c r="O656" s="122"/>
      <c r="P656" s="122"/>
    </row>
    <row r="657" spans="1:16" ht="12.75">
      <c r="A657" s="126"/>
      <c r="B657" s="127"/>
      <c r="C657" s="122"/>
      <c r="D657" s="122"/>
      <c r="E657" s="122"/>
      <c r="F657" s="118"/>
      <c r="G657" s="127"/>
      <c r="H657" s="122"/>
      <c r="I657" s="118"/>
      <c r="J657" s="122"/>
      <c r="K657" s="122"/>
      <c r="L657" s="122"/>
      <c r="M657" s="118"/>
      <c r="N657" s="122"/>
      <c r="O657" s="122"/>
      <c r="P657" s="122"/>
    </row>
    <row r="658" spans="1:16" ht="12.75">
      <c r="A658" s="126"/>
      <c r="B658" s="127"/>
      <c r="C658" s="122"/>
      <c r="D658" s="122"/>
      <c r="E658" s="122"/>
      <c r="F658" s="118"/>
      <c r="G658" s="127"/>
      <c r="H658" s="122"/>
      <c r="I658" s="118"/>
      <c r="J658" s="122"/>
      <c r="K658" s="122"/>
      <c r="L658" s="122"/>
      <c r="M658" s="118"/>
      <c r="N658" s="122"/>
      <c r="O658" s="122"/>
      <c r="P658" s="122"/>
    </row>
    <row r="659" spans="1:16" ht="12.75">
      <c r="A659" s="126"/>
      <c r="B659" s="127"/>
      <c r="C659" s="122"/>
      <c r="D659" s="122"/>
      <c r="E659" s="122"/>
      <c r="F659" s="118"/>
      <c r="G659" s="127"/>
      <c r="H659" s="122"/>
      <c r="I659" s="118"/>
      <c r="J659" s="122"/>
      <c r="K659" s="122"/>
      <c r="L659" s="122"/>
      <c r="M659" s="118"/>
      <c r="N659" s="122"/>
      <c r="O659" s="122"/>
      <c r="P659" s="122"/>
    </row>
    <row r="660" spans="1:16" ht="12.75">
      <c r="A660" s="126"/>
      <c r="B660" s="127"/>
      <c r="C660" s="122"/>
      <c r="D660" s="122"/>
      <c r="E660" s="122"/>
      <c r="F660" s="118"/>
      <c r="G660" s="127"/>
      <c r="H660" s="122"/>
      <c r="I660" s="118"/>
      <c r="J660" s="122"/>
      <c r="K660" s="122"/>
      <c r="L660" s="122"/>
      <c r="M660" s="118"/>
      <c r="N660" s="122"/>
      <c r="O660" s="122"/>
      <c r="P660" s="122"/>
    </row>
    <row r="661" spans="1:16" ht="12.75">
      <c r="A661" s="126"/>
      <c r="B661" s="127"/>
      <c r="C661" s="122"/>
      <c r="D661" s="122"/>
      <c r="E661" s="122"/>
      <c r="F661" s="118"/>
      <c r="G661" s="127"/>
      <c r="H661" s="122"/>
      <c r="I661" s="118"/>
      <c r="J661" s="122"/>
      <c r="K661" s="122"/>
      <c r="L661" s="122"/>
      <c r="M661" s="118"/>
      <c r="N661" s="122"/>
      <c r="O661" s="122"/>
      <c r="P661" s="122"/>
    </row>
    <row r="662" spans="1:16" ht="12.75">
      <c r="A662" s="126"/>
      <c r="B662" s="127"/>
      <c r="C662" s="122"/>
      <c r="D662" s="122"/>
      <c r="E662" s="122"/>
      <c r="F662" s="118"/>
      <c r="G662" s="127"/>
      <c r="H662" s="122"/>
      <c r="I662" s="118"/>
      <c r="J662" s="122"/>
      <c r="K662" s="122"/>
      <c r="L662" s="122"/>
      <c r="M662" s="118"/>
      <c r="N662" s="122"/>
      <c r="O662" s="122"/>
      <c r="P662" s="122"/>
    </row>
    <row r="663" spans="1:16" ht="12.75">
      <c r="A663" s="126"/>
      <c r="B663" s="127"/>
      <c r="C663" s="122"/>
      <c r="D663" s="122"/>
      <c r="E663" s="122"/>
      <c r="F663" s="118"/>
      <c r="G663" s="127"/>
      <c r="H663" s="122"/>
      <c r="I663" s="118"/>
      <c r="J663" s="122"/>
      <c r="K663" s="122"/>
      <c r="L663" s="122"/>
      <c r="M663" s="118"/>
      <c r="N663" s="122"/>
      <c r="O663" s="122"/>
      <c r="P663" s="122"/>
    </row>
    <row r="664" spans="1:16" ht="12.75">
      <c r="A664" s="126"/>
      <c r="B664" s="127"/>
      <c r="C664" s="122"/>
      <c r="D664" s="122"/>
      <c r="E664" s="122"/>
      <c r="F664" s="118"/>
      <c r="G664" s="127"/>
      <c r="H664" s="122"/>
      <c r="I664" s="118"/>
      <c r="J664" s="122"/>
      <c r="K664" s="122"/>
      <c r="L664" s="122"/>
      <c r="M664" s="118"/>
      <c r="N664" s="122"/>
      <c r="O664" s="122"/>
      <c r="P664" s="122"/>
    </row>
    <row r="665" spans="1:16" ht="12.75">
      <c r="A665" s="126"/>
      <c r="B665" s="127"/>
      <c r="C665" s="122"/>
      <c r="D665" s="122"/>
      <c r="E665" s="122"/>
      <c r="F665" s="118"/>
      <c r="G665" s="127"/>
      <c r="H665" s="122"/>
      <c r="I665" s="118"/>
      <c r="J665" s="122"/>
      <c r="K665" s="122"/>
      <c r="L665" s="122"/>
      <c r="M665" s="118"/>
      <c r="N665" s="122"/>
      <c r="O665" s="122"/>
      <c r="P665" s="122"/>
    </row>
    <row r="666" spans="1:16" ht="12.75">
      <c r="A666" s="126"/>
      <c r="B666" s="127"/>
      <c r="C666" s="122"/>
      <c r="D666" s="122"/>
      <c r="E666" s="122"/>
      <c r="F666" s="118"/>
      <c r="G666" s="127"/>
      <c r="H666" s="122"/>
      <c r="I666" s="118"/>
      <c r="J666" s="122"/>
      <c r="K666" s="122"/>
      <c r="L666" s="122"/>
      <c r="M666" s="118"/>
      <c r="N666" s="122"/>
      <c r="O666" s="122"/>
      <c r="P666" s="122"/>
    </row>
    <row r="667" spans="1:16" ht="12.75">
      <c r="A667" s="126"/>
      <c r="B667" s="127"/>
      <c r="C667" s="122"/>
      <c r="D667" s="122"/>
      <c r="E667" s="122"/>
      <c r="F667" s="118"/>
      <c r="G667" s="127"/>
      <c r="H667" s="122"/>
      <c r="I667" s="118"/>
      <c r="J667" s="122"/>
      <c r="K667" s="122"/>
      <c r="L667" s="122"/>
      <c r="M667" s="118"/>
      <c r="N667" s="122"/>
      <c r="O667" s="122"/>
      <c r="P667" s="122"/>
    </row>
    <row r="668" spans="1:16" ht="12.75">
      <c r="A668" s="126"/>
      <c r="B668" s="127"/>
      <c r="C668" s="122"/>
      <c r="D668" s="122"/>
      <c r="E668" s="122"/>
      <c r="F668" s="118"/>
      <c r="G668" s="127"/>
      <c r="H668" s="122"/>
      <c r="I668" s="118"/>
      <c r="J668" s="122"/>
      <c r="K668" s="122"/>
      <c r="L668" s="122"/>
      <c r="M668" s="118"/>
      <c r="N668" s="122"/>
      <c r="O668" s="122"/>
      <c r="P668" s="122"/>
    </row>
    <row r="669" spans="1:16" ht="12.75">
      <c r="A669" s="126"/>
      <c r="B669" s="127"/>
      <c r="C669" s="122"/>
      <c r="D669" s="122"/>
      <c r="E669" s="122"/>
      <c r="F669" s="118"/>
      <c r="G669" s="127"/>
      <c r="H669" s="122"/>
      <c r="I669" s="118"/>
      <c r="J669" s="122"/>
      <c r="K669" s="122"/>
      <c r="L669" s="122"/>
      <c r="M669" s="118"/>
      <c r="N669" s="122"/>
      <c r="O669" s="122"/>
      <c r="P669" s="122"/>
    </row>
    <row r="670" spans="1:16" ht="12.75">
      <c r="A670" s="126"/>
      <c r="B670" s="127"/>
      <c r="C670" s="122"/>
      <c r="D670" s="122"/>
      <c r="E670" s="122"/>
      <c r="F670" s="118"/>
      <c r="G670" s="127"/>
      <c r="H670" s="122"/>
      <c r="I670" s="118"/>
      <c r="J670" s="122"/>
      <c r="K670" s="122"/>
      <c r="L670" s="122"/>
      <c r="M670" s="118"/>
      <c r="N670" s="122"/>
      <c r="O670" s="122"/>
      <c r="P670" s="122"/>
    </row>
    <row r="671" spans="1:16" ht="12.75">
      <c r="A671" s="126"/>
      <c r="B671" s="127"/>
      <c r="C671" s="122"/>
      <c r="D671" s="122"/>
      <c r="E671" s="122"/>
      <c r="F671" s="118"/>
      <c r="G671" s="127"/>
      <c r="H671" s="122"/>
      <c r="I671" s="118"/>
      <c r="J671" s="122"/>
      <c r="K671" s="122"/>
      <c r="L671" s="122"/>
      <c r="M671" s="118"/>
      <c r="N671" s="122"/>
      <c r="O671" s="122"/>
      <c r="P671" s="122"/>
    </row>
    <row r="672" spans="1:16" ht="12.75">
      <c r="A672" s="126"/>
      <c r="B672" s="127"/>
      <c r="C672" s="122"/>
      <c r="D672" s="122"/>
      <c r="E672" s="122"/>
      <c r="F672" s="118"/>
      <c r="G672" s="127"/>
      <c r="H672" s="122"/>
      <c r="I672" s="118"/>
      <c r="J672" s="122"/>
      <c r="K672" s="122"/>
      <c r="L672" s="122"/>
      <c r="M672" s="118"/>
      <c r="N672" s="122"/>
      <c r="O672" s="122"/>
      <c r="P672" s="122"/>
    </row>
    <row r="673" spans="1:16" ht="12.75">
      <c r="A673" s="126"/>
      <c r="B673" s="127"/>
      <c r="C673" s="122"/>
      <c r="D673" s="122"/>
      <c r="E673" s="122"/>
      <c r="F673" s="118"/>
      <c r="G673" s="127"/>
      <c r="H673" s="122"/>
      <c r="I673" s="118"/>
      <c r="J673" s="122"/>
      <c r="K673" s="122"/>
      <c r="L673" s="122"/>
      <c r="M673" s="118"/>
      <c r="N673" s="122"/>
      <c r="O673" s="122"/>
      <c r="P673" s="122"/>
    </row>
    <row r="674" spans="1:16" ht="12.75">
      <c r="A674" s="126"/>
      <c r="B674" s="127"/>
      <c r="C674" s="122"/>
      <c r="D674" s="122"/>
      <c r="E674" s="122"/>
      <c r="F674" s="118"/>
      <c r="G674" s="127"/>
      <c r="H674" s="122"/>
      <c r="I674" s="118"/>
      <c r="J674" s="122"/>
      <c r="K674" s="122"/>
      <c r="L674" s="122"/>
      <c r="M674" s="118"/>
      <c r="N674" s="122"/>
      <c r="O674" s="122"/>
      <c r="P674" s="122"/>
    </row>
    <row r="675" spans="1:16" ht="12.75">
      <c r="A675" s="126"/>
      <c r="B675" s="127"/>
      <c r="C675" s="122"/>
      <c r="D675" s="122"/>
      <c r="E675" s="122"/>
      <c r="F675" s="118"/>
      <c r="G675" s="127"/>
      <c r="H675" s="122"/>
      <c r="I675" s="118"/>
      <c r="J675" s="122"/>
      <c r="K675" s="122"/>
      <c r="L675" s="122"/>
      <c r="M675" s="118"/>
      <c r="N675" s="122"/>
      <c r="O675" s="122"/>
      <c r="P675" s="122"/>
    </row>
    <row r="676" spans="1:16" ht="12.75">
      <c r="A676" s="126"/>
      <c r="B676" s="127"/>
      <c r="C676" s="122"/>
      <c r="D676" s="122"/>
      <c r="E676" s="122"/>
      <c r="F676" s="118"/>
      <c r="G676" s="127"/>
      <c r="H676" s="122"/>
      <c r="I676" s="118"/>
      <c r="J676" s="122"/>
      <c r="K676" s="122"/>
      <c r="L676" s="122"/>
      <c r="M676" s="118"/>
      <c r="N676" s="122"/>
      <c r="O676" s="122"/>
      <c r="P676" s="122"/>
    </row>
    <row r="677" spans="1:16" ht="12.75">
      <c r="A677" s="126"/>
      <c r="B677" s="127"/>
      <c r="C677" s="122"/>
      <c r="D677" s="122"/>
      <c r="E677" s="122"/>
      <c r="F677" s="118"/>
      <c r="G677" s="127"/>
      <c r="H677" s="122"/>
      <c r="I677" s="118"/>
      <c r="J677" s="122"/>
      <c r="K677" s="122"/>
      <c r="L677" s="122"/>
      <c r="M677" s="118"/>
      <c r="N677" s="122"/>
      <c r="O677" s="122"/>
      <c r="P677" s="122"/>
    </row>
    <row r="678" spans="1:16" ht="12.75">
      <c r="A678" s="126"/>
      <c r="B678" s="127"/>
      <c r="C678" s="122"/>
      <c r="D678" s="122"/>
      <c r="E678" s="122"/>
      <c r="F678" s="118"/>
      <c r="G678" s="127"/>
      <c r="H678" s="122"/>
      <c r="I678" s="118"/>
      <c r="J678" s="122"/>
      <c r="K678" s="122"/>
      <c r="L678" s="122"/>
      <c r="M678" s="118"/>
      <c r="N678" s="122"/>
      <c r="O678" s="122"/>
      <c r="P678" s="122"/>
    </row>
    <row r="679" spans="1:16" ht="12.75">
      <c r="A679" s="126"/>
      <c r="B679" s="127"/>
      <c r="C679" s="122"/>
      <c r="D679" s="122"/>
      <c r="E679" s="122"/>
      <c r="F679" s="118"/>
      <c r="G679" s="127"/>
      <c r="H679" s="122"/>
      <c r="I679" s="118"/>
      <c r="J679" s="122"/>
      <c r="K679" s="122"/>
      <c r="L679" s="122"/>
      <c r="M679" s="118"/>
      <c r="N679" s="122"/>
      <c r="O679" s="122"/>
      <c r="P679" s="122"/>
    </row>
    <row r="680" spans="1:16" ht="12.75">
      <c r="A680" s="126"/>
      <c r="B680" s="127"/>
      <c r="C680" s="122"/>
      <c r="D680" s="122"/>
      <c r="E680" s="122"/>
      <c r="F680" s="118"/>
      <c r="G680" s="127"/>
      <c r="H680" s="122"/>
      <c r="I680" s="118"/>
      <c r="J680" s="122"/>
      <c r="K680" s="122"/>
      <c r="L680" s="122"/>
      <c r="M680" s="118"/>
      <c r="N680" s="122"/>
      <c r="O680" s="122"/>
      <c r="P680" s="122"/>
    </row>
    <row r="681" spans="1:16" ht="12.75">
      <c r="A681" s="126"/>
      <c r="B681" s="127"/>
      <c r="C681" s="122"/>
      <c r="D681" s="122"/>
      <c r="E681" s="122"/>
      <c r="F681" s="118"/>
      <c r="G681" s="127"/>
      <c r="H681" s="122"/>
      <c r="I681" s="118"/>
      <c r="J681" s="122"/>
      <c r="K681" s="122"/>
      <c r="L681" s="122"/>
      <c r="M681" s="118"/>
      <c r="N681" s="122"/>
      <c r="O681" s="122"/>
      <c r="P681" s="122"/>
    </row>
    <row r="682" spans="1:16" ht="12.75">
      <c r="A682" s="126"/>
      <c r="B682" s="127"/>
      <c r="C682" s="122"/>
      <c r="D682" s="122"/>
      <c r="E682" s="122"/>
      <c r="F682" s="118"/>
      <c r="G682" s="127"/>
      <c r="H682" s="122"/>
      <c r="I682" s="118"/>
      <c r="J682" s="122"/>
      <c r="K682" s="122"/>
      <c r="L682" s="122"/>
      <c r="M682" s="118"/>
      <c r="N682" s="122"/>
      <c r="O682" s="122"/>
      <c r="P682" s="122"/>
    </row>
    <row r="683" spans="1:16" ht="12.75">
      <c r="A683" s="126"/>
      <c r="B683" s="127"/>
      <c r="C683" s="122"/>
      <c r="D683" s="122"/>
      <c r="E683" s="122"/>
      <c r="F683" s="118"/>
      <c r="G683" s="127"/>
      <c r="H683" s="122"/>
      <c r="I683" s="118"/>
      <c r="J683" s="122"/>
      <c r="K683" s="122"/>
      <c r="L683" s="122"/>
      <c r="M683" s="118"/>
      <c r="N683" s="122"/>
      <c r="O683" s="122"/>
      <c r="P683" s="122"/>
    </row>
    <row r="684" spans="1:16" ht="12.75">
      <c r="A684" s="126"/>
      <c r="B684" s="127"/>
      <c r="C684" s="122"/>
      <c r="D684" s="122"/>
      <c r="E684" s="122"/>
      <c r="F684" s="118"/>
      <c r="G684" s="127"/>
      <c r="H684" s="122"/>
      <c r="I684" s="118"/>
      <c r="J684" s="122"/>
      <c r="K684" s="122"/>
      <c r="L684" s="122"/>
      <c r="M684" s="118"/>
      <c r="N684" s="122"/>
      <c r="O684" s="122"/>
      <c r="P684" s="122"/>
    </row>
    <row r="685" spans="1:16" ht="12.75">
      <c r="A685" s="126"/>
      <c r="B685" s="127"/>
      <c r="C685" s="122"/>
      <c r="D685" s="122"/>
      <c r="E685" s="122"/>
      <c r="F685" s="118"/>
      <c r="G685" s="127"/>
      <c r="H685" s="122"/>
      <c r="I685" s="118"/>
      <c r="J685" s="122"/>
      <c r="K685" s="122"/>
      <c r="L685" s="122"/>
      <c r="M685" s="118"/>
      <c r="N685" s="122"/>
      <c r="O685" s="122"/>
      <c r="P685" s="122"/>
    </row>
    <row r="686" spans="1:16" ht="12.75">
      <c r="A686" s="126"/>
      <c r="B686" s="127"/>
      <c r="C686" s="122"/>
      <c r="D686" s="122"/>
      <c r="E686" s="122"/>
      <c r="F686" s="118"/>
      <c r="G686" s="127"/>
      <c r="H686" s="122"/>
      <c r="I686" s="118"/>
      <c r="J686" s="122"/>
      <c r="K686" s="122"/>
      <c r="L686" s="122"/>
      <c r="M686" s="118"/>
      <c r="N686" s="122"/>
      <c r="O686" s="122"/>
      <c r="P686" s="122"/>
    </row>
    <row r="687" spans="1:16" ht="12.75">
      <c r="A687" s="126"/>
      <c r="B687" s="127"/>
      <c r="C687" s="122"/>
      <c r="D687" s="122"/>
      <c r="E687" s="122"/>
      <c r="F687" s="118"/>
      <c r="G687" s="127"/>
      <c r="H687" s="122"/>
      <c r="I687" s="118"/>
      <c r="J687" s="122"/>
      <c r="K687" s="122"/>
      <c r="L687" s="122"/>
      <c r="M687" s="118"/>
      <c r="N687" s="122"/>
      <c r="O687" s="122"/>
      <c r="P687" s="122"/>
    </row>
    <row r="688" spans="1:16" ht="12.75">
      <c r="A688" s="126"/>
      <c r="B688" s="127"/>
      <c r="C688" s="122"/>
      <c r="D688" s="122"/>
      <c r="E688" s="122"/>
      <c r="F688" s="118"/>
      <c r="G688" s="127"/>
      <c r="H688" s="122"/>
      <c r="I688" s="118"/>
      <c r="J688" s="122"/>
      <c r="K688" s="122"/>
      <c r="L688" s="122"/>
      <c r="M688" s="118"/>
      <c r="N688" s="122"/>
      <c r="O688" s="122"/>
      <c r="P688" s="122"/>
    </row>
    <row r="689" spans="1:16" ht="12.75">
      <c r="A689" s="126"/>
      <c r="B689" s="127"/>
      <c r="C689" s="122"/>
      <c r="D689" s="122"/>
      <c r="E689" s="122"/>
      <c r="F689" s="118"/>
      <c r="G689" s="127"/>
      <c r="H689" s="122"/>
      <c r="I689" s="118"/>
      <c r="J689" s="122"/>
      <c r="K689" s="122"/>
      <c r="L689" s="122"/>
      <c r="M689" s="118"/>
      <c r="N689" s="122"/>
      <c r="O689" s="122"/>
      <c r="P689" s="122"/>
    </row>
    <row r="690" spans="1:16" ht="12.75">
      <c r="A690" s="126"/>
      <c r="B690" s="127"/>
      <c r="C690" s="122"/>
      <c r="D690" s="122"/>
      <c r="E690" s="122"/>
      <c r="F690" s="118"/>
      <c r="G690" s="127"/>
      <c r="H690" s="122"/>
      <c r="I690" s="118"/>
      <c r="J690" s="122"/>
      <c r="K690" s="122"/>
      <c r="L690" s="122"/>
      <c r="M690" s="118"/>
      <c r="N690" s="122"/>
      <c r="O690" s="122"/>
      <c r="P690" s="122"/>
    </row>
    <row r="691" spans="1:16" ht="12.75">
      <c r="A691" s="126"/>
      <c r="B691" s="127"/>
      <c r="C691" s="122"/>
      <c r="D691" s="122"/>
      <c r="E691" s="122"/>
      <c r="F691" s="118"/>
      <c r="G691" s="127"/>
      <c r="H691" s="122"/>
      <c r="I691" s="118"/>
      <c r="J691" s="122"/>
      <c r="K691" s="122"/>
      <c r="L691" s="122"/>
      <c r="M691" s="118"/>
      <c r="N691" s="122"/>
      <c r="O691" s="122"/>
      <c r="P691" s="122"/>
    </row>
    <row r="692" spans="1:16" ht="12.75">
      <c r="A692" s="126"/>
      <c r="B692" s="127"/>
      <c r="C692" s="122"/>
      <c r="D692" s="122"/>
      <c r="E692" s="122"/>
      <c r="F692" s="118"/>
      <c r="G692" s="127"/>
      <c r="H692" s="122"/>
      <c r="I692" s="118"/>
      <c r="J692" s="122"/>
      <c r="K692" s="122"/>
      <c r="L692" s="122"/>
      <c r="M692" s="118"/>
      <c r="N692" s="122"/>
      <c r="O692" s="122"/>
      <c r="P692" s="122"/>
    </row>
    <row r="693" spans="1:16" ht="12.75">
      <c r="A693" s="126"/>
      <c r="B693" s="127"/>
      <c r="C693" s="122"/>
      <c r="D693" s="122"/>
      <c r="E693" s="122"/>
      <c r="F693" s="118"/>
      <c r="G693" s="127"/>
      <c r="H693" s="122"/>
      <c r="I693" s="118"/>
      <c r="J693" s="122"/>
      <c r="K693" s="122"/>
      <c r="L693" s="122"/>
      <c r="M693" s="118"/>
      <c r="N693" s="122"/>
      <c r="O693" s="122"/>
      <c r="P693" s="122"/>
    </row>
    <row r="694" spans="1:16" ht="12.75">
      <c r="A694" s="126"/>
      <c r="B694" s="127"/>
      <c r="C694" s="122"/>
      <c r="D694" s="122"/>
      <c r="E694" s="122"/>
      <c r="F694" s="118"/>
      <c r="G694" s="127"/>
      <c r="H694" s="122"/>
      <c r="I694" s="118"/>
      <c r="J694" s="122"/>
      <c r="K694" s="122"/>
      <c r="L694" s="122"/>
      <c r="M694" s="118"/>
      <c r="N694" s="122"/>
      <c r="O694" s="122"/>
      <c r="P694" s="122"/>
    </row>
    <row r="695" spans="1:16" ht="12.75">
      <c r="A695" s="126"/>
      <c r="B695" s="127"/>
      <c r="C695" s="122"/>
      <c r="D695" s="122"/>
      <c r="E695" s="122"/>
      <c r="F695" s="118"/>
      <c r="G695" s="127"/>
      <c r="H695" s="122"/>
      <c r="I695" s="118"/>
      <c r="J695" s="122"/>
      <c r="K695" s="122"/>
      <c r="L695" s="122"/>
      <c r="M695" s="118"/>
      <c r="N695" s="122"/>
      <c r="O695" s="122"/>
      <c r="P695" s="122"/>
    </row>
    <row r="696" spans="1:16" ht="12.75">
      <c r="A696" s="126"/>
      <c r="B696" s="127"/>
      <c r="C696" s="122"/>
      <c r="D696" s="122"/>
      <c r="E696" s="122"/>
      <c r="F696" s="118"/>
      <c r="G696" s="127"/>
      <c r="H696" s="122"/>
      <c r="I696" s="118"/>
      <c r="J696" s="122"/>
      <c r="K696" s="122"/>
      <c r="L696" s="122"/>
      <c r="M696" s="118"/>
      <c r="N696" s="122"/>
      <c r="O696" s="122"/>
      <c r="P696" s="122"/>
    </row>
    <row r="697" spans="1:16" ht="12.75">
      <c r="A697" s="126"/>
      <c r="B697" s="127"/>
      <c r="C697" s="122"/>
      <c r="D697" s="122"/>
      <c r="E697" s="122"/>
      <c r="F697" s="118"/>
      <c r="G697" s="127"/>
      <c r="H697" s="122"/>
      <c r="I697" s="118"/>
      <c r="J697" s="122"/>
      <c r="K697" s="122"/>
      <c r="L697" s="122"/>
      <c r="M697" s="118"/>
      <c r="N697" s="122"/>
      <c r="O697" s="122"/>
      <c r="P697" s="122"/>
    </row>
    <row r="698" spans="1:16" ht="12.75">
      <c r="A698" s="126"/>
      <c r="B698" s="127"/>
      <c r="C698" s="122"/>
      <c r="D698" s="122"/>
      <c r="E698" s="122"/>
      <c r="F698" s="118"/>
      <c r="G698" s="127"/>
      <c r="H698" s="122"/>
      <c r="I698" s="118"/>
      <c r="J698" s="122"/>
      <c r="K698" s="122"/>
      <c r="L698" s="122"/>
      <c r="M698" s="118"/>
      <c r="N698" s="122"/>
      <c r="O698" s="122"/>
      <c r="P698" s="122"/>
    </row>
    <row r="699" spans="1:16" ht="12.75">
      <c r="A699" s="126"/>
      <c r="B699" s="127"/>
      <c r="C699" s="122"/>
      <c r="D699" s="122"/>
      <c r="E699" s="122"/>
      <c r="F699" s="118"/>
      <c r="G699" s="127"/>
      <c r="H699" s="122"/>
      <c r="I699" s="118"/>
      <c r="J699" s="122"/>
      <c r="K699" s="122"/>
      <c r="L699" s="122"/>
      <c r="M699" s="118"/>
      <c r="N699" s="122"/>
      <c r="O699" s="122"/>
      <c r="P699" s="122"/>
    </row>
    <row r="700" spans="1:16" ht="12.75">
      <c r="A700" s="126"/>
      <c r="B700" s="127"/>
      <c r="C700" s="122"/>
      <c r="D700" s="122"/>
      <c r="E700" s="122"/>
      <c r="F700" s="118"/>
      <c r="G700" s="127"/>
      <c r="H700" s="122"/>
      <c r="I700" s="118"/>
      <c r="J700" s="122"/>
      <c r="K700" s="122"/>
      <c r="L700" s="122"/>
      <c r="M700" s="118"/>
      <c r="N700" s="122"/>
      <c r="O700" s="122"/>
      <c r="P700" s="122"/>
    </row>
    <row r="701" spans="1:16" ht="12.75">
      <c r="A701" s="126"/>
      <c r="B701" s="127"/>
      <c r="C701" s="122"/>
      <c r="D701" s="122"/>
      <c r="E701" s="122"/>
      <c r="F701" s="118"/>
      <c r="G701" s="127"/>
      <c r="H701" s="122"/>
      <c r="I701" s="118"/>
      <c r="J701" s="122"/>
      <c r="K701" s="122"/>
      <c r="L701" s="122"/>
      <c r="M701" s="118"/>
      <c r="N701" s="122"/>
      <c r="O701" s="122"/>
      <c r="P701" s="122"/>
    </row>
    <row r="702" spans="1:16" ht="12.75">
      <c r="A702" s="126"/>
      <c r="B702" s="127"/>
      <c r="C702" s="122"/>
      <c r="D702" s="122"/>
      <c r="E702" s="122"/>
      <c r="F702" s="118"/>
      <c r="G702" s="127"/>
      <c r="H702" s="122"/>
      <c r="I702" s="118"/>
      <c r="J702" s="122"/>
      <c r="K702" s="122"/>
      <c r="L702" s="122"/>
      <c r="M702" s="118"/>
      <c r="N702" s="122"/>
      <c r="O702" s="122"/>
      <c r="P702" s="122"/>
    </row>
    <row r="703" spans="1:16" ht="12.75">
      <c r="A703" s="126"/>
      <c r="B703" s="127"/>
      <c r="C703" s="122"/>
      <c r="D703" s="122"/>
      <c r="E703" s="122"/>
      <c r="F703" s="118"/>
      <c r="G703" s="127"/>
      <c r="H703" s="122"/>
      <c r="I703" s="118"/>
      <c r="J703" s="122"/>
      <c r="K703" s="122"/>
      <c r="L703" s="122"/>
      <c r="M703" s="118"/>
      <c r="N703" s="122"/>
      <c r="O703" s="122"/>
      <c r="P703" s="122"/>
    </row>
    <row r="704" spans="1:16" ht="12.75">
      <c r="A704" s="126"/>
      <c r="B704" s="127"/>
      <c r="C704" s="122"/>
      <c r="D704" s="122"/>
      <c r="E704" s="122"/>
      <c r="F704" s="118"/>
      <c r="G704" s="127"/>
      <c r="H704" s="122"/>
      <c r="I704" s="118"/>
      <c r="J704" s="122"/>
      <c r="K704" s="122"/>
      <c r="L704" s="122"/>
      <c r="M704" s="118"/>
      <c r="N704" s="122"/>
      <c r="O704" s="122"/>
      <c r="P704" s="122"/>
    </row>
    <row r="705" spans="1:16" ht="12.75">
      <c r="A705" s="126"/>
      <c r="B705" s="127"/>
      <c r="C705" s="122"/>
      <c r="D705" s="122"/>
      <c r="E705" s="122"/>
      <c r="F705" s="118"/>
      <c r="G705" s="127"/>
      <c r="H705" s="122"/>
      <c r="I705" s="118"/>
      <c r="J705" s="122"/>
      <c r="K705" s="122"/>
      <c r="L705" s="122"/>
      <c r="M705" s="118"/>
      <c r="N705" s="122"/>
      <c r="O705" s="122"/>
      <c r="P705" s="122"/>
    </row>
    <row r="706" spans="1:16" ht="12.75">
      <c r="A706" s="126"/>
      <c r="B706" s="127"/>
      <c r="C706" s="122"/>
      <c r="D706" s="122"/>
      <c r="E706" s="122"/>
      <c r="F706" s="118"/>
      <c r="G706" s="127"/>
      <c r="H706" s="122"/>
      <c r="I706" s="118"/>
      <c r="J706" s="122"/>
      <c r="K706" s="122"/>
      <c r="L706" s="122"/>
      <c r="M706" s="118"/>
      <c r="N706" s="122"/>
      <c r="O706" s="122"/>
      <c r="P706" s="122"/>
    </row>
    <row r="707" spans="1:16" ht="12.75">
      <c r="A707" s="126"/>
      <c r="B707" s="127"/>
      <c r="C707" s="122"/>
      <c r="D707" s="122"/>
      <c r="E707" s="122"/>
      <c r="F707" s="118"/>
      <c r="G707" s="127"/>
      <c r="H707" s="122"/>
      <c r="I707" s="118"/>
      <c r="J707" s="122"/>
      <c r="K707" s="122"/>
      <c r="L707" s="122"/>
      <c r="M707" s="118"/>
      <c r="N707" s="122"/>
      <c r="O707" s="122"/>
      <c r="P707" s="122"/>
    </row>
    <row r="708" spans="1:16" ht="12.75">
      <c r="A708" s="126"/>
      <c r="B708" s="127"/>
      <c r="C708" s="122"/>
      <c r="D708" s="122"/>
      <c r="E708" s="122"/>
      <c r="F708" s="118"/>
      <c r="G708" s="127"/>
      <c r="H708" s="122"/>
      <c r="I708" s="118"/>
      <c r="J708" s="122"/>
      <c r="K708" s="122"/>
      <c r="L708" s="122"/>
      <c r="M708" s="118"/>
      <c r="N708" s="122"/>
      <c r="O708" s="122"/>
      <c r="P708" s="122"/>
    </row>
    <row r="709" spans="1:16" ht="12.75">
      <c r="A709" s="126"/>
      <c r="B709" s="127"/>
      <c r="C709" s="122"/>
      <c r="D709" s="122"/>
      <c r="E709" s="122"/>
      <c r="F709" s="118"/>
      <c r="G709" s="127"/>
      <c r="H709" s="122"/>
      <c r="I709" s="118"/>
      <c r="J709" s="122"/>
      <c r="K709" s="122"/>
      <c r="L709" s="122"/>
      <c r="M709" s="118"/>
      <c r="N709" s="122"/>
      <c r="O709" s="122"/>
      <c r="P709" s="122"/>
    </row>
    <row r="710" spans="1:16" ht="12.75">
      <c r="A710" s="126"/>
      <c r="B710" s="127"/>
      <c r="C710" s="122"/>
      <c r="D710" s="122"/>
      <c r="E710" s="122"/>
      <c r="F710" s="118"/>
      <c r="G710" s="127"/>
      <c r="H710" s="122"/>
      <c r="I710" s="118"/>
      <c r="J710" s="122"/>
      <c r="K710" s="122"/>
      <c r="L710" s="122"/>
      <c r="M710" s="118"/>
      <c r="N710" s="122"/>
      <c r="O710" s="122"/>
      <c r="P710" s="122"/>
    </row>
    <row r="711" spans="1:16" ht="12.75">
      <c r="A711" s="126"/>
      <c r="B711" s="127"/>
      <c r="C711" s="122"/>
      <c r="D711" s="122"/>
      <c r="E711" s="122"/>
      <c r="F711" s="118"/>
      <c r="G711" s="127"/>
      <c r="H711" s="122"/>
      <c r="I711" s="118"/>
      <c r="J711" s="122"/>
      <c r="K711" s="122"/>
      <c r="L711" s="122"/>
      <c r="M711" s="118"/>
      <c r="N711" s="122"/>
      <c r="O711" s="122"/>
      <c r="P711" s="122"/>
    </row>
    <row r="712" spans="1:16" ht="12.75">
      <c r="A712" s="126"/>
      <c r="B712" s="127"/>
      <c r="C712" s="122"/>
      <c r="D712" s="122"/>
      <c r="E712" s="122"/>
      <c r="F712" s="118"/>
      <c r="G712" s="127"/>
      <c r="H712" s="122"/>
      <c r="I712" s="118"/>
      <c r="J712" s="122"/>
      <c r="K712" s="122"/>
      <c r="L712" s="122"/>
      <c r="M712" s="118"/>
      <c r="N712" s="122"/>
      <c r="O712" s="122"/>
      <c r="P712" s="122"/>
    </row>
    <row r="713" spans="1:16" ht="12.75">
      <c r="A713" s="126"/>
      <c r="B713" s="127"/>
      <c r="C713" s="122"/>
      <c r="D713" s="122"/>
      <c r="E713" s="122"/>
      <c r="F713" s="118"/>
      <c r="G713" s="127"/>
      <c r="H713" s="122"/>
      <c r="I713" s="118"/>
      <c r="J713" s="122"/>
      <c r="K713" s="122"/>
      <c r="L713" s="122"/>
      <c r="M713" s="118"/>
      <c r="N713" s="122"/>
      <c r="O713" s="122"/>
      <c r="P713" s="122"/>
    </row>
    <row r="714" spans="1:16" ht="12.75">
      <c r="A714" s="126"/>
      <c r="B714" s="127"/>
      <c r="C714" s="122"/>
      <c r="D714" s="122"/>
      <c r="E714" s="122"/>
      <c r="F714" s="118"/>
      <c r="G714" s="127"/>
      <c r="H714" s="122"/>
      <c r="I714" s="118"/>
      <c r="J714" s="122"/>
      <c r="K714" s="122"/>
      <c r="L714" s="122"/>
      <c r="M714" s="118"/>
      <c r="N714" s="122"/>
      <c r="O714" s="122"/>
      <c r="P714" s="122"/>
    </row>
    <row r="715" spans="1:16" ht="12.75">
      <c r="A715" s="126"/>
      <c r="B715" s="127"/>
      <c r="C715" s="122"/>
      <c r="D715" s="122"/>
      <c r="E715" s="122"/>
      <c r="F715" s="118"/>
      <c r="G715" s="127"/>
      <c r="H715" s="122"/>
      <c r="I715" s="118"/>
      <c r="J715" s="122"/>
      <c r="K715" s="122"/>
      <c r="L715" s="122"/>
      <c r="M715" s="118"/>
      <c r="N715" s="122"/>
      <c r="O715" s="122"/>
      <c r="P715" s="122"/>
    </row>
    <row r="716" spans="1:16" ht="12.75">
      <c r="A716" s="126"/>
      <c r="B716" s="127"/>
      <c r="C716" s="122"/>
      <c r="D716" s="122"/>
      <c r="E716" s="122"/>
      <c r="F716" s="118"/>
      <c r="G716" s="127"/>
      <c r="H716" s="122"/>
      <c r="I716" s="118"/>
      <c r="J716" s="122"/>
      <c r="K716" s="122"/>
      <c r="L716" s="122"/>
      <c r="M716" s="118"/>
      <c r="N716" s="122"/>
      <c r="O716" s="122"/>
      <c r="P716" s="122"/>
    </row>
    <row r="717" spans="1:16" ht="12.75">
      <c r="A717" s="126"/>
      <c r="B717" s="127"/>
      <c r="C717" s="122"/>
      <c r="D717" s="122"/>
      <c r="E717" s="122"/>
      <c r="F717" s="118"/>
      <c r="G717" s="127"/>
      <c r="H717" s="122"/>
      <c r="I717" s="118"/>
      <c r="J717" s="122"/>
      <c r="K717" s="122"/>
      <c r="L717" s="122"/>
      <c r="M717" s="118"/>
      <c r="N717" s="122"/>
      <c r="O717" s="122"/>
      <c r="P717" s="122"/>
    </row>
    <row r="718" spans="1:16" ht="12.75">
      <c r="A718" s="126"/>
      <c r="B718" s="127"/>
      <c r="C718" s="122"/>
      <c r="D718" s="122"/>
      <c r="E718" s="122"/>
      <c r="F718" s="118"/>
      <c r="G718" s="127"/>
      <c r="H718" s="122"/>
      <c r="I718" s="118"/>
      <c r="J718" s="122"/>
      <c r="K718" s="122"/>
      <c r="L718" s="122"/>
      <c r="M718" s="118"/>
      <c r="N718" s="122"/>
      <c r="O718" s="122"/>
      <c r="P718" s="122"/>
    </row>
    <row r="719" spans="1:16" ht="12.75">
      <c r="A719" s="126"/>
      <c r="B719" s="127"/>
      <c r="C719" s="122"/>
      <c r="D719" s="122"/>
      <c r="E719" s="122"/>
      <c r="F719" s="118"/>
      <c r="G719" s="127"/>
      <c r="H719" s="122"/>
      <c r="I719" s="118"/>
      <c r="J719" s="122"/>
      <c r="K719" s="122"/>
      <c r="L719" s="122"/>
      <c r="M719" s="118"/>
      <c r="N719" s="122"/>
      <c r="O719" s="122"/>
      <c r="P719" s="122"/>
    </row>
    <row r="720" spans="1:16" ht="12.75">
      <c r="A720" s="126"/>
      <c r="B720" s="127"/>
      <c r="C720" s="122"/>
      <c r="D720" s="122"/>
      <c r="E720" s="122"/>
      <c r="F720" s="118"/>
      <c r="G720" s="127"/>
      <c r="H720" s="122"/>
      <c r="I720" s="118"/>
      <c r="J720" s="122"/>
      <c r="K720" s="122"/>
      <c r="L720" s="122"/>
      <c r="M720" s="118"/>
      <c r="N720" s="122"/>
      <c r="O720" s="122"/>
      <c r="P720" s="122"/>
    </row>
    <row r="721" spans="1:16" ht="12.75">
      <c r="A721" s="126"/>
      <c r="B721" s="127"/>
      <c r="C721" s="122"/>
      <c r="D721" s="122"/>
      <c r="E721" s="122"/>
      <c r="F721" s="118"/>
      <c r="G721" s="127"/>
      <c r="H721" s="122"/>
      <c r="I721" s="118"/>
      <c r="J721" s="122"/>
      <c r="K721" s="122"/>
      <c r="L721" s="122"/>
      <c r="M721" s="118"/>
      <c r="N721" s="122"/>
      <c r="O721" s="122"/>
      <c r="P721" s="122"/>
    </row>
    <row r="722" spans="1:16" ht="12.75">
      <c r="A722" s="126"/>
      <c r="B722" s="127"/>
      <c r="C722" s="122"/>
      <c r="D722" s="122"/>
      <c r="E722" s="122"/>
      <c r="F722" s="118"/>
      <c r="G722" s="127"/>
      <c r="H722" s="122"/>
      <c r="I722" s="118"/>
      <c r="J722" s="122"/>
      <c r="K722" s="122"/>
      <c r="L722" s="122"/>
      <c r="M722" s="118"/>
      <c r="N722" s="122"/>
      <c r="O722" s="122"/>
      <c r="P722" s="122"/>
    </row>
    <row r="723" spans="1:16" ht="12.75">
      <c r="A723" s="126"/>
      <c r="B723" s="127"/>
      <c r="C723" s="122"/>
      <c r="D723" s="122"/>
      <c r="E723" s="122"/>
      <c r="F723" s="118"/>
      <c r="G723" s="127"/>
      <c r="H723" s="122"/>
      <c r="I723" s="118"/>
      <c r="J723" s="122"/>
      <c r="K723" s="122"/>
      <c r="L723" s="122"/>
      <c r="M723" s="118"/>
      <c r="N723" s="122"/>
      <c r="O723" s="122"/>
      <c r="P723" s="122"/>
    </row>
    <row r="724" spans="1:16" ht="12.75">
      <c r="A724" s="126"/>
      <c r="B724" s="127"/>
      <c r="C724" s="122"/>
      <c r="D724" s="122"/>
      <c r="E724" s="122"/>
      <c r="F724" s="118"/>
      <c r="G724" s="127"/>
      <c r="H724" s="122"/>
      <c r="I724" s="118"/>
      <c r="J724" s="122"/>
      <c r="K724" s="122"/>
      <c r="L724" s="122"/>
      <c r="M724" s="118"/>
      <c r="N724" s="122"/>
      <c r="O724" s="122"/>
      <c r="P724" s="122"/>
    </row>
    <row r="725" spans="1:16" ht="12.75">
      <c r="A725" s="126"/>
      <c r="B725" s="127"/>
      <c r="C725" s="122"/>
      <c r="D725" s="122"/>
      <c r="E725" s="122"/>
      <c r="F725" s="118"/>
      <c r="G725" s="127"/>
      <c r="H725" s="122"/>
      <c r="I725" s="118"/>
      <c r="J725" s="122"/>
      <c r="K725" s="122"/>
      <c r="L725" s="122"/>
      <c r="M725" s="118"/>
      <c r="N725" s="122"/>
      <c r="O725" s="122"/>
      <c r="P725" s="122"/>
    </row>
    <row r="726" spans="1:16" ht="12.75">
      <c r="A726" s="126"/>
      <c r="B726" s="127"/>
      <c r="C726" s="122"/>
      <c r="D726" s="122"/>
      <c r="E726" s="122"/>
      <c r="F726" s="118"/>
      <c r="G726" s="127"/>
      <c r="H726" s="122"/>
      <c r="I726" s="118"/>
      <c r="J726" s="122"/>
      <c r="K726" s="122"/>
      <c r="L726" s="122"/>
      <c r="M726" s="118"/>
      <c r="N726" s="122"/>
      <c r="O726" s="122"/>
      <c r="P726" s="122"/>
    </row>
    <row r="727" spans="1:16" ht="12.75">
      <c r="A727" s="126"/>
      <c r="B727" s="127"/>
      <c r="C727" s="122"/>
      <c r="D727" s="122"/>
      <c r="E727" s="122"/>
      <c r="F727" s="118"/>
      <c r="G727" s="127"/>
      <c r="H727" s="122"/>
      <c r="I727" s="118"/>
      <c r="J727" s="122"/>
      <c r="K727" s="122"/>
      <c r="L727" s="122"/>
      <c r="M727" s="118"/>
      <c r="N727" s="122"/>
      <c r="O727" s="122"/>
      <c r="P727" s="122"/>
    </row>
    <row r="728" spans="1:16" ht="12.75">
      <c r="A728" s="126"/>
      <c r="B728" s="127"/>
      <c r="C728" s="122"/>
      <c r="D728" s="122"/>
      <c r="E728" s="122"/>
      <c r="F728" s="118"/>
      <c r="G728" s="127"/>
      <c r="H728" s="122"/>
      <c r="I728" s="118"/>
      <c r="J728" s="122"/>
      <c r="K728" s="122"/>
      <c r="L728" s="122"/>
      <c r="M728" s="118"/>
      <c r="N728" s="122"/>
      <c r="O728" s="122"/>
      <c r="P728" s="122"/>
    </row>
    <row r="729" spans="1:16" ht="12.75">
      <c r="A729" s="126"/>
      <c r="B729" s="127"/>
      <c r="C729" s="122"/>
      <c r="D729" s="122"/>
      <c r="E729" s="122"/>
      <c r="F729" s="118"/>
      <c r="G729" s="127"/>
      <c r="H729" s="122"/>
      <c r="I729" s="118"/>
      <c r="J729" s="122"/>
      <c r="K729" s="122"/>
      <c r="L729" s="122"/>
      <c r="M729" s="118"/>
      <c r="N729" s="122"/>
      <c r="O729" s="122"/>
      <c r="P729" s="122"/>
    </row>
    <row r="730" spans="1:16" ht="12.75">
      <c r="A730" s="126"/>
      <c r="B730" s="127"/>
      <c r="C730" s="122"/>
      <c r="D730" s="122"/>
      <c r="E730" s="122"/>
      <c r="F730" s="118"/>
      <c r="G730" s="127"/>
      <c r="H730" s="122"/>
      <c r="I730" s="118"/>
      <c r="J730" s="122"/>
      <c r="K730" s="122"/>
      <c r="L730" s="122"/>
      <c r="M730" s="118"/>
      <c r="N730" s="122"/>
      <c r="O730" s="122"/>
      <c r="P730" s="122"/>
    </row>
    <row r="731" spans="1:16" ht="12.75">
      <c r="A731" s="126"/>
      <c r="B731" s="127"/>
      <c r="C731" s="122"/>
      <c r="D731" s="122"/>
      <c r="E731" s="122"/>
      <c r="F731" s="118"/>
      <c r="G731" s="127"/>
      <c r="H731" s="122"/>
      <c r="I731" s="118"/>
      <c r="J731" s="122"/>
      <c r="K731" s="122"/>
      <c r="L731" s="122"/>
      <c r="M731" s="118"/>
      <c r="N731" s="122"/>
      <c r="O731" s="122"/>
      <c r="P731" s="122"/>
    </row>
    <row r="732" spans="1:16" ht="12.75">
      <c r="A732" s="126"/>
      <c r="B732" s="127"/>
      <c r="C732" s="122"/>
      <c r="D732" s="122"/>
      <c r="E732" s="122"/>
      <c r="F732" s="118"/>
      <c r="G732" s="127"/>
      <c r="H732" s="122"/>
      <c r="I732" s="118"/>
      <c r="J732" s="122"/>
      <c r="K732" s="122"/>
      <c r="L732" s="122"/>
      <c r="M732" s="118"/>
      <c r="N732" s="122"/>
      <c r="O732" s="122"/>
      <c r="P732" s="122"/>
    </row>
    <row r="733" spans="1:16" ht="12.75">
      <c r="A733" s="126"/>
      <c r="B733" s="127"/>
      <c r="C733" s="122"/>
      <c r="D733" s="122"/>
      <c r="E733" s="122"/>
      <c r="F733" s="118"/>
      <c r="G733" s="127"/>
      <c r="H733" s="122"/>
      <c r="I733" s="118"/>
      <c r="J733" s="122"/>
      <c r="K733" s="122"/>
      <c r="L733" s="122"/>
      <c r="M733" s="118"/>
      <c r="N733" s="122"/>
      <c r="O733" s="122"/>
      <c r="P733" s="122"/>
    </row>
    <row r="734" spans="1:16" ht="12.75">
      <c r="A734" s="126"/>
      <c r="B734" s="127"/>
      <c r="C734" s="122"/>
      <c r="D734" s="122"/>
      <c r="E734" s="122"/>
      <c r="F734" s="118"/>
      <c r="G734" s="127"/>
      <c r="H734" s="122"/>
      <c r="I734" s="118"/>
      <c r="J734" s="122"/>
      <c r="K734" s="122"/>
      <c r="L734" s="122"/>
      <c r="M734" s="118"/>
      <c r="N734" s="122"/>
      <c r="O734" s="122"/>
      <c r="P734" s="122"/>
    </row>
    <row r="735" spans="1:16" ht="12.75">
      <c r="A735" s="126"/>
      <c r="B735" s="127"/>
      <c r="C735" s="122"/>
      <c r="D735" s="122"/>
      <c r="E735" s="122"/>
      <c r="F735" s="118"/>
      <c r="G735" s="127"/>
      <c r="H735" s="122"/>
      <c r="I735" s="118"/>
      <c r="J735" s="122"/>
      <c r="K735" s="122"/>
      <c r="L735" s="122"/>
      <c r="M735" s="118"/>
      <c r="N735" s="122"/>
      <c r="O735" s="122"/>
      <c r="P735" s="122"/>
    </row>
    <row r="736" spans="1:16" ht="12.75">
      <c r="A736" s="126"/>
      <c r="B736" s="127"/>
      <c r="C736" s="122"/>
      <c r="D736" s="122"/>
      <c r="E736" s="122"/>
      <c r="F736" s="118"/>
      <c r="G736" s="127"/>
      <c r="H736" s="122"/>
      <c r="I736" s="118"/>
      <c r="J736" s="122"/>
      <c r="K736" s="122"/>
      <c r="L736" s="122"/>
      <c r="M736" s="118"/>
      <c r="N736" s="122"/>
      <c r="O736" s="122"/>
      <c r="P736" s="122"/>
    </row>
    <row r="737" spans="1:16" ht="12.75">
      <c r="A737" s="126"/>
      <c r="B737" s="127"/>
      <c r="C737" s="122"/>
      <c r="D737" s="122"/>
      <c r="E737" s="122"/>
      <c r="F737" s="118"/>
      <c r="G737" s="127"/>
      <c r="H737" s="122"/>
      <c r="I737" s="118"/>
      <c r="J737" s="122"/>
      <c r="K737" s="122"/>
      <c r="L737" s="122"/>
      <c r="M737" s="118"/>
      <c r="N737" s="122"/>
      <c r="O737" s="122"/>
      <c r="P737" s="122"/>
    </row>
    <row r="738" spans="1:16" ht="12.75">
      <c r="A738" s="126"/>
      <c r="B738" s="127"/>
      <c r="C738" s="122"/>
      <c r="D738" s="122"/>
      <c r="E738" s="122"/>
      <c r="F738" s="118"/>
      <c r="G738" s="127"/>
      <c r="H738" s="122"/>
      <c r="I738" s="118"/>
      <c r="J738" s="122"/>
      <c r="K738" s="122"/>
      <c r="L738" s="122"/>
      <c r="M738" s="118"/>
      <c r="N738" s="122"/>
      <c r="O738" s="122"/>
      <c r="P738" s="122"/>
    </row>
    <row r="739" spans="1:16" ht="12.75">
      <c r="A739" s="126"/>
      <c r="B739" s="127"/>
      <c r="C739" s="122"/>
      <c r="D739" s="122"/>
      <c r="E739" s="122"/>
      <c r="F739" s="118"/>
      <c r="G739" s="127"/>
      <c r="H739" s="122"/>
      <c r="I739" s="118"/>
      <c r="J739" s="122"/>
      <c r="K739" s="122"/>
      <c r="L739" s="122"/>
      <c r="M739" s="118"/>
      <c r="N739" s="122"/>
      <c r="O739" s="122"/>
      <c r="P739" s="122"/>
    </row>
    <row r="740" spans="1:16" ht="12.75">
      <c r="A740" s="126"/>
      <c r="B740" s="127"/>
      <c r="C740" s="122"/>
      <c r="D740" s="122"/>
      <c r="E740" s="122"/>
      <c r="F740" s="118"/>
      <c r="G740" s="127"/>
      <c r="H740" s="122"/>
      <c r="I740" s="118"/>
      <c r="J740" s="122"/>
      <c r="K740" s="122"/>
      <c r="L740" s="122"/>
      <c r="M740" s="118"/>
      <c r="N740" s="122"/>
      <c r="O740" s="122"/>
      <c r="P740" s="122"/>
    </row>
    <row r="741" spans="1:16" ht="12.75">
      <c r="A741" s="126"/>
      <c r="B741" s="127"/>
      <c r="C741" s="122"/>
      <c r="D741" s="122"/>
      <c r="E741" s="122"/>
      <c r="F741" s="118"/>
      <c r="G741" s="127"/>
      <c r="H741" s="122"/>
      <c r="I741" s="118"/>
      <c r="J741" s="122"/>
      <c r="K741" s="122"/>
      <c r="L741" s="122"/>
      <c r="M741" s="118"/>
      <c r="N741" s="122"/>
      <c r="O741" s="122"/>
      <c r="P741" s="122"/>
    </row>
    <row r="742" spans="1:16" ht="12.75">
      <c r="A742" s="126"/>
      <c r="B742" s="127"/>
      <c r="C742" s="122"/>
      <c r="D742" s="122"/>
      <c r="E742" s="122"/>
      <c r="F742" s="118"/>
      <c r="G742" s="127"/>
      <c r="H742" s="122"/>
      <c r="I742" s="118"/>
      <c r="J742" s="122"/>
      <c r="K742" s="122"/>
      <c r="L742" s="122"/>
      <c r="M742" s="118"/>
      <c r="N742" s="122"/>
      <c r="O742" s="122"/>
      <c r="P742" s="122"/>
    </row>
    <row r="743" spans="1:16" ht="12.75">
      <c r="A743" s="126"/>
      <c r="B743" s="127"/>
      <c r="C743" s="122"/>
      <c r="D743" s="122"/>
      <c r="E743" s="122"/>
      <c r="F743" s="118"/>
      <c r="G743" s="127"/>
      <c r="H743" s="122"/>
      <c r="I743" s="118"/>
      <c r="J743" s="122"/>
      <c r="K743" s="122"/>
      <c r="L743" s="122"/>
      <c r="M743" s="118"/>
      <c r="N743" s="122"/>
      <c r="O743" s="122"/>
      <c r="P743" s="122"/>
    </row>
    <row r="744" spans="1:16" ht="12.75">
      <c r="A744" s="126"/>
      <c r="B744" s="127"/>
      <c r="C744" s="122"/>
      <c r="D744" s="122"/>
      <c r="E744" s="122"/>
      <c r="F744" s="118"/>
      <c r="G744" s="127"/>
      <c r="H744" s="122"/>
      <c r="I744" s="118"/>
      <c r="J744" s="122"/>
      <c r="K744" s="122"/>
      <c r="L744" s="122"/>
      <c r="M744" s="118"/>
      <c r="N744" s="122"/>
      <c r="O744" s="122"/>
      <c r="P744" s="122"/>
    </row>
    <row r="745" spans="1:16" ht="12.75">
      <c r="A745" s="126"/>
      <c r="B745" s="127"/>
      <c r="C745" s="122"/>
      <c r="D745" s="122"/>
      <c r="E745" s="122"/>
      <c r="F745" s="118"/>
      <c r="G745" s="127"/>
      <c r="H745" s="122"/>
      <c r="I745" s="118"/>
      <c r="J745" s="122"/>
      <c r="K745" s="122"/>
      <c r="L745" s="122"/>
      <c r="M745" s="118"/>
      <c r="N745" s="122"/>
      <c r="O745" s="122"/>
      <c r="P745" s="122"/>
    </row>
    <row r="746" spans="1:16" ht="12.75">
      <c r="A746" s="126"/>
      <c r="B746" s="127"/>
      <c r="C746" s="122"/>
      <c r="D746" s="122"/>
      <c r="E746" s="122"/>
      <c r="F746" s="118"/>
      <c r="G746" s="127"/>
      <c r="H746" s="122"/>
      <c r="I746" s="118"/>
      <c r="J746" s="122"/>
      <c r="K746" s="122"/>
      <c r="L746" s="122"/>
      <c r="M746" s="118"/>
      <c r="N746" s="122"/>
      <c r="O746" s="122"/>
      <c r="P746" s="122"/>
    </row>
    <row r="747" spans="1:16" ht="12.75">
      <c r="A747" s="126"/>
      <c r="B747" s="127"/>
      <c r="C747" s="122"/>
      <c r="D747" s="122"/>
      <c r="E747" s="122"/>
      <c r="F747" s="118"/>
      <c r="G747" s="127"/>
      <c r="H747" s="122"/>
      <c r="I747" s="118"/>
      <c r="J747" s="122"/>
      <c r="K747" s="122"/>
      <c r="L747" s="122"/>
      <c r="M747" s="118"/>
      <c r="N747" s="122"/>
      <c r="O747" s="122"/>
      <c r="P747" s="122"/>
    </row>
    <row r="748" spans="1:16" ht="12.75">
      <c r="A748" s="126"/>
      <c r="B748" s="127"/>
      <c r="C748" s="122"/>
      <c r="D748" s="122"/>
      <c r="E748" s="122"/>
      <c r="F748" s="118"/>
      <c r="G748" s="127"/>
      <c r="H748" s="122"/>
      <c r="I748" s="118"/>
      <c r="J748" s="122"/>
      <c r="K748" s="122"/>
      <c r="L748" s="122"/>
      <c r="M748" s="118"/>
      <c r="N748" s="122"/>
      <c r="O748" s="122"/>
      <c r="P748" s="122"/>
    </row>
    <row r="749" spans="1:16" ht="12.75">
      <c r="A749" s="126"/>
      <c r="B749" s="127"/>
      <c r="C749" s="122"/>
      <c r="D749" s="122"/>
      <c r="E749" s="122"/>
      <c r="F749" s="118"/>
      <c r="G749" s="127"/>
      <c r="H749" s="122"/>
      <c r="I749" s="118"/>
      <c r="J749" s="122"/>
      <c r="K749" s="122"/>
      <c r="L749" s="122"/>
      <c r="M749" s="118"/>
      <c r="N749" s="122"/>
      <c r="O749" s="122"/>
      <c r="P749" s="122"/>
    </row>
    <row r="750" spans="1:16" ht="12.75">
      <c r="A750" s="126"/>
      <c r="B750" s="127"/>
      <c r="C750" s="122"/>
      <c r="D750" s="122"/>
      <c r="E750" s="122"/>
      <c r="F750" s="118"/>
      <c r="G750" s="127"/>
      <c r="H750" s="122"/>
      <c r="I750" s="118"/>
      <c r="J750" s="122"/>
      <c r="K750" s="122"/>
      <c r="L750" s="122"/>
      <c r="M750" s="118"/>
      <c r="N750" s="122"/>
      <c r="O750" s="122"/>
      <c r="P750" s="122"/>
    </row>
    <row r="751" spans="1:16" ht="12.75">
      <c r="A751" s="126"/>
      <c r="B751" s="127"/>
      <c r="C751" s="122"/>
      <c r="D751" s="122"/>
      <c r="E751" s="122"/>
      <c r="F751" s="118"/>
      <c r="G751" s="127"/>
      <c r="H751" s="122"/>
      <c r="I751" s="118"/>
      <c r="J751" s="122"/>
      <c r="K751" s="122"/>
      <c r="L751" s="122"/>
      <c r="M751" s="118"/>
      <c r="N751" s="122"/>
      <c r="O751" s="122"/>
      <c r="P751" s="122"/>
    </row>
    <row r="752" spans="1:16" ht="12.75">
      <c r="A752" s="126"/>
      <c r="B752" s="127"/>
      <c r="C752" s="122"/>
      <c r="D752" s="122"/>
      <c r="E752" s="122"/>
      <c r="F752" s="118"/>
      <c r="G752" s="127"/>
      <c r="H752" s="122"/>
      <c r="I752" s="118"/>
      <c r="J752" s="122"/>
      <c r="K752" s="122"/>
      <c r="L752" s="122"/>
      <c r="M752" s="118"/>
      <c r="N752" s="122"/>
      <c r="O752" s="122"/>
      <c r="P752" s="122"/>
    </row>
    <row r="753" spans="1:16" ht="12.75">
      <c r="A753" s="126"/>
      <c r="B753" s="127"/>
      <c r="C753" s="122"/>
      <c r="D753" s="122"/>
      <c r="E753" s="122"/>
      <c r="F753" s="118"/>
      <c r="G753" s="127"/>
      <c r="H753" s="122"/>
      <c r="I753" s="118"/>
      <c r="J753" s="122"/>
      <c r="K753" s="122"/>
      <c r="L753" s="122"/>
      <c r="M753" s="118"/>
      <c r="N753" s="122"/>
      <c r="O753" s="122"/>
      <c r="P753" s="122"/>
    </row>
    <row r="754" spans="1:16" ht="12.75">
      <c r="A754" s="126"/>
      <c r="B754" s="127"/>
      <c r="C754" s="122"/>
      <c r="D754" s="122"/>
      <c r="E754" s="122"/>
      <c r="F754" s="118"/>
      <c r="G754" s="127"/>
      <c r="H754" s="122"/>
      <c r="I754" s="118"/>
      <c r="J754" s="122"/>
      <c r="K754" s="122"/>
      <c r="L754" s="122"/>
      <c r="M754" s="118"/>
      <c r="N754" s="122"/>
      <c r="O754" s="122"/>
      <c r="P754" s="122"/>
    </row>
    <row r="755" spans="1:16" ht="12.75">
      <c r="A755" s="126"/>
      <c r="B755" s="127"/>
      <c r="C755" s="122"/>
      <c r="D755" s="122"/>
      <c r="E755" s="122"/>
      <c r="F755" s="118"/>
      <c r="G755" s="127"/>
      <c r="H755" s="122"/>
      <c r="I755" s="118"/>
      <c r="J755" s="122"/>
      <c r="K755" s="122"/>
      <c r="L755" s="122"/>
      <c r="M755" s="118"/>
      <c r="N755" s="122"/>
      <c r="O755" s="122"/>
      <c r="P755" s="122"/>
    </row>
    <row r="756" spans="1:16" ht="12.75">
      <c r="A756" s="126"/>
      <c r="B756" s="127"/>
      <c r="C756" s="122"/>
      <c r="D756" s="122"/>
      <c r="E756" s="122"/>
      <c r="F756" s="118"/>
      <c r="G756" s="127"/>
      <c r="H756" s="122"/>
      <c r="I756" s="118"/>
      <c r="J756" s="122"/>
      <c r="K756" s="122"/>
      <c r="L756" s="122"/>
      <c r="M756" s="118"/>
      <c r="N756" s="122"/>
      <c r="O756" s="122"/>
      <c r="P756" s="122"/>
    </row>
    <row r="757" spans="1:16" ht="12.75">
      <c r="A757" s="126"/>
      <c r="B757" s="127"/>
      <c r="C757" s="122"/>
      <c r="D757" s="122"/>
      <c r="E757" s="122"/>
      <c r="F757" s="118"/>
      <c r="G757" s="127"/>
      <c r="H757" s="122"/>
      <c r="I757" s="118"/>
      <c r="J757" s="122"/>
      <c r="K757" s="122"/>
      <c r="L757" s="122"/>
      <c r="M757" s="118"/>
      <c r="N757" s="122"/>
      <c r="O757" s="122"/>
      <c r="P757" s="122"/>
    </row>
    <row r="758" spans="1:16" ht="12.75">
      <c r="A758" s="126"/>
      <c r="B758" s="127"/>
      <c r="C758" s="122"/>
      <c r="D758" s="122"/>
      <c r="E758" s="122"/>
      <c r="F758" s="118"/>
      <c r="G758" s="127"/>
      <c r="H758" s="122"/>
      <c r="I758" s="118"/>
      <c r="J758" s="122"/>
      <c r="K758" s="122"/>
      <c r="L758" s="122"/>
      <c r="M758" s="118"/>
      <c r="N758" s="122"/>
      <c r="O758" s="122"/>
      <c r="P758" s="122"/>
    </row>
    <row r="759" spans="1:16" ht="12.75">
      <c r="A759" s="126"/>
      <c r="B759" s="127"/>
      <c r="C759" s="122"/>
      <c r="D759" s="122"/>
      <c r="E759" s="122"/>
      <c r="F759" s="118"/>
      <c r="G759" s="127"/>
      <c r="H759" s="122"/>
      <c r="I759" s="118"/>
      <c r="J759" s="122"/>
      <c r="K759" s="122"/>
      <c r="L759" s="122"/>
      <c r="M759" s="118"/>
      <c r="N759" s="122"/>
      <c r="O759" s="122"/>
      <c r="P759" s="122"/>
    </row>
    <row r="760" spans="1:16" ht="12.75">
      <c r="A760" s="126"/>
      <c r="B760" s="127"/>
      <c r="C760" s="122"/>
      <c r="D760" s="122"/>
      <c r="E760" s="122"/>
      <c r="F760" s="118"/>
      <c r="G760" s="127"/>
      <c r="H760" s="122"/>
      <c r="I760" s="118"/>
      <c r="J760" s="122"/>
      <c r="K760" s="122"/>
      <c r="L760" s="122"/>
      <c r="M760" s="118"/>
      <c r="N760" s="122"/>
      <c r="O760" s="122"/>
      <c r="P760" s="122"/>
    </row>
    <row r="761" spans="1:16" ht="12.75">
      <c r="A761" s="126"/>
      <c r="B761" s="127"/>
      <c r="C761" s="122"/>
      <c r="D761" s="122"/>
      <c r="E761" s="122"/>
      <c r="F761" s="118"/>
      <c r="G761" s="127"/>
      <c r="H761" s="122"/>
      <c r="I761" s="118"/>
      <c r="J761" s="122"/>
      <c r="K761" s="122"/>
      <c r="L761" s="122"/>
      <c r="M761" s="118"/>
      <c r="N761" s="122"/>
      <c r="O761" s="122"/>
      <c r="P761" s="122"/>
    </row>
    <row r="762" spans="1:16" ht="12.75">
      <c r="A762" s="126"/>
      <c r="B762" s="127"/>
      <c r="C762" s="122"/>
      <c r="D762" s="122"/>
      <c r="E762" s="122"/>
      <c r="F762" s="118"/>
      <c r="G762" s="127"/>
      <c r="H762" s="122"/>
      <c r="I762" s="118"/>
      <c r="J762" s="122"/>
      <c r="K762" s="122"/>
      <c r="L762" s="122"/>
      <c r="M762" s="118"/>
      <c r="N762" s="122"/>
      <c r="O762" s="122"/>
      <c r="P762" s="122"/>
    </row>
    <row r="763" spans="1:16" ht="12.75">
      <c r="A763" s="126"/>
      <c r="B763" s="127"/>
      <c r="C763" s="122"/>
      <c r="D763" s="122"/>
      <c r="E763" s="122"/>
      <c r="F763" s="118"/>
      <c r="G763" s="127"/>
      <c r="H763" s="122"/>
      <c r="I763" s="118"/>
      <c r="J763" s="122"/>
      <c r="K763" s="122"/>
      <c r="L763" s="122"/>
      <c r="M763" s="118"/>
      <c r="N763" s="122"/>
      <c r="O763" s="122"/>
      <c r="P763" s="122"/>
    </row>
    <row r="764" spans="1:16" ht="12.75">
      <c r="A764" s="126"/>
      <c r="B764" s="127"/>
      <c r="C764" s="122"/>
      <c r="D764" s="122"/>
      <c r="E764" s="122"/>
      <c r="F764" s="118"/>
      <c r="G764" s="127"/>
      <c r="H764" s="122"/>
      <c r="I764" s="118"/>
      <c r="J764" s="122"/>
      <c r="K764" s="122"/>
      <c r="L764" s="122"/>
      <c r="M764" s="118"/>
      <c r="N764" s="122"/>
      <c r="O764" s="122"/>
      <c r="P764" s="122"/>
    </row>
    <row r="765" spans="1:16" ht="12.75">
      <c r="A765" s="126"/>
      <c r="B765" s="127"/>
      <c r="C765" s="122"/>
      <c r="D765" s="122"/>
      <c r="E765" s="122"/>
      <c r="F765" s="118"/>
      <c r="G765" s="127"/>
      <c r="H765" s="122"/>
      <c r="I765" s="118"/>
      <c r="J765" s="122"/>
      <c r="K765" s="122"/>
      <c r="L765" s="122"/>
      <c r="M765" s="118"/>
      <c r="N765" s="122"/>
      <c r="O765" s="122"/>
      <c r="P765" s="122"/>
    </row>
    <row r="766" spans="1:16" ht="12.75">
      <c r="A766" s="126"/>
      <c r="B766" s="127"/>
      <c r="C766" s="122"/>
      <c r="D766" s="122"/>
      <c r="E766" s="122"/>
      <c r="F766" s="118"/>
      <c r="G766" s="127"/>
      <c r="H766" s="122"/>
      <c r="I766" s="118"/>
      <c r="J766" s="122"/>
      <c r="K766" s="122"/>
      <c r="L766" s="122"/>
      <c r="M766" s="118"/>
      <c r="N766" s="122"/>
      <c r="O766" s="122"/>
      <c r="P766" s="122"/>
    </row>
    <row r="767" spans="1:16" ht="12.75">
      <c r="A767" s="126"/>
      <c r="B767" s="127"/>
      <c r="C767" s="122"/>
      <c r="D767" s="122"/>
      <c r="E767" s="122"/>
      <c r="F767" s="118"/>
      <c r="G767" s="127"/>
      <c r="H767" s="122"/>
      <c r="I767" s="118"/>
      <c r="J767" s="122"/>
      <c r="K767" s="122"/>
      <c r="L767" s="122"/>
      <c r="M767" s="118"/>
      <c r="N767" s="122"/>
      <c r="O767" s="122"/>
      <c r="P767" s="122"/>
    </row>
    <row r="768" spans="1:16" ht="12.75">
      <c r="A768" s="126"/>
      <c r="B768" s="127"/>
      <c r="C768" s="122"/>
      <c r="D768" s="122"/>
      <c r="E768" s="122"/>
      <c r="F768" s="118"/>
      <c r="G768" s="127"/>
      <c r="H768" s="122"/>
      <c r="I768" s="118"/>
      <c r="J768" s="122"/>
      <c r="K768" s="122"/>
      <c r="L768" s="122"/>
      <c r="M768" s="118"/>
      <c r="N768" s="122"/>
      <c r="O768" s="122"/>
      <c r="P768" s="122"/>
    </row>
    <row r="769" spans="1:16" ht="12.75">
      <c r="A769" s="126"/>
      <c r="B769" s="127"/>
      <c r="C769" s="122"/>
      <c r="D769" s="122"/>
      <c r="E769" s="122"/>
      <c r="F769" s="118"/>
      <c r="G769" s="127"/>
      <c r="H769" s="122"/>
      <c r="I769" s="118"/>
      <c r="J769" s="122"/>
      <c r="K769" s="122"/>
      <c r="L769" s="122"/>
      <c r="M769" s="118"/>
      <c r="N769" s="122"/>
      <c r="O769" s="122"/>
      <c r="P769" s="122"/>
    </row>
    <row r="770" spans="1:16" ht="12.75">
      <c r="A770" s="126"/>
      <c r="B770" s="127"/>
      <c r="C770" s="122"/>
      <c r="D770" s="122"/>
      <c r="E770" s="122"/>
      <c r="F770" s="118"/>
      <c r="G770" s="127"/>
      <c r="H770" s="122"/>
      <c r="I770" s="118"/>
      <c r="J770" s="122"/>
      <c r="K770" s="122"/>
      <c r="L770" s="122"/>
      <c r="M770" s="118"/>
      <c r="N770" s="122"/>
      <c r="O770" s="122"/>
      <c r="P770" s="122"/>
    </row>
    <row r="771" spans="1:16" ht="12.75">
      <c r="A771" s="126"/>
      <c r="B771" s="127"/>
      <c r="C771" s="122"/>
      <c r="D771" s="122"/>
      <c r="E771" s="122"/>
      <c r="F771" s="118"/>
      <c r="G771" s="127"/>
      <c r="H771" s="122"/>
      <c r="I771" s="118"/>
      <c r="J771" s="122"/>
      <c r="K771" s="122"/>
      <c r="L771" s="122"/>
      <c r="M771" s="118"/>
      <c r="N771" s="122"/>
      <c r="O771" s="122"/>
      <c r="P771" s="122"/>
    </row>
    <row r="772" spans="1:16" ht="12.75">
      <c r="A772" s="126"/>
      <c r="B772" s="127"/>
      <c r="C772" s="122"/>
      <c r="D772" s="122"/>
      <c r="E772" s="122"/>
      <c r="F772" s="118"/>
      <c r="G772" s="127"/>
      <c r="H772" s="122"/>
      <c r="I772" s="118"/>
      <c r="J772" s="122"/>
      <c r="K772" s="122"/>
      <c r="L772" s="122"/>
      <c r="M772" s="118"/>
      <c r="N772" s="122"/>
      <c r="O772" s="122"/>
      <c r="P772" s="122"/>
    </row>
    <row r="773" spans="1:16" ht="12.75">
      <c r="A773" s="126"/>
      <c r="B773" s="127"/>
      <c r="C773" s="122"/>
      <c r="D773" s="122"/>
      <c r="E773" s="122"/>
      <c r="F773" s="118"/>
      <c r="G773" s="127"/>
      <c r="H773" s="122"/>
      <c r="I773" s="118"/>
      <c r="J773" s="122"/>
      <c r="K773" s="122"/>
      <c r="L773" s="122"/>
      <c r="M773" s="118"/>
      <c r="N773" s="122"/>
      <c r="O773" s="122"/>
      <c r="P773" s="122"/>
    </row>
    <row r="774" spans="1:16" ht="12.75">
      <c r="A774" s="126"/>
      <c r="B774" s="127"/>
      <c r="C774" s="122"/>
      <c r="D774" s="122"/>
      <c r="E774" s="122"/>
      <c r="F774" s="118"/>
      <c r="G774" s="127"/>
      <c r="H774" s="122"/>
      <c r="I774" s="118"/>
      <c r="J774" s="122"/>
      <c r="K774" s="122"/>
      <c r="L774" s="122"/>
      <c r="M774" s="118"/>
      <c r="N774" s="122"/>
      <c r="O774" s="122"/>
      <c r="P774" s="122"/>
    </row>
    <row r="775" spans="1:16" ht="12.75">
      <c r="A775" s="126"/>
      <c r="B775" s="127"/>
      <c r="C775" s="122"/>
      <c r="D775" s="122"/>
      <c r="E775" s="122"/>
      <c r="F775" s="118"/>
      <c r="G775" s="127"/>
      <c r="H775" s="122"/>
      <c r="I775" s="118"/>
      <c r="J775" s="122"/>
      <c r="K775" s="122"/>
      <c r="L775" s="122"/>
      <c r="M775" s="118"/>
      <c r="N775" s="122"/>
      <c r="O775" s="122"/>
      <c r="P775" s="122"/>
    </row>
    <row r="776" spans="1:16" ht="12.75">
      <c r="A776" s="126"/>
      <c r="B776" s="127"/>
      <c r="C776" s="122"/>
      <c r="D776" s="122"/>
      <c r="E776" s="122"/>
      <c r="F776" s="118"/>
      <c r="G776" s="127"/>
      <c r="H776" s="122"/>
      <c r="I776" s="118"/>
      <c r="J776" s="122"/>
      <c r="K776" s="122"/>
      <c r="L776" s="122"/>
      <c r="M776" s="118"/>
      <c r="N776" s="122"/>
      <c r="O776" s="122"/>
      <c r="P776" s="122"/>
    </row>
    <row r="777" spans="1:16" ht="12.75">
      <c r="A777" s="126"/>
      <c r="B777" s="127"/>
      <c r="C777" s="122"/>
      <c r="D777" s="122"/>
      <c r="E777" s="122"/>
      <c r="F777" s="118"/>
      <c r="G777" s="127"/>
      <c r="H777" s="122"/>
      <c r="I777" s="118"/>
      <c r="J777" s="122"/>
      <c r="K777" s="122"/>
      <c r="L777" s="122"/>
      <c r="M777" s="118"/>
      <c r="N777" s="122"/>
      <c r="O777" s="122"/>
      <c r="P777" s="122"/>
    </row>
    <row r="778" spans="1:16" ht="12.75">
      <c r="A778" s="126"/>
      <c r="B778" s="127"/>
      <c r="C778" s="122"/>
      <c r="D778" s="122"/>
      <c r="E778" s="122"/>
      <c r="F778" s="118"/>
      <c r="G778" s="127"/>
      <c r="H778" s="122"/>
      <c r="I778" s="118"/>
      <c r="J778" s="122"/>
      <c r="K778" s="122"/>
      <c r="L778" s="122"/>
      <c r="M778" s="118"/>
      <c r="N778" s="122"/>
      <c r="O778" s="122"/>
      <c r="P778" s="122"/>
    </row>
    <row r="779" spans="1:16" ht="12.75">
      <c r="A779" s="126"/>
      <c r="B779" s="127"/>
      <c r="C779" s="122"/>
      <c r="D779" s="122"/>
      <c r="E779" s="122"/>
      <c r="F779" s="118"/>
      <c r="G779" s="127"/>
      <c r="H779" s="122"/>
      <c r="I779" s="118"/>
      <c r="J779" s="122"/>
      <c r="K779" s="122"/>
      <c r="L779" s="122"/>
      <c r="M779" s="118"/>
      <c r="N779" s="122"/>
      <c r="O779" s="122"/>
      <c r="P779" s="122"/>
    </row>
    <row r="780" spans="1:16" ht="12.75">
      <c r="A780" s="126"/>
      <c r="B780" s="127"/>
      <c r="C780" s="122"/>
      <c r="D780" s="122"/>
      <c r="E780" s="122"/>
      <c r="F780" s="118"/>
      <c r="G780" s="127"/>
      <c r="H780" s="122"/>
      <c r="I780" s="118"/>
      <c r="J780" s="122"/>
      <c r="K780" s="122"/>
      <c r="L780" s="122"/>
      <c r="M780" s="118"/>
      <c r="N780" s="122"/>
      <c r="O780" s="122"/>
      <c r="P780" s="122"/>
    </row>
    <row r="781" spans="1:16" ht="12.75">
      <c r="A781" s="126"/>
      <c r="B781" s="127"/>
      <c r="C781" s="122"/>
      <c r="D781" s="122"/>
      <c r="E781" s="122"/>
      <c r="F781" s="118"/>
      <c r="G781" s="127"/>
      <c r="H781" s="122"/>
      <c r="I781" s="118"/>
      <c r="J781" s="122"/>
      <c r="K781" s="122"/>
      <c r="L781" s="122"/>
      <c r="M781" s="118"/>
      <c r="N781" s="122"/>
      <c r="O781" s="122"/>
      <c r="P781" s="122"/>
    </row>
    <row r="782" spans="1:16" ht="12.75">
      <c r="A782" s="126"/>
      <c r="B782" s="127"/>
      <c r="C782" s="122"/>
      <c r="D782" s="122"/>
      <c r="E782" s="122"/>
      <c r="F782" s="118"/>
      <c r="G782" s="127"/>
      <c r="H782" s="122"/>
      <c r="I782" s="118"/>
      <c r="J782" s="122"/>
      <c r="K782" s="122"/>
      <c r="L782" s="122"/>
      <c r="M782" s="118"/>
      <c r="N782" s="122"/>
      <c r="O782" s="122"/>
      <c r="P782" s="122"/>
    </row>
    <row r="783" spans="1:16" ht="12.75">
      <c r="A783" s="126"/>
      <c r="B783" s="127"/>
      <c r="C783" s="122"/>
      <c r="D783" s="122"/>
      <c r="E783" s="122"/>
      <c r="F783" s="118"/>
      <c r="G783" s="127"/>
      <c r="H783" s="122"/>
      <c r="I783" s="118"/>
      <c r="J783" s="122"/>
      <c r="K783" s="122"/>
      <c r="L783" s="122"/>
      <c r="M783" s="118"/>
      <c r="N783" s="122"/>
      <c r="O783" s="122"/>
      <c r="P783" s="122"/>
    </row>
    <row r="784" spans="1:16" ht="12.75">
      <c r="A784" s="126"/>
      <c r="B784" s="127"/>
      <c r="C784" s="122"/>
      <c r="D784" s="122"/>
      <c r="E784" s="122"/>
      <c r="F784" s="118"/>
      <c r="G784" s="127"/>
      <c r="H784" s="122"/>
      <c r="I784" s="118"/>
      <c r="J784" s="122"/>
      <c r="K784" s="122"/>
      <c r="L784" s="122"/>
      <c r="M784" s="118"/>
      <c r="N784" s="122"/>
      <c r="O784" s="122"/>
      <c r="P784" s="122"/>
    </row>
    <row r="785" spans="1:16" ht="12.75">
      <c r="A785" s="126"/>
      <c r="B785" s="127"/>
      <c r="C785" s="122"/>
      <c r="D785" s="122"/>
      <c r="E785" s="122"/>
      <c r="F785" s="118"/>
      <c r="G785" s="127"/>
      <c r="H785" s="122"/>
      <c r="I785" s="118"/>
      <c r="J785" s="122"/>
      <c r="K785" s="122"/>
      <c r="L785" s="122"/>
      <c r="M785" s="118"/>
      <c r="N785" s="122"/>
      <c r="O785" s="122"/>
      <c r="P785" s="122"/>
    </row>
    <row r="786" spans="1:16" ht="12.75">
      <c r="A786" s="126"/>
      <c r="B786" s="127"/>
      <c r="C786" s="122"/>
      <c r="D786" s="122"/>
      <c r="E786" s="122"/>
      <c r="F786" s="118"/>
      <c r="G786" s="127"/>
      <c r="H786" s="122"/>
      <c r="I786" s="118"/>
      <c r="J786" s="122"/>
      <c r="K786" s="122"/>
      <c r="L786" s="122"/>
      <c r="M786" s="118"/>
      <c r="N786" s="122"/>
      <c r="O786" s="122"/>
      <c r="P786" s="122"/>
    </row>
    <row r="787" spans="1:16" ht="12.75">
      <c r="A787" s="126"/>
      <c r="B787" s="127"/>
      <c r="C787" s="122"/>
      <c r="D787" s="122"/>
      <c r="E787" s="122"/>
      <c r="F787" s="118"/>
      <c r="G787" s="127"/>
      <c r="H787" s="122"/>
      <c r="I787" s="118"/>
      <c r="J787" s="122"/>
      <c r="K787" s="122"/>
      <c r="L787" s="122"/>
      <c r="M787" s="118"/>
      <c r="N787" s="122"/>
      <c r="O787" s="122"/>
      <c r="P787" s="122"/>
    </row>
    <row r="788" spans="1:16" ht="12.75">
      <c r="A788" s="126"/>
      <c r="B788" s="127"/>
      <c r="C788" s="122"/>
      <c r="D788" s="122"/>
      <c r="E788" s="122"/>
      <c r="F788" s="118"/>
      <c r="G788" s="127"/>
      <c r="H788" s="122"/>
      <c r="I788" s="118"/>
      <c r="J788" s="122"/>
      <c r="K788" s="122"/>
      <c r="L788" s="122"/>
      <c r="M788" s="118"/>
      <c r="N788" s="122"/>
      <c r="O788" s="122"/>
      <c r="P788" s="122"/>
    </row>
    <row r="789" spans="1:16" ht="12.75">
      <c r="A789" s="126"/>
      <c r="B789" s="127"/>
      <c r="C789" s="122"/>
      <c r="D789" s="122"/>
      <c r="E789" s="122"/>
      <c r="F789" s="118"/>
      <c r="G789" s="127"/>
      <c r="H789" s="122"/>
      <c r="I789" s="118"/>
      <c r="J789" s="122"/>
      <c r="K789" s="122"/>
      <c r="L789" s="122"/>
      <c r="M789" s="118"/>
      <c r="N789" s="122"/>
      <c r="O789" s="122"/>
      <c r="P789" s="122"/>
    </row>
    <row r="790" spans="1:16" ht="12.75">
      <c r="A790" s="126"/>
      <c r="B790" s="127"/>
      <c r="C790" s="122"/>
      <c r="D790" s="122"/>
      <c r="E790" s="122"/>
      <c r="F790" s="118"/>
      <c r="G790" s="127"/>
      <c r="H790" s="122"/>
      <c r="I790" s="118"/>
      <c r="J790" s="122"/>
      <c r="K790" s="122"/>
      <c r="L790" s="122"/>
      <c r="M790" s="118"/>
      <c r="N790" s="122"/>
      <c r="O790" s="122"/>
      <c r="P790" s="122"/>
    </row>
    <row r="791" spans="1:16" ht="12.75">
      <c r="A791" s="126"/>
      <c r="B791" s="127"/>
      <c r="C791" s="122"/>
      <c r="D791" s="122"/>
      <c r="E791" s="122"/>
      <c r="F791" s="118"/>
      <c r="G791" s="127"/>
      <c r="H791" s="122"/>
      <c r="I791" s="118"/>
      <c r="J791" s="122"/>
      <c r="K791" s="122"/>
      <c r="L791" s="122"/>
      <c r="M791" s="118"/>
      <c r="N791" s="122"/>
      <c r="O791" s="122"/>
      <c r="P791" s="122"/>
    </row>
    <row r="792" spans="1:16" ht="12.75">
      <c r="A792" s="126"/>
      <c r="B792" s="127"/>
      <c r="C792" s="122"/>
      <c r="D792" s="122"/>
      <c r="E792" s="122"/>
      <c r="F792" s="118"/>
      <c r="G792" s="127"/>
      <c r="H792" s="122"/>
      <c r="I792" s="118"/>
      <c r="J792" s="122"/>
      <c r="K792" s="122"/>
      <c r="L792" s="122"/>
      <c r="M792" s="118"/>
      <c r="N792" s="122"/>
      <c r="O792" s="122"/>
      <c r="P792" s="122"/>
    </row>
    <row r="793" spans="1:16" ht="12.75">
      <c r="A793" s="126"/>
      <c r="B793" s="127"/>
      <c r="C793" s="122"/>
      <c r="D793" s="122"/>
      <c r="E793" s="122"/>
      <c r="F793" s="118"/>
      <c r="G793" s="127"/>
      <c r="H793" s="122"/>
      <c r="I793" s="118"/>
      <c r="J793" s="122"/>
      <c r="K793" s="122"/>
      <c r="L793" s="122"/>
      <c r="M793" s="118"/>
      <c r="N793" s="122"/>
      <c r="O793" s="122"/>
      <c r="P793" s="122"/>
    </row>
    <row r="794" spans="1:16" ht="12.75">
      <c r="A794" s="126"/>
      <c r="B794" s="127"/>
      <c r="C794" s="122"/>
      <c r="D794" s="122"/>
      <c r="E794" s="122"/>
      <c r="F794" s="118"/>
      <c r="G794" s="127"/>
      <c r="H794" s="122"/>
      <c r="I794" s="118"/>
      <c r="J794" s="122"/>
      <c r="K794" s="122"/>
      <c r="L794" s="122"/>
      <c r="M794" s="118"/>
      <c r="N794" s="122"/>
      <c r="O794" s="122"/>
      <c r="P794" s="122"/>
    </row>
    <row r="795" spans="1:16" ht="12.75">
      <c r="A795" s="126"/>
      <c r="B795" s="127"/>
      <c r="C795" s="122"/>
      <c r="D795" s="122"/>
      <c r="E795" s="122"/>
      <c r="F795" s="118"/>
      <c r="G795" s="127"/>
      <c r="H795" s="122"/>
      <c r="I795" s="118"/>
      <c r="J795" s="122"/>
      <c r="K795" s="122"/>
      <c r="L795" s="122"/>
      <c r="M795" s="118"/>
      <c r="N795" s="122"/>
      <c r="O795" s="122"/>
      <c r="P795" s="122"/>
    </row>
    <row r="796" spans="1:16" ht="12.75">
      <c r="A796" s="126"/>
      <c r="B796" s="127"/>
      <c r="C796" s="122"/>
      <c r="D796" s="122"/>
      <c r="E796" s="122"/>
      <c r="F796" s="118"/>
      <c r="G796" s="127"/>
      <c r="H796" s="122"/>
      <c r="I796" s="118"/>
      <c r="J796" s="122"/>
      <c r="K796" s="122"/>
      <c r="L796" s="122"/>
      <c r="M796" s="118"/>
      <c r="N796" s="122"/>
      <c r="O796" s="122"/>
      <c r="P796" s="122"/>
    </row>
    <row r="797" spans="1:16" ht="12.75">
      <c r="A797" s="126"/>
      <c r="B797" s="127"/>
      <c r="C797" s="122"/>
      <c r="D797" s="122"/>
      <c r="E797" s="122"/>
      <c r="F797" s="118"/>
      <c r="G797" s="127"/>
      <c r="H797" s="122"/>
      <c r="I797" s="118"/>
      <c r="J797" s="122"/>
      <c r="K797" s="122"/>
      <c r="L797" s="122"/>
      <c r="M797" s="118"/>
      <c r="N797" s="122"/>
      <c r="O797" s="122"/>
      <c r="P797" s="122"/>
    </row>
    <row r="798" spans="1:16" ht="12.75">
      <c r="A798" s="126"/>
      <c r="B798" s="127"/>
      <c r="C798" s="122"/>
      <c r="D798" s="122"/>
      <c r="E798" s="122"/>
      <c r="F798" s="118"/>
      <c r="G798" s="127"/>
      <c r="H798" s="122"/>
      <c r="I798" s="118"/>
      <c r="J798" s="122"/>
      <c r="K798" s="122"/>
      <c r="L798" s="122"/>
      <c r="M798" s="118"/>
      <c r="N798" s="122"/>
      <c r="O798" s="122"/>
      <c r="P798" s="122"/>
    </row>
    <row r="799" spans="1:16" ht="12.75">
      <c r="A799" s="126"/>
      <c r="B799" s="127"/>
      <c r="C799" s="122"/>
      <c r="D799" s="122"/>
      <c r="E799" s="122"/>
      <c r="F799" s="118"/>
      <c r="G799" s="127"/>
      <c r="H799" s="122"/>
      <c r="I799" s="118"/>
      <c r="J799" s="122"/>
      <c r="K799" s="122"/>
      <c r="L799" s="122"/>
      <c r="M799" s="118"/>
      <c r="N799" s="122"/>
      <c r="O799" s="122"/>
      <c r="P799" s="122"/>
    </row>
    <row r="800" spans="1:16" ht="12.75">
      <c r="A800" s="126"/>
      <c r="B800" s="127"/>
      <c r="C800" s="122"/>
      <c r="D800" s="122"/>
      <c r="E800" s="122"/>
      <c r="F800" s="118"/>
      <c r="G800" s="127"/>
      <c r="H800" s="122"/>
      <c r="I800" s="118"/>
      <c r="J800" s="122"/>
      <c r="K800" s="122"/>
      <c r="L800" s="122"/>
      <c r="M800" s="118"/>
      <c r="N800" s="122"/>
      <c r="O800" s="122"/>
      <c r="P800" s="122"/>
    </row>
    <row r="801" spans="1:16" ht="12.75">
      <c r="A801" s="126"/>
      <c r="B801" s="127"/>
      <c r="C801" s="122"/>
      <c r="D801" s="122"/>
      <c r="E801" s="122"/>
      <c r="F801" s="118"/>
      <c r="G801" s="127"/>
      <c r="H801" s="122"/>
      <c r="I801" s="118"/>
      <c r="J801" s="122"/>
      <c r="K801" s="122"/>
      <c r="L801" s="122"/>
      <c r="M801" s="118"/>
      <c r="N801" s="122"/>
      <c r="O801" s="122"/>
      <c r="P801" s="122"/>
    </row>
    <row r="802" spans="1:16" ht="12.75">
      <c r="A802" s="126"/>
      <c r="B802" s="127"/>
      <c r="C802" s="122"/>
      <c r="D802" s="122"/>
      <c r="E802" s="122"/>
      <c r="F802" s="118"/>
      <c r="G802" s="127"/>
      <c r="H802" s="122"/>
      <c r="I802" s="118"/>
      <c r="J802" s="122"/>
      <c r="K802" s="122"/>
      <c r="L802" s="122"/>
      <c r="M802" s="118"/>
      <c r="N802" s="122"/>
      <c r="O802" s="122"/>
      <c r="P802" s="122"/>
    </row>
    <row r="803" spans="1:16" ht="12.75">
      <c r="A803" s="126"/>
      <c r="B803" s="127"/>
      <c r="C803" s="122"/>
      <c r="D803" s="122"/>
      <c r="E803" s="122"/>
      <c r="F803" s="118"/>
      <c r="G803" s="127"/>
      <c r="H803" s="122"/>
      <c r="I803" s="118"/>
      <c r="J803" s="122"/>
      <c r="K803" s="122"/>
      <c r="L803" s="122"/>
      <c r="M803" s="118"/>
      <c r="N803" s="122"/>
      <c r="O803" s="122"/>
      <c r="P803" s="122"/>
    </row>
    <row r="804" spans="1:16" ht="12.75">
      <c r="A804" s="126"/>
      <c r="B804" s="127"/>
      <c r="C804" s="122"/>
      <c r="D804" s="122"/>
      <c r="E804" s="122"/>
      <c r="F804" s="118"/>
      <c r="G804" s="127"/>
      <c r="H804" s="122"/>
      <c r="I804" s="118"/>
      <c r="J804" s="122"/>
      <c r="K804" s="122"/>
      <c r="L804" s="122"/>
      <c r="M804" s="118"/>
      <c r="N804" s="122"/>
      <c r="O804" s="122"/>
      <c r="P804" s="122"/>
    </row>
    <row r="805" spans="1:16" ht="12.75">
      <c r="A805" s="126"/>
      <c r="B805" s="127"/>
      <c r="C805" s="122"/>
      <c r="D805" s="122"/>
      <c r="E805" s="122"/>
      <c r="F805" s="118"/>
      <c r="G805" s="127"/>
      <c r="H805" s="122"/>
      <c r="I805" s="118"/>
      <c r="J805" s="122"/>
      <c r="K805" s="122"/>
      <c r="L805" s="122"/>
      <c r="M805" s="118"/>
      <c r="N805" s="122"/>
      <c r="O805" s="122"/>
      <c r="P805" s="122"/>
    </row>
    <row r="806" spans="1:16" ht="12.75">
      <c r="A806" s="126"/>
      <c r="B806" s="127"/>
      <c r="C806" s="122"/>
      <c r="D806" s="122"/>
      <c r="E806" s="122"/>
      <c r="F806" s="118"/>
      <c r="G806" s="127"/>
      <c r="H806" s="122"/>
      <c r="I806" s="118"/>
      <c r="J806" s="122"/>
      <c r="K806" s="122"/>
      <c r="L806" s="122"/>
      <c r="M806" s="118"/>
      <c r="N806" s="122"/>
      <c r="O806" s="122"/>
      <c r="P806" s="122"/>
    </row>
    <row r="807" spans="1:16" ht="12.75">
      <c r="A807" s="126"/>
      <c r="B807" s="127"/>
      <c r="C807" s="122"/>
      <c r="D807" s="122"/>
      <c r="E807" s="122"/>
      <c r="F807" s="118"/>
      <c r="G807" s="127"/>
      <c r="H807" s="122"/>
      <c r="I807" s="118"/>
      <c r="J807" s="122"/>
      <c r="K807" s="122"/>
      <c r="L807" s="122"/>
      <c r="M807" s="118"/>
      <c r="N807" s="122"/>
      <c r="O807" s="122"/>
      <c r="P807" s="122"/>
    </row>
    <row r="808" spans="1:16" ht="12.75">
      <c r="A808" s="126"/>
      <c r="B808" s="127"/>
      <c r="C808" s="122"/>
      <c r="D808" s="122"/>
      <c r="E808" s="122"/>
      <c r="F808" s="118"/>
      <c r="G808" s="127"/>
      <c r="H808" s="122"/>
      <c r="I808" s="118"/>
      <c r="J808" s="122"/>
      <c r="K808" s="122"/>
      <c r="L808" s="122"/>
      <c r="M808" s="118"/>
      <c r="N808" s="122"/>
      <c r="O808" s="122"/>
      <c r="P808" s="122"/>
    </row>
    <row r="809" spans="1:16" ht="12.75">
      <c r="A809" s="126"/>
      <c r="B809" s="127"/>
      <c r="C809" s="122"/>
      <c r="D809" s="122"/>
      <c r="E809" s="122"/>
      <c r="F809" s="118"/>
      <c r="G809" s="127"/>
      <c r="H809" s="122"/>
      <c r="I809" s="118"/>
      <c r="J809" s="122"/>
      <c r="K809" s="122"/>
      <c r="L809" s="122"/>
      <c r="M809" s="118"/>
      <c r="N809" s="122"/>
      <c r="O809" s="122"/>
      <c r="P809" s="122"/>
    </row>
    <row r="810" spans="1:16" ht="12.75">
      <c r="A810" s="126"/>
      <c r="B810" s="127"/>
      <c r="C810" s="122"/>
      <c r="D810" s="122"/>
      <c r="E810" s="122"/>
      <c r="F810" s="118"/>
      <c r="G810" s="127"/>
      <c r="H810" s="122"/>
      <c r="I810" s="118"/>
      <c r="J810" s="122"/>
      <c r="K810" s="122"/>
      <c r="L810" s="122"/>
      <c r="M810" s="118"/>
      <c r="N810" s="122"/>
      <c r="O810" s="122"/>
      <c r="P810" s="122"/>
    </row>
    <row r="811" spans="1:16" ht="12.75">
      <c r="A811" s="126"/>
      <c r="B811" s="127"/>
      <c r="C811" s="122"/>
      <c r="D811" s="122"/>
      <c r="E811" s="122"/>
      <c r="F811" s="118"/>
      <c r="G811" s="127"/>
      <c r="H811" s="122"/>
      <c r="I811" s="118"/>
      <c r="J811" s="122"/>
      <c r="K811" s="122"/>
      <c r="L811" s="122"/>
      <c r="M811" s="118"/>
      <c r="N811" s="122"/>
      <c r="O811" s="122"/>
      <c r="P811" s="122"/>
    </row>
    <row r="812" spans="1:16" ht="12.75">
      <c r="A812" s="126"/>
      <c r="B812" s="127"/>
      <c r="C812" s="122"/>
      <c r="D812" s="122"/>
      <c r="E812" s="122"/>
      <c r="F812" s="118"/>
      <c r="G812" s="127"/>
      <c r="H812" s="122"/>
      <c r="I812" s="118"/>
      <c r="J812" s="122"/>
      <c r="K812" s="122"/>
      <c r="L812" s="122"/>
      <c r="M812" s="118"/>
      <c r="N812" s="122"/>
      <c r="O812" s="122"/>
      <c r="P812" s="122"/>
    </row>
    <row r="813" spans="1:16" ht="12.75">
      <c r="A813" s="126"/>
      <c r="B813" s="127"/>
      <c r="C813" s="122"/>
      <c r="D813" s="122"/>
      <c r="E813" s="122"/>
      <c r="F813" s="118"/>
      <c r="G813" s="127"/>
      <c r="H813" s="122"/>
      <c r="I813" s="118"/>
      <c r="J813" s="122"/>
      <c r="K813" s="122"/>
      <c r="L813" s="122"/>
      <c r="M813" s="118"/>
      <c r="N813" s="122"/>
      <c r="O813" s="122"/>
      <c r="P813" s="122"/>
    </row>
    <row r="814" spans="1:16" ht="12.75">
      <c r="A814" s="126"/>
      <c r="B814" s="127"/>
      <c r="C814" s="122"/>
      <c r="D814" s="122"/>
      <c r="E814" s="122"/>
      <c r="F814" s="118"/>
      <c r="G814" s="127"/>
      <c r="H814" s="122"/>
      <c r="I814" s="118"/>
      <c r="J814" s="122"/>
      <c r="K814" s="122"/>
      <c r="L814" s="122"/>
      <c r="M814" s="118"/>
      <c r="N814" s="122"/>
      <c r="O814" s="122"/>
      <c r="P814" s="122"/>
    </row>
    <row r="815" spans="1:16" ht="12.75">
      <c r="A815" s="126"/>
      <c r="B815" s="127"/>
      <c r="C815" s="122"/>
      <c r="D815" s="122"/>
      <c r="E815" s="122"/>
      <c r="F815" s="118"/>
      <c r="G815" s="127"/>
      <c r="H815" s="122"/>
      <c r="I815" s="118"/>
      <c r="J815" s="122"/>
      <c r="K815" s="122"/>
      <c r="L815" s="122"/>
      <c r="M815" s="118"/>
      <c r="N815" s="122"/>
      <c r="O815" s="122"/>
      <c r="P815" s="122"/>
    </row>
    <row r="816" spans="1:16" ht="12.75">
      <c r="A816" s="126"/>
      <c r="B816" s="127"/>
      <c r="C816" s="122"/>
      <c r="D816" s="122"/>
      <c r="E816" s="122"/>
      <c r="F816" s="118"/>
      <c r="G816" s="127"/>
      <c r="H816" s="122"/>
      <c r="I816" s="118"/>
      <c r="J816" s="122"/>
      <c r="K816" s="122"/>
      <c r="L816" s="122"/>
      <c r="M816" s="118"/>
      <c r="N816" s="122"/>
      <c r="O816" s="122"/>
      <c r="P816" s="122"/>
    </row>
    <row r="817" spans="1:16" ht="12.75">
      <c r="A817" s="126"/>
      <c r="B817" s="127"/>
      <c r="C817" s="122"/>
      <c r="D817" s="122"/>
      <c r="E817" s="122"/>
      <c r="F817" s="118"/>
      <c r="G817" s="127"/>
      <c r="H817" s="122"/>
      <c r="I817" s="118"/>
      <c r="J817" s="122"/>
      <c r="K817" s="122"/>
      <c r="L817" s="122"/>
      <c r="M817" s="118"/>
      <c r="N817" s="122"/>
      <c r="O817" s="122"/>
      <c r="P817" s="122"/>
    </row>
    <row r="818" spans="1:16" ht="12.75">
      <c r="A818" s="126"/>
      <c r="B818" s="127"/>
      <c r="C818" s="122"/>
      <c r="D818" s="122"/>
      <c r="E818" s="122"/>
      <c r="F818" s="118"/>
      <c r="G818" s="127"/>
      <c r="H818" s="122"/>
      <c r="I818" s="118"/>
      <c r="J818" s="122"/>
      <c r="K818" s="122"/>
      <c r="L818" s="122"/>
      <c r="M818" s="118"/>
      <c r="N818" s="122"/>
      <c r="O818" s="122"/>
      <c r="P818" s="122"/>
    </row>
    <row r="819" spans="1:16" ht="12.75">
      <c r="A819" s="126"/>
      <c r="B819" s="127"/>
      <c r="C819" s="122"/>
      <c r="D819" s="122"/>
      <c r="E819" s="122"/>
      <c r="F819" s="118"/>
      <c r="G819" s="127"/>
      <c r="H819" s="122"/>
      <c r="I819" s="118"/>
      <c r="J819" s="122"/>
      <c r="K819" s="122"/>
      <c r="L819" s="122"/>
      <c r="M819" s="118"/>
      <c r="N819" s="122"/>
      <c r="O819" s="122"/>
      <c r="P819" s="122"/>
    </row>
    <row r="820" spans="1:16" ht="12.75">
      <c r="A820" s="126"/>
      <c r="B820" s="127"/>
      <c r="C820" s="122"/>
      <c r="D820" s="122"/>
      <c r="E820" s="122"/>
      <c r="F820" s="118"/>
      <c r="G820" s="127"/>
      <c r="H820" s="122"/>
      <c r="I820" s="118"/>
      <c r="J820" s="122"/>
      <c r="K820" s="122"/>
      <c r="L820" s="122"/>
      <c r="M820" s="118"/>
      <c r="N820" s="122"/>
      <c r="O820" s="122"/>
      <c r="P820" s="122"/>
    </row>
    <row r="821" spans="1:16" ht="12.75">
      <c r="A821" s="126"/>
      <c r="B821" s="127"/>
      <c r="C821" s="122"/>
      <c r="D821" s="122"/>
      <c r="E821" s="122"/>
      <c r="F821" s="118"/>
      <c r="G821" s="127"/>
      <c r="H821" s="122"/>
      <c r="I821" s="118"/>
      <c r="J821" s="122"/>
      <c r="K821" s="122"/>
      <c r="L821" s="122"/>
      <c r="M821" s="118"/>
      <c r="N821" s="122"/>
      <c r="O821" s="122"/>
      <c r="P821" s="122"/>
    </row>
    <row r="822" spans="1:16" ht="12.75">
      <c r="A822" s="126"/>
      <c r="B822" s="127"/>
      <c r="C822" s="122"/>
      <c r="D822" s="122"/>
      <c r="E822" s="122"/>
      <c r="F822" s="118"/>
      <c r="G822" s="127"/>
      <c r="H822" s="122"/>
      <c r="I822" s="118"/>
      <c r="J822" s="122"/>
      <c r="K822" s="122"/>
      <c r="L822" s="122"/>
      <c r="M822" s="118"/>
      <c r="N822" s="122"/>
      <c r="O822" s="122"/>
      <c r="P822" s="122"/>
    </row>
    <row r="823" spans="1:16" ht="12.75">
      <c r="A823" s="126"/>
      <c r="B823" s="127"/>
      <c r="C823" s="122"/>
      <c r="D823" s="122"/>
      <c r="E823" s="122"/>
      <c r="F823" s="118"/>
      <c r="G823" s="127"/>
      <c r="H823" s="122"/>
      <c r="I823" s="118"/>
      <c r="J823" s="122"/>
      <c r="K823" s="122"/>
      <c r="L823" s="122"/>
      <c r="M823" s="118"/>
      <c r="N823" s="122"/>
      <c r="O823" s="122"/>
      <c r="P823" s="122"/>
    </row>
    <row r="824" spans="1:16" ht="12.75">
      <c r="A824" s="126"/>
      <c r="B824" s="127"/>
      <c r="C824" s="122"/>
      <c r="D824" s="122"/>
      <c r="E824" s="122"/>
      <c r="F824" s="118"/>
      <c r="G824" s="127"/>
      <c r="H824" s="122"/>
      <c r="I824" s="118"/>
      <c r="J824" s="122"/>
      <c r="K824" s="122"/>
      <c r="L824" s="122"/>
      <c r="M824" s="118"/>
      <c r="N824" s="122"/>
      <c r="O824" s="122"/>
      <c r="P824" s="122"/>
    </row>
    <row r="825" spans="1:16" ht="12.75">
      <c r="A825" s="126"/>
      <c r="B825" s="127"/>
      <c r="C825" s="122"/>
      <c r="D825" s="122"/>
      <c r="E825" s="122"/>
      <c r="F825" s="118"/>
      <c r="G825" s="127"/>
      <c r="H825" s="122"/>
      <c r="I825" s="118"/>
      <c r="J825" s="122"/>
      <c r="K825" s="122"/>
      <c r="L825" s="122"/>
      <c r="M825" s="118"/>
      <c r="N825" s="122"/>
      <c r="O825" s="122"/>
      <c r="P825" s="122"/>
    </row>
    <row r="826" spans="1:16" ht="12.75">
      <c r="A826" s="126"/>
      <c r="B826" s="127"/>
      <c r="C826" s="122"/>
      <c r="D826" s="122"/>
      <c r="E826" s="122"/>
      <c r="F826" s="118"/>
      <c r="G826" s="127"/>
      <c r="H826" s="122"/>
      <c r="I826" s="118"/>
      <c r="J826" s="122"/>
      <c r="K826" s="122"/>
      <c r="L826" s="122"/>
      <c r="M826" s="118"/>
      <c r="N826" s="122"/>
      <c r="O826" s="122"/>
      <c r="P826" s="122"/>
    </row>
    <row r="827" spans="1:16" ht="12.75">
      <c r="A827" s="126"/>
      <c r="B827" s="127"/>
      <c r="C827" s="122"/>
      <c r="D827" s="122"/>
      <c r="E827" s="122"/>
      <c r="F827" s="118"/>
      <c r="G827" s="127"/>
      <c r="H827" s="122"/>
      <c r="I827" s="118"/>
      <c r="J827" s="122"/>
      <c r="K827" s="122"/>
      <c r="L827" s="122"/>
      <c r="M827" s="118"/>
      <c r="N827" s="122"/>
      <c r="O827" s="122"/>
      <c r="P827" s="122"/>
    </row>
    <row r="828" spans="1:16" ht="12.75">
      <c r="A828" s="126"/>
      <c r="B828" s="127"/>
      <c r="C828" s="122"/>
      <c r="D828" s="122"/>
      <c r="E828" s="122"/>
      <c r="F828" s="118"/>
      <c r="G828" s="127"/>
      <c r="H828" s="122"/>
      <c r="I828" s="118"/>
      <c r="J828" s="122"/>
      <c r="K828" s="122"/>
      <c r="L828" s="122"/>
      <c r="M828" s="118"/>
      <c r="N828" s="122"/>
      <c r="O828" s="122"/>
      <c r="P828" s="122"/>
    </row>
    <row r="829" spans="1:16" ht="12.75">
      <c r="A829" s="126"/>
      <c r="B829" s="127"/>
      <c r="C829" s="122"/>
      <c r="D829" s="122"/>
      <c r="E829" s="122"/>
      <c r="F829" s="118"/>
      <c r="G829" s="127"/>
      <c r="H829" s="122"/>
      <c r="I829" s="118"/>
      <c r="J829" s="122"/>
      <c r="K829" s="122"/>
      <c r="L829" s="122"/>
      <c r="M829" s="118"/>
      <c r="N829" s="122"/>
      <c r="O829" s="122"/>
      <c r="P829" s="122"/>
    </row>
    <row r="830" spans="1:16" ht="12.75">
      <c r="A830" s="126"/>
      <c r="B830" s="127"/>
      <c r="C830" s="122"/>
      <c r="D830" s="122"/>
      <c r="E830" s="122"/>
      <c r="F830" s="118"/>
      <c r="G830" s="127"/>
      <c r="H830" s="122"/>
      <c r="I830" s="118"/>
      <c r="J830" s="122"/>
      <c r="K830" s="122"/>
      <c r="L830" s="122"/>
      <c r="M830" s="118"/>
      <c r="N830" s="122"/>
      <c r="O830" s="122"/>
      <c r="P830" s="122"/>
    </row>
    <row r="831" spans="1:16" ht="12.75">
      <c r="A831" s="126"/>
      <c r="B831" s="127"/>
      <c r="C831" s="122"/>
      <c r="D831" s="122"/>
      <c r="E831" s="122"/>
      <c r="F831" s="118"/>
      <c r="G831" s="127"/>
      <c r="H831" s="122"/>
      <c r="I831" s="118"/>
      <c r="J831" s="122"/>
      <c r="K831" s="122"/>
      <c r="L831" s="122"/>
      <c r="M831" s="118"/>
      <c r="N831" s="122"/>
      <c r="O831" s="122"/>
      <c r="P831" s="122"/>
    </row>
    <row r="832" spans="1:16" ht="12.75">
      <c r="A832" s="126"/>
      <c r="B832" s="127"/>
      <c r="C832" s="122"/>
      <c r="D832" s="122"/>
      <c r="E832" s="122"/>
      <c r="F832" s="118"/>
      <c r="G832" s="127"/>
      <c r="H832" s="122"/>
      <c r="I832" s="118"/>
      <c r="J832" s="122"/>
      <c r="K832" s="122"/>
      <c r="L832" s="122"/>
      <c r="M832" s="118"/>
      <c r="N832" s="122"/>
      <c r="O832" s="122"/>
      <c r="P832" s="122"/>
    </row>
    <row r="833" spans="1:16" ht="12.75">
      <c r="A833" s="126"/>
      <c r="B833" s="127"/>
      <c r="C833" s="122"/>
      <c r="D833" s="122"/>
      <c r="E833" s="122"/>
      <c r="F833" s="118"/>
      <c r="G833" s="127"/>
      <c r="H833" s="122"/>
      <c r="I833" s="118"/>
      <c r="J833" s="122"/>
      <c r="K833" s="122"/>
      <c r="L833" s="122"/>
      <c r="M833" s="118"/>
      <c r="N833" s="122"/>
      <c r="O833" s="122"/>
      <c r="P833" s="122"/>
    </row>
    <row r="834" spans="1:16" ht="12.75">
      <c r="A834" s="126"/>
      <c r="B834" s="127"/>
      <c r="C834" s="122"/>
      <c r="D834" s="122"/>
      <c r="E834" s="122"/>
      <c r="F834" s="118"/>
      <c r="G834" s="127"/>
      <c r="H834" s="122"/>
      <c r="I834" s="118"/>
      <c r="J834" s="122"/>
      <c r="K834" s="122"/>
      <c r="L834" s="122"/>
      <c r="M834" s="118"/>
      <c r="N834" s="122"/>
      <c r="O834" s="122"/>
      <c r="P834" s="122"/>
    </row>
    <row r="835" spans="1:16" ht="12.75">
      <c r="A835" s="126"/>
      <c r="B835" s="127"/>
      <c r="C835" s="122"/>
      <c r="D835" s="122"/>
      <c r="E835" s="122"/>
      <c r="F835" s="118"/>
      <c r="G835" s="127"/>
      <c r="H835" s="122"/>
      <c r="I835" s="118"/>
      <c r="J835" s="122"/>
      <c r="K835" s="122"/>
      <c r="L835" s="122"/>
      <c r="M835" s="118"/>
      <c r="N835" s="122"/>
      <c r="O835" s="122"/>
      <c r="P835" s="122"/>
    </row>
    <row r="836" spans="1:16" ht="12.75">
      <c r="A836" s="126"/>
      <c r="B836" s="127"/>
      <c r="C836" s="122"/>
      <c r="D836" s="122"/>
      <c r="E836" s="122"/>
      <c r="F836" s="118"/>
      <c r="G836" s="127"/>
      <c r="H836" s="122"/>
      <c r="I836" s="118"/>
      <c r="J836" s="122"/>
      <c r="K836" s="122"/>
      <c r="L836" s="122"/>
      <c r="M836" s="118"/>
      <c r="N836" s="122"/>
      <c r="O836" s="122"/>
      <c r="P836" s="122"/>
    </row>
    <row r="837" spans="1:16" ht="12.75">
      <c r="A837" s="126"/>
      <c r="B837" s="127"/>
      <c r="C837" s="122"/>
      <c r="D837" s="122"/>
      <c r="E837" s="122"/>
      <c r="F837" s="118"/>
      <c r="G837" s="127"/>
      <c r="H837" s="122"/>
      <c r="I837" s="118"/>
      <c r="J837" s="122"/>
      <c r="K837" s="122"/>
      <c r="L837" s="122"/>
      <c r="M837" s="118"/>
      <c r="N837" s="122"/>
      <c r="O837" s="122"/>
      <c r="P837" s="122"/>
    </row>
    <row r="838" spans="1:16" ht="12.75">
      <c r="A838" s="126"/>
      <c r="B838" s="127"/>
      <c r="C838" s="122"/>
      <c r="D838" s="122"/>
      <c r="E838" s="122"/>
      <c r="F838" s="118"/>
      <c r="G838" s="127"/>
      <c r="H838" s="122"/>
      <c r="I838" s="118"/>
      <c r="J838" s="122"/>
      <c r="K838" s="122"/>
      <c r="L838" s="122"/>
      <c r="M838" s="118"/>
      <c r="N838" s="122"/>
      <c r="O838" s="122"/>
      <c r="P838" s="122"/>
    </row>
    <row r="839" spans="1:16" ht="12.75">
      <c r="A839" s="126"/>
      <c r="B839" s="127"/>
      <c r="C839" s="122"/>
      <c r="D839" s="122"/>
      <c r="E839" s="122"/>
      <c r="F839" s="118"/>
      <c r="G839" s="127"/>
      <c r="H839" s="122"/>
      <c r="I839" s="118"/>
      <c r="J839" s="122"/>
      <c r="K839" s="122"/>
      <c r="L839" s="122"/>
      <c r="M839" s="118"/>
      <c r="N839" s="122"/>
      <c r="O839" s="122"/>
      <c r="P839" s="122"/>
    </row>
    <row r="840" spans="1:16" ht="12.75">
      <c r="A840" s="126"/>
      <c r="B840" s="127"/>
      <c r="C840" s="122"/>
      <c r="D840" s="122"/>
      <c r="E840" s="122"/>
      <c r="F840" s="118"/>
      <c r="G840" s="127"/>
      <c r="H840" s="122"/>
      <c r="I840" s="118"/>
      <c r="J840" s="122"/>
      <c r="K840" s="122"/>
      <c r="L840" s="122"/>
      <c r="M840" s="118"/>
      <c r="N840" s="122"/>
      <c r="O840" s="122"/>
      <c r="P840" s="122"/>
    </row>
    <row r="841" spans="1:16" ht="12.75">
      <c r="A841" s="126"/>
      <c r="B841" s="127"/>
      <c r="C841" s="122"/>
      <c r="D841" s="122"/>
      <c r="E841" s="122"/>
      <c r="F841" s="118"/>
      <c r="G841" s="127"/>
      <c r="H841" s="122"/>
      <c r="I841" s="118"/>
      <c r="J841" s="122"/>
      <c r="K841" s="122"/>
      <c r="L841" s="122"/>
      <c r="M841" s="118"/>
      <c r="N841" s="122"/>
      <c r="O841" s="122"/>
      <c r="P841" s="122"/>
    </row>
    <row r="842" spans="1:16" ht="12.75">
      <c r="A842" s="126"/>
      <c r="B842" s="127"/>
      <c r="C842" s="122"/>
      <c r="D842" s="122"/>
      <c r="E842" s="122"/>
      <c r="F842" s="118"/>
      <c r="G842" s="127"/>
      <c r="H842" s="122"/>
      <c r="I842" s="118"/>
      <c r="J842" s="122"/>
      <c r="K842" s="122"/>
      <c r="L842" s="122"/>
      <c r="M842" s="118"/>
      <c r="N842" s="122"/>
      <c r="O842" s="122"/>
      <c r="P842" s="122"/>
    </row>
    <row r="843" spans="1:16" ht="12.75">
      <c r="A843" s="126"/>
      <c r="B843" s="127"/>
      <c r="C843" s="122"/>
      <c r="D843" s="122"/>
      <c r="E843" s="122"/>
      <c r="F843" s="118"/>
      <c r="G843" s="127"/>
      <c r="H843" s="122"/>
      <c r="I843" s="118"/>
      <c r="J843" s="122"/>
      <c r="K843" s="122"/>
      <c r="L843" s="122"/>
      <c r="M843" s="118"/>
      <c r="N843" s="122"/>
      <c r="O843" s="122"/>
      <c r="P843" s="122"/>
    </row>
    <row r="844" spans="1:16" ht="12.75">
      <c r="A844" s="126"/>
      <c r="B844" s="127"/>
      <c r="C844" s="122"/>
      <c r="D844" s="122"/>
      <c r="E844" s="122"/>
      <c r="F844" s="118"/>
      <c r="G844" s="127"/>
      <c r="H844" s="122"/>
      <c r="I844" s="118"/>
      <c r="J844" s="122"/>
      <c r="K844" s="122"/>
      <c r="L844" s="122"/>
      <c r="M844" s="118"/>
      <c r="N844" s="122"/>
      <c r="O844" s="122"/>
      <c r="P844" s="122"/>
    </row>
    <row r="845" spans="1:16" ht="12.75">
      <c r="A845" s="126"/>
      <c r="B845" s="127"/>
      <c r="C845" s="122"/>
      <c r="D845" s="122"/>
      <c r="E845" s="122"/>
      <c r="F845" s="118"/>
      <c r="G845" s="127"/>
      <c r="H845" s="122"/>
      <c r="I845" s="118"/>
      <c r="J845" s="122"/>
      <c r="K845" s="122"/>
      <c r="L845" s="122"/>
      <c r="M845" s="118"/>
      <c r="N845" s="122"/>
      <c r="O845" s="122"/>
      <c r="P845" s="122"/>
    </row>
    <row r="846" spans="1:16" ht="12.75">
      <c r="A846" s="126"/>
      <c r="B846" s="127"/>
      <c r="C846" s="122"/>
      <c r="D846" s="122"/>
      <c r="E846" s="122"/>
      <c r="F846" s="118"/>
      <c r="G846" s="127"/>
      <c r="H846" s="122"/>
      <c r="I846" s="118"/>
      <c r="J846" s="122"/>
      <c r="K846" s="122"/>
      <c r="L846" s="122"/>
      <c r="M846" s="118"/>
      <c r="N846" s="122"/>
      <c r="O846" s="122"/>
      <c r="P846" s="122"/>
    </row>
    <row r="847" spans="1:16" ht="12.75">
      <c r="A847" s="126"/>
      <c r="B847" s="127"/>
      <c r="C847" s="122"/>
      <c r="D847" s="122"/>
      <c r="E847" s="122"/>
      <c r="F847" s="118"/>
      <c r="G847" s="127"/>
      <c r="H847" s="122"/>
      <c r="I847" s="118"/>
      <c r="J847" s="122"/>
      <c r="K847" s="122"/>
      <c r="L847" s="122"/>
      <c r="M847" s="118"/>
      <c r="N847" s="122"/>
      <c r="O847" s="122"/>
      <c r="P847" s="122"/>
    </row>
    <row r="848" spans="1:16" ht="12.75">
      <c r="A848" s="126"/>
      <c r="B848" s="127"/>
      <c r="C848" s="122"/>
      <c r="D848" s="122"/>
      <c r="E848" s="122"/>
      <c r="F848" s="118"/>
      <c r="G848" s="127"/>
      <c r="H848" s="122"/>
      <c r="I848" s="118"/>
      <c r="J848" s="122"/>
      <c r="K848" s="122"/>
      <c r="L848" s="122"/>
      <c r="M848" s="118"/>
      <c r="N848" s="122"/>
      <c r="O848" s="122"/>
      <c r="P848" s="122"/>
    </row>
    <row r="849" spans="1:16" ht="12.75">
      <c r="A849" s="126"/>
      <c r="B849" s="127"/>
      <c r="C849" s="122"/>
      <c r="D849" s="122"/>
      <c r="E849" s="122"/>
      <c r="F849" s="118"/>
      <c r="G849" s="127"/>
      <c r="H849" s="122"/>
      <c r="I849" s="118"/>
      <c r="J849" s="122"/>
      <c r="K849" s="122"/>
      <c r="L849" s="122"/>
      <c r="M849" s="118"/>
      <c r="N849" s="122"/>
      <c r="O849" s="122"/>
      <c r="P849" s="122"/>
    </row>
    <row r="850" spans="1:16" ht="12.75">
      <c r="A850" s="126"/>
      <c r="B850" s="127"/>
      <c r="C850" s="122"/>
      <c r="D850" s="122"/>
      <c r="E850" s="122"/>
      <c r="F850" s="118"/>
      <c r="G850" s="127"/>
      <c r="H850" s="122"/>
      <c r="I850" s="118"/>
      <c r="J850" s="122"/>
      <c r="K850" s="122"/>
      <c r="L850" s="122"/>
      <c r="M850" s="118"/>
      <c r="N850" s="122"/>
      <c r="O850" s="122"/>
      <c r="P850" s="122"/>
    </row>
    <row r="851" spans="1:16" ht="12.75">
      <c r="A851" s="126"/>
      <c r="B851" s="127"/>
      <c r="C851" s="122"/>
      <c r="D851" s="122"/>
      <c r="E851" s="122"/>
      <c r="F851" s="118"/>
      <c r="G851" s="127"/>
      <c r="H851" s="122"/>
      <c r="I851" s="118"/>
      <c r="J851" s="122"/>
      <c r="K851" s="122"/>
      <c r="L851" s="122"/>
      <c r="M851" s="118"/>
      <c r="N851" s="122"/>
      <c r="O851" s="122"/>
      <c r="P851" s="122"/>
    </row>
    <row r="852" spans="1:16" ht="12.75">
      <c r="A852" s="126"/>
      <c r="B852" s="127"/>
      <c r="C852" s="122"/>
      <c r="D852" s="122"/>
      <c r="E852" s="122"/>
      <c r="F852" s="118"/>
      <c r="G852" s="127"/>
      <c r="H852" s="122"/>
      <c r="I852" s="118"/>
      <c r="J852" s="122"/>
      <c r="K852" s="122"/>
      <c r="L852" s="122"/>
      <c r="M852" s="118"/>
      <c r="N852" s="122"/>
      <c r="O852" s="122"/>
      <c r="P852" s="122"/>
    </row>
    <row r="853" spans="1:16" ht="12.75">
      <c r="A853" s="126"/>
      <c r="B853" s="127"/>
      <c r="C853" s="122"/>
      <c r="D853" s="122"/>
      <c r="E853" s="122"/>
      <c r="F853" s="118"/>
      <c r="G853" s="127"/>
      <c r="H853" s="122"/>
      <c r="I853" s="118"/>
      <c r="J853" s="122"/>
      <c r="K853" s="122"/>
      <c r="L853" s="122"/>
      <c r="M853" s="118"/>
      <c r="N853" s="122"/>
      <c r="O853" s="122"/>
      <c r="P853" s="122"/>
    </row>
    <row r="854" spans="1:16" ht="12.75">
      <c r="A854" s="126"/>
      <c r="B854" s="127"/>
      <c r="C854" s="122"/>
      <c r="D854" s="122"/>
      <c r="E854" s="122"/>
      <c r="F854" s="118"/>
      <c r="G854" s="127"/>
      <c r="H854" s="122"/>
      <c r="I854" s="118"/>
      <c r="J854" s="122"/>
      <c r="K854" s="122"/>
      <c r="L854" s="122"/>
      <c r="M854" s="118"/>
      <c r="N854" s="122"/>
      <c r="O854" s="122"/>
      <c r="P854" s="122"/>
    </row>
    <row r="855" spans="1:16" ht="12.75">
      <c r="A855" s="126"/>
      <c r="B855" s="127"/>
      <c r="C855" s="122"/>
      <c r="D855" s="122"/>
      <c r="E855" s="122"/>
      <c r="F855" s="118"/>
      <c r="G855" s="127"/>
      <c r="H855" s="122"/>
      <c r="I855" s="118"/>
      <c r="J855" s="122"/>
      <c r="K855" s="122"/>
      <c r="L855" s="122"/>
      <c r="M855" s="118"/>
      <c r="N855" s="122"/>
      <c r="O855" s="122"/>
      <c r="P855" s="122"/>
    </row>
    <row r="856" spans="1:16" ht="12.75">
      <c r="A856" s="126"/>
      <c r="B856" s="127"/>
      <c r="C856" s="122"/>
      <c r="D856" s="122"/>
      <c r="E856" s="122"/>
      <c r="F856" s="118"/>
      <c r="G856" s="127"/>
      <c r="H856" s="122"/>
      <c r="I856" s="118"/>
      <c r="J856" s="122"/>
      <c r="K856" s="122"/>
      <c r="L856" s="122"/>
      <c r="M856" s="118"/>
      <c r="N856" s="122"/>
      <c r="O856" s="122"/>
      <c r="P856" s="122"/>
    </row>
    <row r="857" spans="1:16" ht="12.75">
      <c r="A857" s="126"/>
      <c r="B857" s="127"/>
      <c r="C857" s="122"/>
      <c r="D857" s="122"/>
      <c r="E857" s="122"/>
      <c r="F857" s="118"/>
      <c r="G857" s="127"/>
      <c r="H857" s="122"/>
      <c r="I857" s="118"/>
      <c r="J857" s="122"/>
      <c r="K857" s="122"/>
      <c r="L857" s="122"/>
      <c r="M857" s="118"/>
      <c r="N857" s="122"/>
      <c r="O857" s="122"/>
      <c r="P857" s="122"/>
    </row>
    <row r="858" spans="1:16" ht="12.75">
      <c r="A858" s="126"/>
      <c r="B858" s="127"/>
      <c r="C858" s="122"/>
      <c r="D858" s="122"/>
      <c r="E858" s="122"/>
      <c r="F858" s="118"/>
      <c r="G858" s="127"/>
      <c r="H858" s="122"/>
      <c r="I858" s="118"/>
      <c r="J858" s="122"/>
      <c r="K858" s="122"/>
      <c r="L858" s="122"/>
      <c r="M858" s="118"/>
      <c r="N858" s="122"/>
      <c r="O858" s="122"/>
      <c r="P858" s="122"/>
    </row>
    <row r="859" spans="1:16" ht="12.75">
      <c r="A859" s="126"/>
      <c r="B859" s="127"/>
      <c r="C859" s="122"/>
      <c r="D859" s="122"/>
      <c r="E859" s="122"/>
      <c r="F859" s="118"/>
      <c r="G859" s="127"/>
      <c r="H859" s="122"/>
      <c r="I859" s="118"/>
      <c r="J859" s="122"/>
      <c r="K859" s="122"/>
      <c r="L859" s="122"/>
      <c r="M859" s="118"/>
      <c r="N859" s="122"/>
      <c r="O859" s="122"/>
      <c r="P859" s="122"/>
    </row>
    <row r="860" spans="1:16" ht="12.75">
      <c r="A860" s="126"/>
      <c r="B860" s="127"/>
      <c r="C860" s="122"/>
      <c r="D860" s="122"/>
      <c r="E860" s="122"/>
      <c r="F860" s="118"/>
      <c r="G860" s="127"/>
      <c r="H860" s="122"/>
      <c r="I860" s="118"/>
      <c r="J860" s="122"/>
      <c r="K860" s="122"/>
      <c r="L860" s="122"/>
      <c r="M860" s="118"/>
      <c r="N860" s="122"/>
      <c r="O860" s="122"/>
      <c r="P860" s="122"/>
    </row>
    <row r="861" spans="1:16" ht="12.75">
      <c r="A861" s="126"/>
      <c r="B861" s="127"/>
      <c r="C861" s="122"/>
      <c r="D861" s="122"/>
      <c r="E861" s="122"/>
      <c r="F861" s="118"/>
      <c r="G861" s="127"/>
      <c r="H861" s="122"/>
      <c r="I861" s="118"/>
      <c r="J861" s="122"/>
      <c r="K861" s="122"/>
      <c r="L861" s="122"/>
      <c r="M861" s="118"/>
      <c r="N861" s="122"/>
      <c r="O861" s="122"/>
      <c r="P861" s="122"/>
    </row>
    <row r="862" spans="1:16" ht="12.75">
      <c r="A862" s="126"/>
      <c r="B862" s="127"/>
      <c r="C862" s="122"/>
      <c r="D862" s="122"/>
      <c r="E862" s="122"/>
      <c r="F862" s="118"/>
      <c r="G862" s="127"/>
      <c r="H862" s="122"/>
      <c r="I862" s="118"/>
      <c r="J862" s="122"/>
      <c r="K862" s="122"/>
      <c r="L862" s="122"/>
      <c r="M862" s="118"/>
      <c r="N862" s="122"/>
      <c r="O862" s="122"/>
      <c r="P862" s="122"/>
    </row>
    <row r="863" spans="1:16" ht="12.75">
      <c r="A863" s="126"/>
      <c r="B863" s="127"/>
      <c r="C863" s="122"/>
      <c r="D863" s="122"/>
      <c r="E863" s="122"/>
      <c r="F863" s="118"/>
      <c r="G863" s="127"/>
      <c r="H863" s="122"/>
      <c r="I863" s="118"/>
      <c r="J863" s="122"/>
      <c r="K863" s="122"/>
      <c r="L863" s="122"/>
      <c r="M863" s="118"/>
      <c r="N863" s="122"/>
      <c r="O863" s="122"/>
      <c r="P863" s="122"/>
    </row>
    <row r="864" spans="1:16" ht="12.75">
      <c r="A864" s="126"/>
      <c r="B864" s="127"/>
      <c r="C864" s="122"/>
      <c r="D864" s="122"/>
      <c r="E864" s="122"/>
      <c r="F864" s="118"/>
      <c r="G864" s="127"/>
      <c r="H864" s="122"/>
      <c r="I864" s="118"/>
      <c r="J864" s="122"/>
      <c r="K864" s="122"/>
      <c r="L864" s="122"/>
      <c r="M864" s="118"/>
      <c r="N864" s="122"/>
      <c r="O864" s="122"/>
      <c r="P864" s="122"/>
    </row>
    <row r="865" spans="1:16" ht="12.75">
      <c r="A865" s="126"/>
      <c r="B865" s="127"/>
      <c r="C865" s="122"/>
      <c r="D865" s="122"/>
      <c r="E865" s="122"/>
      <c r="F865" s="118"/>
      <c r="G865" s="127"/>
      <c r="H865" s="122"/>
      <c r="I865" s="118"/>
      <c r="J865" s="122"/>
      <c r="K865" s="122"/>
      <c r="L865" s="122"/>
      <c r="M865" s="118"/>
      <c r="N865" s="122"/>
      <c r="O865" s="122"/>
      <c r="P865" s="122"/>
    </row>
    <row r="866" spans="1:16" ht="12.75">
      <c r="A866" s="126"/>
      <c r="B866" s="127"/>
      <c r="C866" s="122"/>
      <c r="D866" s="122"/>
      <c r="E866" s="122"/>
      <c r="F866" s="118"/>
      <c r="G866" s="127"/>
      <c r="H866" s="122"/>
      <c r="I866" s="118"/>
      <c r="J866" s="122"/>
      <c r="K866" s="122"/>
      <c r="L866" s="122"/>
      <c r="M866" s="118"/>
      <c r="N866" s="122"/>
      <c r="O866" s="122"/>
      <c r="P866" s="122"/>
    </row>
    <row r="867" spans="1:16" ht="12.75">
      <c r="A867" s="126"/>
      <c r="B867" s="127"/>
      <c r="C867" s="122"/>
      <c r="D867" s="122"/>
      <c r="E867" s="122"/>
      <c r="F867" s="118"/>
      <c r="G867" s="127"/>
      <c r="H867" s="122"/>
      <c r="I867" s="118"/>
      <c r="J867" s="122"/>
      <c r="K867" s="122"/>
      <c r="L867" s="122"/>
      <c r="M867" s="118"/>
      <c r="N867" s="122"/>
      <c r="O867" s="122"/>
      <c r="P867" s="122"/>
    </row>
    <row r="868" spans="1:16" ht="12.75">
      <c r="A868" s="126"/>
      <c r="B868" s="127"/>
      <c r="C868" s="122"/>
      <c r="D868" s="122"/>
      <c r="E868" s="122"/>
      <c r="F868" s="118"/>
      <c r="G868" s="127"/>
      <c r="H868" s="122"/>
      <c r="I868" s="118"/>
      <c r="J868" s="122"/>
      <c r="K868" s="122"/>
      <c r="L868" s="122"/>
      <c r="M868" s="118"/>
      <c r="N868" s="122"/>
      <c r="O868" s="122"/>
      <c r="P868" s="122"/>
    </row>
    <row r="869" spans="1:16" ht="12.75">
      <c r="A869" s="126"/>
      <c r="B869" s="127"/>
      <c r="C869" s="122"/>
      <c r="D869" s="122"/>
      <c r="E869" s="122"/>
      <c r="F869" s="118"/>
      <c r="G869" s="127"/>
      <c r="H869" s="122"/>
      <c r="I869" s="118"/>
      <c r="J869" s="122"/>
      <c r="K869" s="122"/>
      <c r="L869" s="122"/>
      <c r="M869" s="118"/>
      <c r="N869" s="122"/>
      <c r="O869" s="122"/>
      <c r="P869" s="122"/>
    </row>
    <row r="870" spans="1:16" ht="12.75">
      <c r="A870" s="126"/>
      <c r="B870" s="127"/>
      <c r="C870" s="122"/>
      <c r="D870" s="122"/>
      <c r="E870" s="122"/>
      <c r="F870" s="118"/>
      <c r="G870" s="127"/>
      <c r="H870" s="122"/>
      <c r="I870" s="118"/>
      <c r="J870" s="122"/>
      <c r="K870" s="122"/>
      <c r="L870" s="122"/>
      <c r="M870" s="118"/>
      <c r="N870" s="122"/>
      <c r="O870" s="122"/>
      <c r="P870" s="122"/>
    </row>
    <row r="871" spans="1:16" ht="12.75">
      <c r="A871" s="126"/>
      <c r="B871" s="127"/>
      <c r="C871" s="122"/>
      <c r="D871" s="122"/>
      <c r="E871" s="122"/>
      <c r="F871" s="118"/>
      <c r="G871" s="127"/>
      <c r="H871" s="122"/>
      <c r="I871" s="118"/>
      <c r="J871" s="122"/>
      <c r="K871" s="122"/>
      <c r="L871" s="122"/>
      <c r="M871" s="118"/>
      <c r="N871" s="122"/>
      <c r="O871" s="122"/>
      <c r="P871" s="122"/>
    </row>
    <row r="872" spans="1:16" ht="12.75">
      <c r="A872" s="126"/>
      <c r="B872" s="127"/>
      <c r="C872" s="122"/>
      <c r="D872" s="122"/>
      <c r="E872" s="122"/>
      <c r="F872" s="118"/>
      <c r="G872" s="127"/>
      <c r="H872" s="122"/>
      <c r="I872" s="118"/>
      <c r="J872" s="122"/>
      <c r="K872" s="122"/>
      <c r="L872" s="122"/>
      <c r="M872" s="118"/>
      <c r="N872" s="122"/>
      <c r="O872" s="122"/>
      <c r="P872" s="122"/>
    </row>
    <row r="873" spans="1:16" ht="12.75">
      <c r="A873" s="126"/>
      <c r="B873" s="127"/>
      <c r="C873" s="122"/>
      <c r="D873" s="122"/>
      <c r="E873" s="122"/>
      <c r="F873" s="118"/>
      <c r="G873" s="127"/>
      <c r="H873" s="122"/>
      <c r="I873" s="118"/>
      <c r="J873" s="122"/>
      <c r="K873" s="122"/>
      <c r="L873" s="122"/>
      <c r="M873" s="118"/>
      <c r="N873" s="122"/>
      <c r="O873" s="122"/>
      <c r="P873" s="122"/>
    </row>
    <row r="874" spans="1:16" ht="12.75">
      <c r="A874" s="126"/>
      <c r="B874" s="127"/>
      <c r="C874" s="122"/>
      <c r="D874" s="122"/>
      <c r="E874" s="122"/>
      <c r="F874" s="118"/>
      <c r="G874" s="127"/>
      <c r="H874" s="122"/>
      <c r="I874" s="118"/>
      <c r="J874" s="122"/>
      <c r="K874" s="122"/>
      <c r="L874" s="122"/>
      <c r="M874" s="118"/>
      <c r="N874" s="122"/>
      <c r="O874" s="122"/>
      <c r="P874" s="122"/>
    </row>
    <row r="875" spans="1:16" ht="12.75">
      <c r="A875" s="126"/>
      <c r="B875" s="127"/>
      <c r="C875" s="122"/>
      <c r="D875" s="122"/>
      <c r="E875" s="122"/>
      <c r="F875" s="118"/>
      <c r="G875" s="127"/>
      <c r="H875" s="122"/>
      <c r="I875" s="118"/>
      <c r="J875" s="122"/>
      <c r="K875" s="122"/>
      <c r="L875" s="122"/>
      <c r="M875" s="118"/>
      <c r="N875" s="122"/>
      <c r="O875" s="122"/>
      <c r="P875" s="122"/>
    </row>
    <row r="876" spans="1:16" ht="12.75">
      <c r="A876" s="126"/>
      <c r="B876" s="127"/>
      <c r="C876" s="122"/>
      <c r="D876" s="122"/>
      <c r="E876" s="122"/>
      <c r="F876" s="118"/>
      <c r="G876" s="127"/>
      <c r="H876" s="122"/>
      <c r="I876" s="118"/>
      <c r="J876" s="122"/>
      <c r="K876" s="122"/>
      <c r="L876" s="122"/>
      <c r="M876" s="118"/>
      <c r="N876" s="122"/>
      <c r="O876" s="122"/>
      <c r="P876" s="122"/>
    </row>
    <row r="877" spans="1:16" ht="12.75">
      <c r="A877" s="126"/>
      <c r="B877" s="127"/>
      <c r="C877" s="122"/>
      <c r="D877" s="122"/>
      <c r="E877" s="122"/>
      <c r="F877" s="118"/>
      <c r="G877" s="127"/>
      <c r="H877" s="122"/>
      <c r="I877" s="118"/>
      <c r="J877" s="122"/>
      <c r="K877" s="122"/>
      <c r="L877" s="122"/>
      <c r="M877" s="118"/>
      <c r="N877" s="122"/>
      <c r="O877" s="122"/>
      <c r="P877" s="122"/>
    </row>
    <row r="878" spans="1:16" ht="12.75">
      <c r="A878" s="126"/>
      <c r="B878" s="127"/>
      <c r="C878" s="122"/>
      <c r="D878" s="122"/>
      <c r="E878" s="122"/>
      <c r="F878" s="118"/>
      <c r="G878" s="127"/>
      <c r="H878" s="122"/>
      <c r="I878" s="118"/>
      <c r="J878" s="122"/>
      <c r="K878" s="122"/>
      <c r="L878" s="122"/>
      <c r="M878" s="118"/>
      <c r="N878" s="122"/>
      <c r="O878" s="122"/>
      <c r="P878" s="122"/>
    </row>
    <row r="879" spans="1:16" ht="12.75">
      <c r="A879" s="126"/>
      <c r="B879" s="127"/>
      <c r="C879" s="122"/>
      <c r="D879" s="122"/>
      <c r="E879" s="122"/>
      <c r="F879" s="118"/>
      <c r="G879" s="127"/>
      <c r="H879" s="122"/>
      <c r="I879" s="118"/>
      <c r="J879" s="122"/>
      <c r="K879" s="122"/>
      <c r="L879" s="122"/>
      <c r="M879" s="118"/>
      <c r="N879" s="122"/>
      <c r="O879" s="122"/>
      <c r="P879" s="122"/>
    </row>
    <row r="880" spans="1:16" ht="12.75">
      <c r="A880" s="126"/>
      <c r="B880" s="127"/>
      <c r="C880" s="122"/>
      <c r="D880" s="122"/>
      <c r="E880" s="122"/>
      <c r="F880" s="118"/>
      <c r="G880" s="127"/>
      <c r="H880" s="122"/>
      <c r="I880" s="118"/>
      <c r="J880" s="122"/>
      <c r="K880" s="122"/>
      <c r="L880" s="122"/>
      <c r="M880" s="118"/>
      <c r="N880" s="122"/>
      <c r="O880" s="122"/>
      <c r="P880" s="122"/>
    </row>
    <row r="881" spans="1:16" ht="12.75">
      <c r="A881" s="126"/>
      <c r="B881" s="127"/>
      <c r="C881" s="122"/>
      <c r="D881" s="122"/>
      <c r="E881" s="122"/>
      <c r="F881" s="118"/>
      <c r="G881" s="127"/>
      <c r="H881" s="122"/>
      <c r="I881" s="118"/>
      <c r="J881" s="122"/>
      <c r="K881" s="122"/>
      <c r="L881" s="122"/>
      <c r="M881" s="118"/>
      <c r="N881" s="122"/>
      <c r="O881" s="122"/>
      <c r="P881" s="122"/>
    </row>
    <row r="882" spans="1:16" ht="12.75">
      <c r="A882" s="126"/>
      <c r="B882" s="127"/>
      <c r="C882" s="122"/>
      <c r="D882" s="122"/>
      <c r="E882" s="122"/>
      <c r="F882" s="118"/>
      <c r="G882" s="127"/>
      <c r="H882" s="122"/>
      <c r="I882" s="118"/>
      <c r="J882" s="122"/>
      <c r="K882" s="122"/>
      <c r="L882" s="122"/>
      <c r="M882" s="118"/>
      <c r="N882" s="122"/>
      <c r="O882" s="122"/>
      <c r="P882" s="122"/>
    </row>
    <row r="883" spans="1:16" ht="12.75">
      <c r="A883" s="126"/>
      <c r="B883" s="127"/>
      <c r="C883" s="122"/>
      <c r="D883" s="122"/>
      <c r="E883" s="122"/>
      <c r="F883" s="118"/>
      <c r="G883" s="127"/>
      <c r="H883" s="122"/>
      <c r="I883" s="118"/>
      <c r="J883" s="122"/>
      <c r="K883" s="122"/>
      <c r="L883" s="122"/>
      <c r="M883" s="118"/>
      <c r="N883" s="122"/>
      <c r="O883" s="122"/>
      <c r="P883" s="122"/>
    </row>
    <row r="884" spans="1:16" ht="12.75">
      <c r="A884" s="126"/>
      <c r="B884" s="127"/>
      <c r="C884" s="122"/>
      <c r="D884" s="122"/>
      <c r="E884" s="122"/>
      <c r="F884" s="118"/>
      <c r="G884" s="127"/>
      <c r="H884" s="122"/>
      <c r="I884" s="118"/>
      <c r="J884" s="122"/>
      <c r="K884" s="122"/>
      <c r="L884" s="122"/>
      <c r="M884" s="118"/>
      <c r="N884" s="122"/>
      <c r="O884" s="122"/>
      <c r="P884" s="122"/>
    </row>
    <row r="885" spans="1:16" ht="12.75">
      <c r="A885" s="126"/>
      <c r="B885" s="127"/>
      <c r="C885" s="122"/>
      <c r="D885" s="122"/>
      <c r="E885" s="122"/>
      <c r="F885" s="118"/>
      <c r="G885" s="127"/>
      <c r="H885" s="122"/>
      <c r="I885" s="118"/>
      <c r="J885" s="122"/>
      <c r="K885" s="122"/>
      <c r="L885" s="122"/>
      <c r="M885" s="118"/>
      <c r="N885" s="122"/>
      <c r="O885" s="122"/>
      <c r="P885" s="122"/>
    </row>
    <row r="886" spans="1:16" ht="12.75">
      <c r="A886" s="126"/>
      <c r="B886" s="127"/>
      <c r="C886" s="122"/>
      <c r="D886" s="122"/>
      <c r="E886" s="122"/>
      <c r="F886" s="118"/>
      <c r="G886" s="127"/>
      <c r="H886" s="122"/>
      <c r="I886" s="118"/>
      <c r="J886" s="122"/>
      <c r="K886" s="122"/>
      <c r="L886" s="122"/>
      <c r="M886" s="118"/>
      <c r="N886" s="122"/>
      <c r="O886" s="122"/>
      <c r="P886" s="122"/>
    </row>
    <row r="887" spans="1:16" ht="12.75">
      <c r="A887" s="126"/>
      <c r="B887" s="127"/>
      <c r="C887" s="122"/>
      <c r="D887" s="122"/>
      <c r="E887" s="122"/>
      <c r="F887" s="118"/>
      <c r="G887" s="127"/>
      <c r="H887" s="122"/>
      <c r="I887" s="118"/>
      <c r="J887" s="122"/>
      <c r="K887" s="122"/>
      <c r="L887" s="122"/>
      <c r="M887" s="118"/>
      <c r="N887" s="122"/>
      <c r="O887" s="122"/>
      <c r="P887" s="122"/>
    </row>
    <row r="888" spans="1:16" ht="12.75">
      <c r="A888" s="126"/>
      <c r="B888" s="127"/>
      <c r="C888" s="122"/>
      <c r="D888" s="122"/>
      <c r="E888" s="122"/>
      <c r="F888" s="118"/>
      <c r="G888" s="127"/>
      <c r="H888" s="122"/>
      <c r="I888" s="118"/>
      <c r="J888" s="122"/>
      <c r="K888" s="122"/>
      <c r="L888" s="122"/>
      <c r="M888" s="118"/>
      <c r="N888" s="122"/>
      <c r="O888" s="122"/>
      <c r="P888" s="122"/>
    </row>
    <row r="889" spans="1:16" ht="12.75">
      <c r="A889" s="126"/>
      <c r="B889" s="127"/>
      <c r="C889" s="122"/>
      <c r="D889" s="122"/>
      <c r="E889" s="122"/>
      <c r="F889" s="118"/>
      <c r="G889" s="127"/>
      <c r="H889" s="122"/>
      <c r="I889" s="118"/>
      <c r="J889" s="122"/>
      <c r="K889" s="122"/>
      <c r="L889" s="122"/>
      <c r="M889" s="118"/>
      <c r="N889" s="122"/>
      <c r="O889" s="122"/>
      <c r="P889" s="122"/>
    </row>
    <row r="890" spans="1:16" ht="12.75">
      <c r="A890" s="126"/>
      <c r="B890" s="127"/>
      <c r="C890" s="122"/>
      <c r="D890" s="122"/>
      <c r="E890" s="122"/>
      <c r="F890" s="118"/>
      <c r="G890" s="127"/>
      <c r="H890" s="122"/>
      <c r="I890" s="118"/>
      <c r="J890" s="122"/>
      <c r="K890" s="122"/>
      <c r="L890" s="122"/>
      <c r="M890" s="118"/>
      <c r="N890" s="122"/>
      <c r="O890" s="122"/>
      <c r="P890" s="122"/>
    </row>
    <row r="891" spans="1:16" ht="12.75">
      <c r="A891" s="126"/>
      <c r="B891" s="127"/>
      <c r="C891" s="122"/>
      <c r="D891" s="122"/>
      <c r="E891" s="122"/>
      <c r="F891" s="118"/>
      <c r="G891" s="127"/>
      <c r="H891" s="122"/>
      <c r="I891" s="118"/>
      <c r="J891" s="122"/>
      <c r="K891" s="122"/>
      <c r="L891" s="122"/>
      <c r="M891" s="118"/>
      <c r="N891" s="122"/>
      <c r="O891" s="122"/>
      <c r="P891" s="122"/>
    </row>
    <row r="892" spans="1:16" ht="12.75">
      <c r="A892" s="126"/>
      <c r="B892" s="127"/>
      <c r="C892" s="122"/>
      <c r="D892" s="122"/>
      <c r="E892" s="122"/>
      <c r="F892" s="118"/>
      <c r="G892" s="127"/>
      <c r="H892" s="122"/>
      <c r="I892" s="118"/>
      <c r="J892" s="122"/>
      <c r="K892" s="122"/>
      <c r="L892" s="122"/>
      <c r="M892" s="118"/>
      <c r="N892" s="122"/>
      <c r="O892" s="122"/>
      <c r="P892" s="122"/>
    </row>
    <row r="893" spans="1:16" ht="12.75">
      <c r="A893" s="126"/>
      <c r="B893" s="127"/>
      <c r="C893" s="122"/>
      <c r="D893" s="122"/>
      <c r="E893" s="122"/>
      <c r="F893" s="118"/>
      <c r="G893" s="127"/>
      <c r="H893" s="122"/>
      <c r="I893" s="118"/>
      <c r="J893" s="122"/>
      <c r="K893" s="122"/>
      <c r="L893" s="122"/>
      <c r="M893" s="118"/>
      <c r="N893" s="122"/>
      <c r="O893" s="122"/>
      <c r="P893" s="122"/>
    </row>
    <row r="894" spans="1:16" ht="12.75">
      <c r="A894" s="126"/>
      <c r="B894" s="127"/>
      <c r="C894" s="122"/>
      <c r="D894" s="122"/>
      <c r="E894" s="122"/>
      <c r="F894" s="118"/>
      <c r="G894" s="127"/>
      <c r="H894" s="122"/>
      <c r="I894" s="118"/>
      <c r="J894" s="122"/>
      <c r="K894" s="122"/>
      <c r="L894" s="122"/>
      <c r="M894" s="118"/>
      <c r="N894" s="122"/>
      <c r="O894" s="122"/>
      <c r="P894" s="122"/>
    </row>
    <row r="895" spans="1:16" ht="12.75">
      <c r="A895" s="126"/>
      <c r="B895" s="127"/>
      <c r="C895" s="122"/>
      <c r="D895" s="122"/>
      <c r="E895" s="122"/>
      <c r="F895" s="118"/>
      <c r="G895" s="127"/>
      <c r="H895" s="122"/>
      <c r="I895" s="118"/>
      <c r="J895" s="122"/>
      <c r="K895" s="122"/>
      <c r="L895" s="122"/>
      <c r="M895" s="118"/>
      <c r="N895" s="122"/>
      <c r="O895" s="122"/>
      <c r="P895" s="122"/>
    </row>
    <row r="896" spans="1:16" ht="12.75">
      <c r="A896" s="126"/>
      <c r="B896" s="127"/>
      <c r="C896" s="122"/>
      <c r="D896" s="122"/>
      <c r="E896" s="122"/>
      <c r="F896" s="118"/>
      <c r="G896" s="127"/>
      <c r="H896" s="122"/>
      <c r="I896" s="118"/>
      <c r="J896" s="122"/>
      <c r="K896" s="122"/>
      <c r="L896" s="122"/>
      <c r="M896" s="118"/>
      <c r="N896" s="122"/>
      <c r="O896" s="122"/>
      <c r="P896" s="122"/>
    </row>
    <row r="897" spans="1:16" ht="12.75">
      <c r="A897" s="126"/>
      <c r="B897" s="127"/>
      <c r="C897" s="122"/>
      <c r="D897" s="122"/>
      <c r="E897" s="122"/>
      <c r="F897" s="118"/>
      <c r="G897" s="127"/>
      <c r="H897" s="122"/>
      <c r="I897" s="118"/>
      <c r="J897" s="122"/>
      <c r="K897" s="122"/>
      <c r="L897" s="122"/>
      <c r="M897" s="118"/>
      <c r="N897" s="122"/>
      <c r="O897" s="122"/>
      <c r="P897" s="122"/>
    </row>
    <row r="898" spans="1:16" ht="12.75">
      <c r="A898" s="126"/>
      <c r="B898" s="127"/>
      <c r="C898" s="122"/>
      <c r="D898" s="122"/>
      <c r="E898" s="122"/>
      <c r="F898" s="118"/>
      <c r="G898" s="127"/>
      <c r="H898" s="122"/>
      <c r="I898" s="118"/>
      <c r="J898" s="122"/>
      <c r="K898" s="122"/>
      <c r="L898" s="122"/>
      <c r="M898" s="118"/>
      <c r="N898" s="122"/>
      <c r="O898" s="122"/>
      <c r="P898" s="122"/>
    </row>
    <row r="899" spans="1:16" ht="12.75">
      <c r="A899" s="126"/>
      <c r="B899" s="127"/>
      <c r="C899" s="122"/>
      <c r="D899" s="122"/>
      <c r="E899" s="122"/>
      <c r="F899" s="118"/>
      <c r="G899" s="127"/>
      <c r="H899" s="122"/>
      <c r="I899" s="118"/>
      <c r="J899" s="122"/>
      <c r="K899" s="122"/>
      <c r="L899" s="122"/>
      <c r="M899" s="118"/>
      <c r="N899" s="122"/>
      <c r="O899" s="122"/>
      <c r="P899" s="122"/>
    </row>
    <row r="900" spans="1:16" ht="12.75">
      <c r="A900" s="126"/>
      <c r="B900" s="127"/>
      <c r="C900" s="122"/>
      <c r="D900" s="122"/>
      <c r="E900" s="122"/>
      <c r="F900" s="118"/>
      <c r="G900" s="127"/>
      <c r="H900" s="122"/>
      <c r="I900" s="118"/>
      <c r="J900" s="122"/>
      <c r="K900" s="122"/>
      <c r="L900" s="122"/>
      <c r="M900" s="118"/>
      <c r="N900" s="122"/>
      <c r="O900" s="122"/>
      <c r="P900" s="122"/>
    </row>
    <row r="901" spans="1:16" ht="12.75">
      <c r="A901" s="126"/>
      <c r="B901" s="127"/>
      <c r="C901" s="122"/>
      <c r="D901" s="122"/>
      <c r="E901" s="122"/>
      <c r="F901" s="118"/>
      <c r="G901" s="127"/>
      <c r="H901" s="122"/>
      <c r="I901" s="118"/>
      <c r="J901" s="122"/>
      <c r="K901" s="122"/>
      <c r="L901" s="122"/>
      <c r="M901" s="118"/>
      <c r="N901" s="122"/>
      <c r="O901" s="122"/>
      <c r="P901" s="122"/>
    </row>
    <row r="902" spans="1:16" ht="12.75">
      <c r="A902" s="126"/>
      <c r="B902" s="127"/>
      <c r="C902" s="122"/>
      <c r="D902" s="122"/>
      <c r="E902" s="122"/>
      <c r="F902" s="118"/>
      <c r="G902" s="127"/>
      <c r="H902" s="122"/>
      <c r="I902" s="118"/>
      <c r="J902" s="122"/>
      <c r="K902" s="122"/>
      <c r="L902" s="122"/>
      <c r="M902" s="118"/>
      <c r="N902" s="122"/>
      <c r="O902" s="122"/>
      <c r="P902" s="122"/>
    </row>
    <row r="903" spans="1:16" ht="12.75">
      <c r="A903" s="126"/>
      <c r="B903" s="127"/>
      <c r="C903" s="122"/>
      <c r="D903" s="122"/>
      <c r="E903" s="122"/>
      <c r="F903" s="118"/>
      <c r="G903" s="127"/>
      <c r="H903" s="122"/>
      <c r="I903" s="118"/>
      <c r="J903" s="122"/>
      <c r="K903" s="122"/>
      <c r="L903" s="122"/>
      <c r="M903" s="118"/>
      <c r="N903" s="122"/>
      <c r="O903" s="122"/>
      <c r="P903" s="122"/>
    </row>
    <row r="904" spans="1:16" ht="12.75">
      <c r="A904" s="126"/>
      <c r="B904" s="127"/>
      <c r="C904" s="122"/>
      <c r="D904" s="122"/>
      <c r="E904" s="122"/>
      <c r="F904" s="118"/>
      <c r="G904" s="127"/>
      <c r="H904" s="122"/>
      <c r="I904" s="118"/>
      <c r="J904" s="122"/>
      <c r="K904" s="122"/>
      <c r="L904" s="122"/>
      <c r="M904" s="118"/>
      <c r="N904" s="122"/>
      <c r="O904" s="122"/>
      <c r="P904" s="122"/>
    </row>
    <row r="905" spans="1:16" ht="12.75">
      <c r="A905" s="126"/>
      <c r="B905" s="127"/>
      <c r="C905" s="122"/>
      <c r="D905" s="122"/>
      <c r="E905" s="122"/>
      <c r="F905" s="118"/>
      <c r="G905" s="127"/>
      <c r="H905" s="122"/>
      <c r="I905" s="118"/>
      <c r="J905" s="122"/>
      <c r="K905" s="122"/>
      <c r="L905" s="122"/>
      <c r="M905" s="118"/>
      <c r="N905" s="122"/>
      <c r="O905" s="122"/>
      <c r="P905" s="122"/>
    </row>
    <row r="906" spans="1:16" ht="12.75">
      <c r="A906" s="126"/>
      <c r="B906" s="127"/>
      <c r="C906" s="122"/>
      <c r="D906" s="122"/>
      <c r="E906" s="122"/>
      <c r="F906" s="118"/>
      <c r="G906" s="127"/>
      <c r="H906" s="122"/>
      <c r="I906" s="118"/>
      <c r="J906" s="122"/>
      <c r="K906" s="122"/>
      <c r="L906" s="122"/>
      <c r="M906" s="118"/>
      <c r="N906" s="122"/>
      <c r="O906" s="122"/>
      <c r="P906" s="122"/>
    </row>
    <row r="907" spans="1:16" ht="12.75">
      <c r="A907" s="126"/>
      <c r="B907" s="127"/>
      <c r="C907" s="122"/>
      <c r="D907" s="122"/>
      <c r="E907" s="122"/>
      <c r="F907" s="118"/>
      <c r="G907" s="127"/>
      <c r="H907" s="122"/>
      <c r="I907" s="118"/>
      <c r="J907" s="122"/>
      <c r="K907" s="122"/>
      <c r="L907" s="122"/>
      <c r="M907" s="118"/>
      <c r="N907" s="122"/>
      <c r="O907" s="122"/>
      <c r="P907" s="122"/>
    </row>
    <row r="908" spans="1:16" ht="12.75">
      <c r="A908" s="126"/>
      <c r="B908" s="127"/>
      <c r="C908" s="122"/>
      <c r="D908" s="122"/>
      <c r="E908" s="122"/>
      <c r="F908" s="118"/>
      <c r="G908" s="127"/>
      <c r="H908" s="122"/>
      <c r="I908" s="118"/>
      <c r="J908" s="122"/>
      <c r="K908" s="122"/>
      <c r="L908" s="122"/>
      <c r="M908" s="118"/>
      <c r="N908" s="122"/>
      <c r="O908" s="122"/>
      <c r="P908" s="122"/>
    </row>
    <row r="909" spans="1:16" ht="12.75">
      <c r="A909" s="126"/>
      <c r="B909" s="127"/>
      <c r="C909" s="122"/>
      <c r="D909" s="122"/>
      <c r="E909" s="122"/>
      <c r="F909" s="118"/>
      <c r="G909" s="127"/>
      <c r="H909" s="122"/>
      <c r="I909" s="118"/>
      <c r="J909" s="122"/>
      <c r="K909" s="122"/>
      <c r="L909" s="122"/>
      <c r="M909" s="118"/>
      <c r="N909" s="122"/>
      <c r="O909" s="122"/>
      <c r="P909" s="122"/>
    </row>
    <row r="910" spans="1:16" ht="12.75">
      <c r="A910" s="126"/>
      <c r="B910" s="127"/>
      <c r="C910" s="122"/>
      <c r="D910" s="122"/>
      <c r="E910" s="122"/>
      <c r="F910" s="118"/>
      <c r="G910" s="127"/>
      <c r="H910" s="122"/>
      <c r="I910" s="118"/>
      <c r="J910" s="122"/>
      <c r="K910" s="122"/>
      <c r="L910" s="122"/>
      <c r="M910" s="118"/>
      <c r="N910" s="122"/>
      <c r="O910" s="122"/>
      <c r="P910" s="122"/>
    </row>
    <row r="911" spans="1:16" ht="12.75">
      <c r="A911" s="126"/>
      <c r="B911" s="127"/>
      <c r="C911" s="122"/>
      <c r="D911" s="122"/>
      <c r="E911" s="122"/>
      <c r="F911" s="118"/>
      <c r="G911" s="127"/>
      <c r="H911" s="122"/>
      <c r="I911" s="118"/>
      <c r="J911" s="122"/>
      <c r="K911" s="122"/>
      <c r="L911" s="122"/>
      <c r="M911" s="118"/>
      <c r="N911" s="122"/>
      <c r="O911" s="122"/>
      <c r="P911" s="122"/>
    </row>
    <row r="912" spans="1:16" ht="12.75">
      <c r="A912" s="126"/>
      <c r="B912" s="127"/>
      <c r="C912" s="122"/>
      <c r="D912" s="122"/>
      <c r="E912" s="122"/>
      <c r="F912" s="118"/>
      <c r="G912" s="127"/>
      <c r="H912" s="122"/>
      <c r="I912" s="118"/>
      <c r="J912" s="122"/>
      <c r="K912" s="122"/>
      <c r="L912" s="122"/>
      <c r="M912" s="118"/>
      <c r="N912" s="122"/>
      <c r="O912" s="122"/>
      <c r="P912" s="122"/>
    </row>
    <row r="913" spans="1:16" ht="12.75">
      <c r="A913" s="126"/>
      <c r="B913" s="127"/>
      <c r="C913" s="122"/>
      <c r="D913" s="122"/>
      <c r="E913" s="122"/>
      <c r="F913" s="118"/>
      <c r="G913" s="127"/>
      <c r="H913" s="122"/>
      <c r="I913" s="118"/>
      <c r="J913" s="122"/>
      <c r="K913" s="122"/>
      <c r="L913" s="122"/>
      <c r="M913" s="118"/>
      <c r="N913" s="122"/>
      <c r="O913" s="122"/>
      <c r="P913" s="122"/>
    </row>
    <row r="914" spans="1:16" ht="12.75">
      <c r="A914" s="126"/>
      <c r="B914" s="127"/>
      <c r="C914" s="122"/>
      <c r="D914" s="122"/>
      <c r="E914" s="122"/>
      <c r="F914" s="118"/>
      <c r="G914" s="127"/>
      <c r="H914" s="122"/>
      <c r="I914" s="118"/>
      <c r="J914" s="122"/>
      <c r="K914" s="122"/>
      <c r="L914" s="122"/>
      <c r="M914" s="118"/>
      <c r="N914" s="122"/>
      <c r="O914" s="122"/>
      <c r="P914" s="122"/>
    </row>
    <row r="915" spans="1:16" ht="12.75">
      <c r="A915" s="126"/>
      <c r="B915" s="127"/>
      <c r="C915" s="122"/>
      <c r="D915" s="122"/>
      <c r="E915" s="122"/>
      <c r="F915" s="118"/>
      <c r="G915" s="127"/>
      <c r="H915" s="122"/>
      <c r="I915" s="118"/>
      <c r="J915" s="122"/>
      <c r="K915" s="122"/>
      <c r="L915" s="122"/>
      <c r="M915" s="118"/>
      <c r="N915" s="122"/>
      <c r="O915" s="122"/>
      <c r="P915" s="122"/>
    </row>
    <row r="916" spans="1:16" ht="12.75">
      <c r="A916" s="126"/>
      <c r="B916" s="127"/>
      <c r="C916" s="122"/>
      <c r="D916" s="122"/>
      <c r="E916" s="122"/>
      <c r="F916" s="118"/>
      <c r="G916" s="127"/>
      <c r="H916" s="122"/>
      <c r="I916" s="118"/>
      <c r="J916" s="122"/>
      <c r="K916" s="122"/>
      <c r="L916" s="122"/>
      <c r="M916" s="118"/>
      <c r="N916" s="122"/>
      <c r="O916" s="122"/>
      <c r="P916" s="122"/>
    </row>
    <row r="917" spans="1:16" ht="12.75">
      <c r="A917" s="126"/>
      <c r="B917" s="127"/>
      <c r="C917" s="122"/>
      <c r="D917" s="122"/>
      <c r="E917" s="122"/>
      <c r="F917" s="118"/>
      <c r="G917" s="127"/>
      <c r="H917" s="122"/>
      <c r="I917" s="118"/>
      <c r="J917" s="122"/>
      <c r="K917" s="122"/>
      <c r="L917" s="122"/>
      <c r="M917" s="118"/>
      <c r="N917" s="122"/>
      <c r="O917" s="122"/>
      <c r="P917" s="122"/>
    </row>
    <row r="918" spans="1:16" ht="12.75">
      <c r="A918" s="126"/>
      <c r="B918" s="127"/>
      <c r="C918" s="122"/>
      <c r="D918" s="122"/>
      <c r="E918" s="122"/>
      <c r="F918" s="118"/>
      <c r="G918" s="127"/>
      <c r="H918" s="122"/>
      <c r="I918" s="118"/>
      <c r="J918" s="122"/>
      <c r="K918" s="122"/>
      <c r="L918" s="122"/>
      <c r="M918" s="118"/>
      <c r="N918" s="122"/>
      <c r="O918" s="122"/>
      <c r="P918" s="122"/>
    </row>
    <row r="919" spans="1:16" ht="12.75">
      <c r="A919" s="126"/>
      <c r="B919" s="127"/>
      <c r="C919" s="122"/>
      <c r="D919" s="122"/>
      <c r="E919" s="122"/>
      <c r="F919" s="118"/>
      <c r="G919" s="127"/>
      <c r="H919" s="122"/>
      <c r="I919" s="118"/>
      <c r="J919" s="122"/>
      <c r="K919" s="122"/>
      <c r="L919" s="122"/>
      <c r="M919" s="118"/>
      <c r="N919" s="122"/>
      <c r="O919" s="122"/>
      <c r="P919" s="122"/>
    </row>
    <row r="920" spans="1:16" ht="12.75">
      <c r="A920" s="126"/>
      <c r="B920" s="127"/>
      <c r="C920" s="122"/>
      <c r="D920" s="122"/>
      <c r="E920" s="122"/>
      <c r="F920" s="118"/>
      <c r="G920" s="127"/>
      <c r="H920" s="122"/>
      <c r="I920" s="118"/>
      <c r="J920" s="122"/>
      <c r="K920" s="122"/>
      <c r="L920" s="122"/>
      <c r="M920" s="118"/>
      <c r="N920" s="122"/>
      <c r="O920" s="122"/>
      <c r="P920" s="122"/>
    </row>
    <row r="921" spans="1:16" ht="12.75">
      <c r="A921" s="126"/>
      <c r="B921" s="127"/>
      <c r="C921" s="122"/>
      <c r="D921" s="122"/>
      <c r="E921" s="122"/>
      <c r="F921" s="118"/>
      <c r="G921" s="127"/>
      <c r="H921" s="122"/>
      <c r="I921" s="118"/>
      <c r="J921" s="122"/>
      <c r="K921" s="122"/>
      <c r="L921" s="122"/>
      <c r="M921" s="118"/>
      <c r="N921" s="122"/>
      <c r="O921" s="122"/>
      <c r="P921" s="122"/>
    </row>
    <row r="922" spans="1:16" ht="12.75">
      <c r="A922" s="126"/>
      <c r="B922" s="127"/>
      <c r="C922" s="122"/>
      <c r="D922" s="122"/>
      <c r="E922" s="122"/>
      <c r="F922" s="118"/>
      <c r="G922" s="127"/>
      <c r="H922" s="122"/>
      <c r="I922" s="118"/>
      <c r="J922" s="122"/>
      <c r="K922" s="122"/>
      <c r="L922" s="122"/>
      <c r="M922" s="118"/>
      <c r="N922" s="122"/>
      <c r="O922" s="122"/>
      <c r="P922" s="122"/>
    </row>
    <row r="923" spans="1:16" ht="12.75">
      <c r="A923" s="126"/>
      <c r="B923" s="127"/>
      <c r="C923" s="122"/>
      <c r="D923" s="122"/>
      <c r="E923" s="122"/>
      <c r="F923" s="118"/>
      <c r="G923" s="127"/>
      <c r="H923" s="122"/>
      <c r="I923" s="118"/>
      <c r="J923" s="122"/>
      <c r="K923" s="122"/>
      <c r="L923" s="122"/>
      <c r="M923" s="118"/>
      <c r="N923" s="122"/>
      <c r="O923" s="122"/>
      <c r="P923" s="122"/>
    </row>
    <row r="924" spans="1:16" ht="12.75">
      <c r="A924" s="126"/>
      <c r="B924" s="127"/>
      <c r="C924" s="122"/>
      <c r="D924" s="122"/>
      <c r="E924" s="122"/>
      <c r="F924" s="118"/>
      <c r="G924" s="127"/>
      <c r="H924" s="122"/>
      <c r="I924" s="118"/>
      <c r="J924" s="122"/>
      <c r="K924" s="122"/>
      <c r="L924" s="122"/>
      <c r="M924" s="118"/>
      <c r="N924" s="122"/>
      <c r="O924" s="122"/>
      <c r="P924" s="122"/>
    </row>
    <row r="925" spans="1:16" ht="12.75">
      <c r="A925" s="126"/>
      <c r="B925" s="127"/>
      <c r="C925" s="122"/>
      <c r="D925" s="122"/>
      <c r="E925" s="122"/>
      <c r="F925" s="118"/>
      <c r="G925" s="127"/>
      <c r="H925" s="122"/>
      <c r="I925" s="118"/>
      <c r="J925" s="122"/>
      <c r="K925" s="122"/>
      <c r="L925" s="122"/>
      <c r="M925" s="118"/>
      <c r="N925" s="122"/>
      <c r="O925" s="122"/>
      <c r="P925" s="122"/>
    </row>
    <row r="926" spans="1:16" ht="12.75">
      <c r="A926" s="126"/>
      <c r="B926" s="127"/>
      <c r="C926" s="122"/>
      <c r="D926" s="122"/>
      <c r="E926" s="122"/>
      <c r="F926" s="118"/>
      <c r="G926" s="127"/>
      <c r="H926" s="122"/>
      <c r="I926" s="118"/>
      <c r="J926" s="122"/>
      <c r="K926" s="122"/>
      <c r="L926" s="122"/>
      <c r="M926" s="118"/>
      <c r="N926" s="122"/>
      <c r="O926" s="122"/>
      <c r="P926" s="122"/>
    </row>
    <row r="927" spans="1:16" ht="12.75">
      <c r="A927" s="126"/>
      <c r="B927" s="127"/>
      <c r="C927" s="122"/>
      <c r="D927" s="122"/>
      <c r="E927" s="122"/>
      <c r="F927" s="118"/>
      <c r="G927" s="127"/>
      <c r="H927" s="122"/>
      <c r="I927" s="118"/>
      <c r="J927" s="122"/>
      <c r="K927" s="122"/>
      <c r="L927" s="122"/>
      <c r="M927" s="118"/>
      <c r="N927" s="122"/>
      <c r="O927" s="122"/>
      <c r="P927" s="122"/>
    </row>
    <row r="928" spans="1:16" ht="12.75">
      <c r="A928" s="126"/>
      <c r="B928" s="127"/>
      <c r="C928" s="122"/>
      <c r="D928" s="122"/>
      <c r="E928" s="122"/>
      <c r="F928" s="118"/>
      <c r="G928" s="127"/>
      <c r="H928" s="122"/>
      <c r="I928" s="118"/>
      <c r="J928" s="122"/>
      <c r="K928" s="122"/>
      <c r="L928" s="122"/>
      <c r="M928" s="118"/>
      <c r="N928" s="122"/>
      <c r="O928" s="122"/>
      <c r="P928" s="122"/>
    </row>
    <row r="929" spans="1:16" ht="12.75">
      <c r="A929" s="126"/>
      <c r="B929" s="127"/>
      <c r="C929" s="122"/>
      <c r="D929" s="122"/>
      <c r="E929" s="122"/>
      <c r="F929" s="118"/>
      <c r="G929" s="127"/>
      <c r="H929" s="122"/>
      <c r="I929" s="118"/>
      <c r="J929" s="122"/>
      <c r="K929" s="122"/>
      <c r="L929" s="122"/>
      <c r="M929" s="118"/>
      <c r="N929" s="122"/>
      <c r="O929" s="122"/>
      <c r="P929" s="122"/>
    </row>
    <row r="930" spans="1:16" ht="12.75">
      <c r="A930" s="126"/>
      <c r="B930" s="127"/>
      <c r="C930" s="122"/>
      <c r="D930" s="122"/>
      <c r="E930" s="122"/>
      <c r="F930" s="118"/>
      <c r="G930" s="127"/>
      <c r="H930" s="122"/>
      <c r="I930" s="118"/>
      <c r="J930" s="122"/>
      <c r="K930" s="122"/>
      <c r="L930" s="122"/>
      <c r="M930" s="118"/>
      <c r="N930" s="122"/>
      <c r="O930" s="122"/>
      <c r="P930" s="122"/>
    </row>
    <row r="931" spans="1:16" ht="12.75">
      <c r="A931" s="126"/>
      <c r="B931" s="127"/>
      <c r="C931" s="122"/>
      <c r="D931" s="122"/>
      <c r="E931" s="122"/>
      <c r="F931" s="118"/>
      <c r="G931" s="127"/>
      <c r="H931" s="122"/>
      <c r="I931" s="118"/>
      <c r="J931" s="122"/>
      <c r="K931" s="122"/>
      <c r="L931" s="122"/>
      <c r="M931" s="118"/>
      <c r="N931" s="122"/>
      <c r="O931" s="122"/>
      <c r="P931" s="122"/>
    </row>
    <row r="932" spans="1:16" ht="12.75">
      <c r="A932" s="126"/>
      <c r="B932" s="127"/>
      <c r="C932" s="122"/>
      <c r="D932" s="122"/>
      <c r="E932" s="122"/>
      <c r="F932" s="118"/>
      <c r="G932" s="127"/>
      <c r="H932" s="122"/>
      <c r="I932" s="118"/>
      <c r="J932" s="122"/>
      <c r="K932" s="122"/>
      <c r="L932" s="122"/>
      <c r="M932" s="118"/>
      <c r="N932" s="122"/>
      <c r="O932" s="122"/>
      <c r="P932" s="122"/>
    </row>
    <row r="933" spans="1:16" ht="12.75">
      <c r="A933" s="126"/>
      <c r="B933" s="127"/>
      <c r="C933" s="122"/>
      <c r="D933" s="122"/>
      <c r="E933" s="122"/>
      <c r="F933" s="118"/>
      <c r="G933" s="127"/>
      <c r="H933" s="122"/>
      <c r="I933" s="118"/>
      <c r="J933" s="122"/>
      <c r="K933" s="122"/>
      <c r="L933" s="122"/>
      <c r="M933" s="118"/>
      <c r="N933" s="122"/>
      <c r="O933" s="122"/>
      <c r="P933" s="122"/>
    </row>
    <row r="934" spans="1:16" ht="12.75">
      <c r="A934" s="126"/>
      <c r="B934" s="127"/>
      <c r="C934" s="122"/>
      <c r="D934" s="122"/>
      <c r="E934" s="122"/>
      <c r="F934" s="118"/>
      <c r="G934" s="127"/>
      <c r="H934" s="122"/>
      <c r="I934" s="118"/>
      <c r="J934" s="122"/>
      <c r="K934" s="122"/>
      <c r="L934" s="122"/>
      <c r="M934" s="118"/>
      <c r="N934" s="122"/>
      <c r="O934" s="122"/>
      <c r="P934" s="122"/>
    </row>
    <row r="935" spans="1:16" ht="12.75">
      <c r="A935" s="126"/>
      <c r="B935" s="127"/>
      <c r="C935" s="122"/>
      <c r="D935" s="122"/>
      <c r="E935" s="122"/>
      <c r="F935" s="118"/>
      <c r="G935" s="127"/>
      <c r="H935" s="122"/>
      <c r="I935" s="118"/>
      <c r="J935" s="122"/>
      <c r="K935" s="122"/>
      <c r="L935" s="122"/>
      <c r="M935" s="118"/>
      <c r="N935" s="122"/>
      <c r="O935" s="122"/>
      <c r="P935" s="122"/>
    </row>
    <row r="936" spans="1:16" ht="12.75">
      <c r="A936" s="126"/>
      <c r="B936" s="127"/>
      <c r="C936" s="122"/>
      <c r="D936" s="122"/>
      <c r="E936" s="122"/>
      <c r="F936" s="118"/>
      <c r="G936" s="127"/>
      <c r="H936" s="122"/>
      <c r="I936" s="118"/>
      <c r="J936" s="122"/>
      <c r="K936" s="122"/>
      <c r="L936" s="122"/>
      <c r="M936" s="118"/>
      <c r="N936" s="122"/>
      <c r="O936" s="122"/>
      <c r="P936" s="122"/>
    </row>
    <row r="937" spans="1:16" ht="12.75">
      <c r="A937" s="126"/>
      <c r="B937" s="127"/>
      <c r="C937" s="122"/>
      <c r="D937" s="122"/>
      <c r="E937" s="122"/>
      <c r="F937" s="118"/>
      <c r="G937" s="127"/>
      <c r="H937" s="122"/>
      <c r="I937" s="118"/>
      <c r="J937" s="122"/>
      <c r="K937" s="122"/>
      <c r="L937" s="122"/>
      <c r="M937" s="118"/>
      <c r="N937" s="122"/>
      <c r="O937" s="122"/>
      <c r="P937" s="122"/>
    </row>
    <row r="938" spans="1:16" ht="12.75">
      <c r="A938" s="126"/>
      <c r="B938" s="127"/>
      <c r="C938" s="122"/>
      <c r="D938" s="122"/>
      <c r="E938" s="122"/>
      <c r="F938" s="118"/>
      <c r="G938" s="127"/>
      <c r="H938" s="122"/>
      <c r="I938" s="118"/>
      <c r="J938" s="122"/>
      <c r="K938" s="122"/>
      <c r="L938" s="122"/>
      <c r="M938" s="118"/>
      <c r="N938" s="122"/>
      <c r="O938" s="122"/>
      <c r="P938" s="122"/>
    </row>
    <row r="939" spans="1:16" ht="12.75">
      <c r="A939" s="126"/>
      <c r="B939" s="127"/>
      <c r="C939" s="122"/>
      <c r="D939" s="122"/>
      <c r="E939" s="122"/>
      <c r="F939" s="118"/>
      <c r="G939" s="127"/>
      <c r="H939" s="122"/>
      <c r="I939" s="118"/>
      <c r="J939" s="122"/>
      <c r="K939" s="122"/>
      <c r="L939" s="122"/>
      <c r="M939" s="118"/>
      <c r="N939" s="122"/>
      <c r="O939" s="122"/>
      <c r="P939" s="122"/>
    </row>
    <row r="940" spans="1:16" ht="12.75">
      <c r="A940" s="126"/>
      <c r="B940" s="127"/>
      <c r="C940" s="122"/>
      <c r="D940" s="122"/>
      <c r="E940" s="122"/>
      <c r="F940" s="118"/>
      <c r="G940" s="127"/>
      <c r="H940" s="122"/>
      <c r="I940" s="118"/>
      <c r="J940" s="122"/>
      <c r="K940" s="122"/>
      <c r="L940" s="122"/>
      <c r="M940" s="118"/>
      <c r="N940" s="122"/>
      <c r="O940" s="122"/>
      <c r="P940" s="122"/>
    </row>
    <row r="941" spans="1:16" ht="12.75">
      <c r="A941" s="126"/>
      <c r="B941" s="127"/>
      <c r="C941" s="122"/>
      <c r="D941" s="122"/>
      <c r="E941" s="122"/>
      <c r="F941" s="118"/>
      <c r="G941" s="127"/>
      <c r="H941" s="122"/>
      <c r="I941" s="118"/>
      <c r="J941" s="122"/>
      <c r="K941" s="122"/>
      <c r="L941" s="122"/>
      <c r="M941" s="118"/>
      <c r="N941" s="122"/>
      <c r="O941" s="122"/>
      <c r="P941" s="122"/>
    </row>
    <row r="942" spans="1:16" ht="12.75">
      <c r="A942" s="126"/>
      <c r="B942" s="127"/>
      <c r="C942" s="122"/>
      <c r="D942" s="122"/>
      <c r="E942" s="122"/>
      <c r="F942" s="118"/>
      <c r="G942" s="127"/>
      <c r="H942" s="122"/>
      <c r="I942" s="118"/>
      <c r="J942" s="122"/>
      <c r="K942" s="122"/>
      <c r="L942" s="122"/>
      <c r="M942" s="118"/>
      <c r="N942" s="122"/>
      <c r="O942" s="122"/>
      <c r="P942" s="122"/>
    </row>
    <row r="943" spans="1:16" ht="12.75">
      <c r="A943" s="126"/>
      <c r="B943" s="127"/>
      <c r="C943" s="122"/>
      <c r="D943" s="122"/>
      <c r="E943" s="122"/>
      <c r="F943" s="118"/>
      <c r="G943" s="127"/>
      <c r="H943" s="122"/>
      <c r="I943" s="118"/>
      <c r="J943" s="122"/>
      <c r="K943" s="122"/>
      <c r="L943" s="122"/>
      <c r="M943" s="118"/>
      <c r="N943" s="122"/>
      <c r="O943" s="122"/>
      <c r="P943" s="122"/>
    </row>
    <row r="944" spans="1:16" ht="12.75">
      <c r="A944" s="126"/>
      <c r="B944" s="127"/>
      <c r="C944" s="122"/>
      <c r="D944" s="122"/>
      <c r="E944" s="122"/>
      <c r="F944" s="118"/>
      <c r="G944" s="127"/>
      <c r="H944" s="122"/>
      <c r="I944" s="118"/>
      <c r="J944" s="122"/>
      <c r="K944" s="122"/>
      <c r="L944" s="122"/>
      <c r="M944" s="118"/>
      <c r="N944" s="122"/>
      <c r="O944" s="122"/>
      <c r="P944" s="122"/>
    </row>
    <row r="945" spans="1:16" ht="12.75">
      <c r="A945" s="126"/>
      <c r="B945" s="127"/>
      <c r="C945" s="122"/>
      <c r="D945" s="122"/>
      <c r="E945" s="122"/>
      <c r="F945" s="118"/>
      <c r="G945" s="127"/>
      <c r="H945" s="122"/>
      <c r="I945" s="118"/>
      <c r="J945" s="122"/>
      <c r="K945" s="122"/>
      <c r="L945" s="122"/>
      <c r="M945" s="118"/>
      <c r="N945" s="122"/>
      <c r="O945" s="122"/>
      <c r="P945" s="122"/>
    </row>
    <row r="946" spans="1:16" ht="12.75">
      <c r="A946" s="126"/>
      <c r="B946" s="127"/>
      <c r="C946" s="122"/>
      <c r="D946" s="122"/>
      <c r="E946" s="122"/>
      <c r="F946" s="118"/>
      <c r="G946" s="127"/>
      <c r="H946" s="122"/>
      <c r="I946" s="118"/>
      <c r="J946" s="122"/>
      <c r="K946" s="122"/>
      <c r="L946" s="122"/>
      <c r="M946" s="118"/>
      <c r="N946" s="122"/>
      <c r="O946" s="122"/>
      <c r="P946" s="122"/>
    </row>
    <row r="947" spans="1:16" ht="12.75">
      <c r="A947" s="126"/>
      <c r="B947" s="127"/>
      <c r="C947" s="122"/>
      <c r="D947" s="122"/>
      <c r="E947" s="122"/>
      <c r="F947" s="118"/>
      <c r="G947" s="127"/>
      <c r="H947" s="122"/>
      <c r="I947" s="118"/>
      <c r="J947" s="122"/>
      <c r="K947" s="122"/>
      <c r="L947" s="122"/>
      <c r="M947" s="118"/>
      <c r="N947" s="122"/>
      <c r="O947" s="122"/>
      <c r="P947" s="122"/>
    </row>
    <row r="948" spans="1:16" ht="12.75">
      <c r="A948" s="126"/>
      <c r="B948" s="127"/>
      <c r="C948" s="122"/>
      <c r="D948" s="122"/>
      <c r="E948" s="122"/>
      <c r="F948" s="118"/>
      <c r="G948" s="127"/>
      <c r="H948" s="122"/>
      <c r="I948" s="118"/>
      <c r="J948" s="122"/>
      <c r="K948" s="122"/>
      <c r="L948" s="122"/>
      <c r="M948" s="118"/>
      <c r="N948" s="122"/>
      <c r="O948" s="122"/>
      <c r="P948" s="122"/>
    </row>
    <row r="949" spans="1:16" ht="12.75">
      <c r="A949" s="126"/>
      <c r="B949" s="127"/>
      <c r="C949" s="122"/>
      <c r="D949" s="122"/>
      <c r="E949" s="122"/>
      <c r="F949" s="118"/>
      <c r="G949" s="127"/>
      <c r="H949" s="122"/>
      <c r="I949" s="118"/>
      <c r="J949" s="122"/>
      <c r="K949" s="122"/>
      <c r="L949" s="122"/>
      <c r="M949" s="118"/>
      <c r="N949" s="122"/>
      <c r="O949" s="122"/>
      <c r="P949" s="122"/>
    </row>
    <row r="950" spans="1:16" ht="12.75">
      <c r="A950" s="126"/>
      <c r="B950" s="127"/>
      <c r="C950" s="122"/>
      <c r="D950" s="122"/>
      <c r="E950" s="122"/>
      <c r="F950" s="118"/>
      <c r="G950" s="127"/>
      <c r="H950" s="122"/>
      <c r="I950" s="118"/>
      <c r="J950" s="122"/>
      <c r="K950" s="122"/>
      <c r="L950" s="122"/>
      <c r="M950" s="118"/>
      <c r="N950" s="122"/>
      <c r="O950" s="122"/>
      <c r="P950" s="122"/>
    </row>
    <row r="951" spans="1:16" ht="12.75">
      <c r="A951" s="126"/>
      <c r="B951" s="127"/>
      <c r="C951" s="122"/>
      <c r="D951" s="122"/>
      <c r="E951" s="122"/>
      <c r="F951" s="118"/>
      <c r="G951" s="127"/>
      <c r="H951" s="122"/>
      <c r="I951" s="118"/>
      <c r="J951" s="122"/>
      <c r="K951" s="122"/>
      <c r="L951" s="122"/>
      <c r="M951" s="118"/>
      <c r="N951" s="122"/>
      <c r="O951" s="122"/>
      <c r="P951" s="122"/>
    </row>
    <row r="952" spans="1:16" ht="12.75">
      <c r="A952" s="126"/>
      <c r="B952" s="127"/>
      <c r="C952" s="122"/>
      <c r="D952" s="122"/>
      <c r="E952" s="122"/>
      <c r="F952" s="118"/>
      <c r="G952" s="127"/>
      <c r="H952" s="122"/>
      <c r="I952" s="118"/>
      <c r="J952" s="122"/>
      <c r="K952" s="122"/>
      <c r="L952" s="122"/>
      <c r="M952" s="118"/>
      <c r="N952" s="122"/>
      <c r="O952" s="122"/>
      <c r="P952" s="122"/>
    </row>
    <row r="953" spans="1:16" ht="12.75">
      <c r="A953" s="126"/>
      <c r="B953" s="127"/>
      <c r="C953" s="122"/>
      <c r="D953" s="122"/>
      <c r="E953" s="122"/>
      <c r="F953" s="118"/>
      <c r="G953" s="127"/>
      <c r="H953" s="122"/>
      <c r="I953" s="118"/>
      <c r="J953" s="122"/>
      <c r="K953" s="122"/>
      <c r="L953" s="122"/>
      <c r="M953" s="118"/>
      <c r="N953" s="122"/>
      <c r="O953" s="122"/>
      <c r="P953" s="122"/>
    </row>
    <row r="954" spans="1:16" ht="12.75">
      <c r="A954" s="126"/>
      <c r="B954" s="127"/>
      <c r="C954" s="122"/>
      <c r="D954" s="122"/>
      <c r="E954" s="122"/>
      <c r="F954" s="118"/>
      <c r="G954" s="127"/>
      <c r="H954" s="122"/>
      <c r="I954" s="118"/>
      <c r="J954" s="122"/>
      <c r="K954" s="122"/>
      <c r="L954" s="122"/>
      <c r="M954" s="118"/>
      <c r="N954" s="122"/>
      <c r="O954" s="122"/>
      <c r="P954" s="122"/>
    </row>
    <row r="955" spans="1:16" ht="12.75">
      <c r="A955" s="126"/>
      <c r="B955" s="127"/>
      <c r="C955" s="122"/>
      <c r="D955" s="122"/>
      <c r="E955" s="122"/>
      <c r="F955" s="118"/>
      <c r="G955" s="127"/>
      <c r="H955" s="122"/>
      <c r="I955" s="118"/>
      <c r="J955" s="122"/>
      <c r="K955" s="122"/>
      <c r="L955" s="122"/>
      <c r="M955" s="118"/>
      <c r="N955" s="122"/>
      <c r="O955" s="122"/>
      <c r="P955" s="122"/>
    </row>
    <row r="956" spans="1:16" ht="12.75">
      <c r="A956" s="126"/>
      <c r="B956" s="127"/>
      <c r="C956" s="122"/>
      <c r="D956" s="122"/>
      <c r="E956" s="122"/>
      <c r="F956" s="118"/>
      <c r="G956" s="127"/>
      <c r="H956" s="122"/>
      <c r="I956" s="118"/>
      <c r="J956" s="122"/>
      <c r="K956" s="122"/>
      <c r="L956" s="122"/>
      <c r="M956" s="118"/>
      <c r="N956" s="122"/>
      <c r="O956" s="122"/>
      <c r="P956" s="122"/>
    </row>
    <row r="957" spans="1:16" ht="12.75">
      <c r="A957" s="126"/>
      <c r="B957" s="127"/>
      <c r="C957" s="122"/>
      <c r="D957" s="122"/>
      <c r="E957" s="122"/>
      <c r="F957" s="118"/>
      <c r="G957" s="127"/>
      <c r="H957" s="122"/>
      <c r="I957" s="118"/>
      <c r="J957" s="122"/>
      <c r="K957" s="122"/>
      <c r="L957" s="122"/>
      <c r="M957" s="118"/>
      <c r="N957" s="122"/>
      <c r="O957" s="122"/>
      <c r="P957" s="122"/>
    </row>
    <row r="958" spans="1:16" ht="12.75">
      <c r="A958" s="126"/>
      <c r="B958" s="127"/>
      <c r="C958" s="122"/>
      <c r="D958" s="122"/>
      <c r="E958" s="122"/>
      <c r="F958" s="118"/>
      <c r="G958" s="127"/>
      <c r="H958" s="122"/>
      <c r="I958" s="118"/>
      <c r="J958" s="122"/>
      <c r="K958" s="122"/>
      <c r="L958" s="122"/>
      <c r="M958" s="118"/>
      <c r="N958" s="122"/>
      <c r="O958" s="122"/>
      <c r="P958" s="122"/>
    </row>
    <row r="959" spans="1:16" ht="12.75">
      <c r="A959" s="126"/>
      <c r="B959" s="127"/>
      <c r="C959" s="122"/>
      <c r="D959" s="122"/>
      <c r="E959" s="122"/>
      <c r="F959" s="118"/>
      <c r="G959" s="127"/>
      <c r="H959" s="122"/>
      <c r="I959" s="118"/>
      <c r="J959" s="122"/>
      <c r="K959" s="122"/>
      <c r="L959" s="122"/>
      <c r="M959" s="118"/>
      <c r="N959" s="122"/>
      <c r="O959" s="122"/>
      <c r="P959" s="122"/>
    </row>
    <row r="960" spans="1:16" ht="12.75">
      <c r="A960" s="126"/>
      <c r="B960" s="127"/>
      <c r="C960" s="122"/>
      <c r="D960" s="122"/>
      <c r="E960" s="122"/>
      <c r="F960" s="118"/>
      <c r="G960" s="127"/>
      <c r="H960" s="122"/>
      <c r="I960" s="118"/>
      <c r="J960" s="122"/>
      <c r="K960" s="122"/>
      <c r="L960" s="122"/>
      <c r="M960" s="118"/>
      <c r="N960" s="122"/>
      <c r="O960" s="122"/>
      <c r="P960" s="122"/>
    </row>
    <row r="961" spans="1:16" ht="12.75">
      <c r="A961" s="126"/>
      <c r="B961" s="127"/>
      <c r="C961" s="122"/>
      <c r="D961" s="122"/>
      <c r="E961" s="122"/>
      <c r="F961" s="118"/>
      <c r="G961" s="127"/>
      <c r="H961" s="122"/>
      <c r="I961" s="118"/>
      <c r="J961" s="122"/>
      <c r="K961" s="122"/>
      <c r="L961" s="122"/>
      <c r="M961" s="118"/>
      <c r="N961" s="122"/>
      <c r="O961" s="122"/>
      <c r="P961" s="122"/>
    </row>
    <row r="962" spans="1:16" ht="12.75">
      <c r="A962" s="126"/>
      <c r="B962" s="127"/>
      <c r="C962" s="122"/>
      <c r="D962" s="122"/>
      <c r="E962" s="122"/>
      <c r="F962" s="118"/>
      <c r="G962" s="127"/>
      <c r="H962" s="122"/>
      <c r="I962" s="118"/>
      <c r="J962" s="122"/>
      <c r="K962" s="122"/>
      <c r="L962" s="122"/>
      <c r="M962" s="118"/>
      <c r="N962" s="122"/>
      <c r="O962" s="122"/>
      <c r="P962" s="122"/>
    </row>
    <row r="963" spans="1:16" ht="12.75">
      <c r="A963" s="126"/>
      <c r="B963" s="127"/>
      <c r="C963" s="122"/>
      <c r="D963" s="122"/>
      <c r="E963" s="122"/>
      <c r="F963" s="118"/>
      <c r="G963" s="127"/>
      <c r="H963" s="122"/>
      <c r="I963" s="118"/>
      <c r="J963" s="122"/>
      <c r="K963" s="122"/>
      <c r="L963" s="122"/>
      <c r="M963" s="118"/>
      <c r="N963" s="122"/>
      <c r="O963" s="122"/>
      <c r="P963" s="122"/>
    </row>
    <row r="964" spans="1:16" ht="12.75">
      <c r="A964" s="126"/>
      <c r="B964" s="127"/>
      <c r="C964" s="122"/>
      <c r="D964" s="122"/>
      <c r="E964" s="122"/>
      <c r="F964" s="118"/>
      <c r="G964" s="127"/>
      <c r="H964" s="122"/>
      <c r="I964" s="118"/>
      <c r="J964" s="122"/>
      <c r="K964" s="122"/>
      <c r="L964" s="122"/>
      <c r="M964" s="118"/>
      <c r="N964" s="122"/>
      <c r="O964" s="122"/>
      <c r="P964" s="122"/>
    </row>
    <row r="965" spans="1:16" ht="12.75">
      <c r="A965" s="126"/>
      <c r="B965" s="127"/>
      <c r="C965" s="122"/>
      <c r="D965" s="122"/>
      <c r="E965" s="122"/>
      <c r="F965" s="118"/>
      <c r="G965" s="127"/>
      <c r="H965" s="122"/>
      <c r="I965" s="118"/>
      <c r="J965" s="122"/>
      <c r="K965" s="122"/>
      <c r="L965" s="122"/>
      <c r="M965" s="118"/>
      <c r="N965" s="122"/>
      <c r="O965" s="122"/>
      <c r="P965" s="122"/>
    </row>
    <row r="966" spans="1:16" ht="12.75">
      <c r="A966" s="126"/>
      <c r="B966" s="127"/>
      <c r="C966" s="122"/>
      <c r="D966" s="122"/>
      <c r="E966" s="122"/>
      <c r="F966" s="118"/>
      <c r="G966" s="127"/>
      <c r="H966" s="122"/>
      <c r="I966" s="118"/>
      <c r="J966" s="122"/>
      <c r="K966" s="122"/>
      <c r="L966" s="122"/>
      <c r="M966" s="118"/>
      <c r="N966" s="122"/>
      <c r="O966" s="122"/>
      <c r="P966" s="122"/>
    </row>
    <row r="967" spans="1:16" ht="12.75">
      <c r="A967" s="126"/>
      <c r="B967" s="127"/>
      <c r="C967" s="122"/>
      <c r="D967" s="122"/>
      <c r="E967" s="122"/>
      <c r="F967" s="118"/>
      <c r="G967" s="127"/>
      <c r="H967" s="122"/>
      <c r="I967" s="118"/>
      <c r="J967" s="122"/>
      <c r="K967" s="122"/>
      <c r="L967" s="122"/>
      <c r="M967" s="118"/>
      <c r="N967" s="122"/>
      <c r="O967" s="122"/>
      <c r="P967" s="122"/>
    </row>
    <row r="968" spans="1:16" ht="12.75">
      <c r="A968" s="126"/>
      <c r="B968" s="127"/>
      <c r="C968" s="122"/>
      <c r="D968" s="122"/>
      <c r="E968" s="122"/>
      <c r="F968" s="118"/>
      <c r="G968" s="127"/>
      <c r="H968" s="122"/>
      <c r="I968" s="118"/>
      <c r="J968" s="122"/>
      <c r="K968" s="122"/>
      <c r="L968" s="122"/>
      <c r="M968" s="118"/>
      <c r="N968" s="122"/>
      <c r="O968" s="122"/>
      <c r="P968" s="122"/>
    </row>
    <row r="969" spans="1:16" ht="12.75">
      <c r="A969" s="126"/>
      <c r="B969" s="127"/>
      <c r="C969" s="122"/>
      <c r="D969" s="122"/>
      <c r="E969" s="122"/>
      <c r="F969" s="118"/>
      <c r="G969" s="127"/>
      <c r="H969" s="122"/>
      <c r="I969" s="118"/>
      <c r="J969" s="122"/>
      <c r="K969" s="122"/>
      <c r="L969" s="122"/>
      <c r="M969" s="118"/>
      <c r="N969" s="122"/>
      <c r="O969" s="122"/>
      <c r="P969" s="122"/>
    </row>
    <row r="970" spans="1:16" ht="12.75">
      <c r="A970" s="126"/>
      <c r="B970" s="127"/>
      <c r="C970" s="122"/>
      <c r="D970" s="122"/>
      <c r="E970" s="122"/>
      <c r="F970" s="118"/>
      <c r="G970" s="127"/>
      <c r="H970" s="122"/>
      <c r="I970" s="118"/>
      <c r="J970" s="122"/>
      <c r="K970" s="122"/>
      <c r="L970" s="122"/>
      <c r="M970" s="118"/>
      <c r="N970" s="122"/>
      <c r="O970" s="122"/>
      <c r="P970" s="122"/>
    </row>
    <row r="971" spans="1:16" ht="12.75">
      <c r="A971" s="126"/>
      <c r="B971" s="127"/>
      <c r="C971" s="122"/>
      <c r="D971" s="122"/>
      <c r="E971" s="122"/>
      <c r="F971" s="118"/>
      <c r="G971" s="127"/>
      <c r="H971" s="122"/>
      <c r="I971" s="118"/>
      <c r="J971" s="122"/>
      <c r="K971" s="122"/>
      <c r="L971" s="122"/>
      <c r="M971" s="118"/>
      <c r="N971" s="122"/>
      <c r="O971" s="122"/>
      <c r="P971" s="122"/>
    </row>
    <row r="972" spans="1:16" ht="12.75">
      <c r="A972" s="126"/>
      <c r="B972" s="127"/>
      <c r="C972" s="122"/>
      <c r="D972" s="122"/>
      <c r="E972" s="122"/>
      <c r="F972" s="118"/>
      <c r="G972" s="127"/>
      <c r="H972" s="122"/>
      <c r="I972" s="118"/>
      <c r="J972" s="122"/>
      <c r="K972" s="122"/>
      <c r="L972" s="122"/>
      <c r="M972" s="118"/>
      <c r="N972" s="122"/>
      <c r="O972" s="122"/>
      <c r="P972" s="122"/>
    </row>
    <row r="973" spans="1:16" ht="12.75">
      <c r="A973" s="126"/>
      <c r="B973" s="127"/>
      <c r="C973" s="122"/>
      <c r="D973" s="122"/>
      <c r="E973" s="122"/>
      <c r="F973" s="118"/>
      <c r="G973" s="127"/>
      <c r="H973" s="122"/>
      <c r="I973" s="118"/>
      <c r="J973" s="122"/>
      <c r="K973" s="122"/>
      <c r="L973" s="122"/>
      <c r="M973" s="118"/>
      <c r="N973" s="122"/>
      <c r="O973" s="122"/>
      <c r="P973" s="122"/>
    </row>
    <row r="974" spans="1:16" ht="12.75">
      <c r="A974" s="126"/>
      <c r="B974" s="127"/>
      <c r="C974" s="122"/>
      <c r="D974" s="122"/>
      <c r="E974" s="122"/>
      <c r="F974" s="118"/>
      <c r="G974" s="127"/>
      <c r="H974" s="122"/>
      <c r="I974" s="118"/>
      <c r="J974" s="122"/>
      <c r="K974" s="122"/>
      <c r="L974" s="122"/>
      <c r="M974" s="118"/>
      <c r="N974" s="122"/>
      <c r="O974" s="122"/>
      <c r="P974" s="122"/>
    </row>
    <row r="975" spans="1:16" ht="12.75">
      <c r="A975" s="126"/>
      <c r="B975" s="127"/>
      <c r="C975" s="122"/>
      <c r="D975" s="122"/>
      <c r="E975" s="122"/>
      <c r="F975" s="118"/>
      <c r="G975" s="127"/>
      <c r="H975" s="122"/>
      <c r="I975" s="118"/>
      <c r="J975" s="122"/>
      <c r="K975" s="122"/>
      <c r="L975" s="122"/>
      <c r="M975" s="118"/>
      <c r="N975" s="122"/>
      <c r="O975" s="122"/>
      <c r="P975" s="122"/>
    </row>
    <row r="976" spans="1:16" ht="12.75">
      <c r="A976" s="126"/>
      <c r="B976" s="127"/>
      <c r="C976" s="122"/>
      <c r="D976" s="122"/>
      <c r="E976" s="122"/>
      <c r="F976" s="118"/>
      <c r="G976" s="127"/>
      <c r="H976" s="122"/>
      <c r="I976" s="118"/>
      <c r="J976" s="122"/>
      <c r="K976" s="122"/>
      <c r="L976" s="122"/>
      <c r="M976" s="118"/>
      <c r="N976" s="122"/>
      <c r="O976" s="122"/>
      <c r="P976" s="122"/>
    </row>
    <row r="977" spans="1:16" ht="12.75">
      <c r="A977" s="126"/>
      <c r="B977" s="127"/>
      <c r="C977" s="122"/>
      <c r="D977" s="122"/>
      <c r="E977" s="122"/>
      <c r="F977" s="118"/>
      <c r="G977" s="127"/>
      <c r="H977" s="122"/>
      <c r="I977" s="118"/>
      <c r="J977" s="122"/>
      <c r="K977" s="122"/>
      <c r="L977" s="122"/>
      <c r="M977" s="118"/>
      <c r="N977" s="122"/>
      <c r="O977" s="122"/>
      <c r="P977" s="122"/>
    </row>
    <row r="978" spans="1:16" ht="12.75">
      <c r="A978" s="126"/>
      <c r="B978" s="127"/>
      <c r="C978" s="122"/>
      <c r="D978" s="122"/>
      <c r="E978" s="122"/>
      <c r="F978" s="118"/>
      <c r="G978" s="127"/>
      <c r="H978" s="122"/>
      <c r="I978" s="118"/>
      <c r="J978" s="122"/>
      <c r="K978" s="122"/>
      <c r="L978" s="122"/>
      <c r="M978" s="118"/>
      <c r="N978" s="122"/>
      <c r="O978" s="122"/>
      <c r="P978" s="122"/>
    </row>
    <row r="979" spans="1:16" ht="12.75">
      <c r="A979" s="126"/>
      <c r="B979" s="127"/>
      <c r="C979" s="122"/>
      <c r="D979" s="122"/>
      <c r="E979" s="122"/>
      <c r="F979" s="118"/>
      <c r="G979" s="127"/>
      <c r="H979" s="122"/>
      <c r="I979" s="118"/>
      <c r="J979" s="122"/>
      <c r="K979" s="122"/>
      <c r="L979" s="122"/>
      <c r="M979" s="118"/>
      <c r="N979" s="122"/>
      <c r="O979" s="122"/>
      <c r="P979" s="122"/>
    </row>
    <row r="980" spans="1:16" ht="12.75">
      <c r="A980" s="126"/>
      <c r="B980" s="127"/>
      <c r="C980" s="122"/>
      <c r="D980" s="122"/>
      <c r="E980" s="122"/>
      <c r="F980" s="118"/>
      <c r="G980" s="127"/>
      <c r="H980" s="122"/>
      <c r="I980" s="118"/>
      <c r="J980" s="122"/>
      <c r="K980" s="122"/>
      <c r="L980" s="122"/>
      <c r="M980" s="118"/>
      <c r="N980" s="122"/>
      <c r="O980" s="122"/>
      <c r="P980" s="122"/>
    </row>
    <row r="981" spans="1:16" ht="12.75">
      <c r="A981" s="126"/>
      <c r="B981" s="127"/>
      <c r="C981" s="122"/>
      <c r="D981" s="122"/>
      <c r="E981" s="122"/>
      <c r="F981" s="118"/>
      <c r="G981" s="127"/>
      <c r="H981" s="122"/>
      <c r="I981" s="118"/>
      <c r="J981" s="122"/>
      <c r="K981" s="122"/>
      <c r="L981" s="122"/>
      <c r="M981" s="118"/>
      <c r="N981" s="122"/>
      <c r="O981" s="122"/>
      <c r="P981" s="122"/>
    </row>
    <row r="982" spans="1:16" ht="12.75">
      <c r="A982" s="126"/>
      <c r="B982" s="127"/>
      <c r="C982" s="122"/>
      <c r="D982" s="122"/>
      <c r="E982" s="122"/>
      <c r="F982" s="118"/>
      <c r="G982" s="127"/>
      <c r="H982" s="122"/>
      <c r="I982" s="118"/>
      <c r="J982" s="122"/>
      <c r="K982" s="122"/>
      <c r="L982" s="122"/>
      <c r="M982" s="118"/>
      <c r="N982" s="122"/>
      <c r="O982" s="122"/>
      <c r="P982" s="122"/>
    </row>
    <row r="983" spans="1:16" ht="12.75">
      <c r="A983" s="126"/>
      <c r="B983" s="127"/>
      <c r="C983" s="122"/>
      <c r="D983" s="122"/>
      <c r="E983" s="122"/>
      <c r="F983" s="118"/>
      <c r="G983" s="127"/>
      <c r="H983" s="122"/>
      <c r="I983" s="118"/>
      <c r="J983" s="122"/>
      <c r="K983" s="122"/>
      <c r="L983" s="122"/>
      <c r="M983" s="118"/>
      <c r="N983" s="122"/>
      <c r="O983" s="122"/>
      <c r="P983" s="122"/>
    </row>
    <row r="984" spans="1:16" ht="12.75">
      <c r="A984" s="126"/>
      <c r="B984" s="127"/>
      <c r="C984" s="122"/>
      <c r="D984" s="122"/>
      <c r="E984" s="122"/>
      <c r="F984" s="118"/>
      <c r="G984" s="127"/>
      <c r="H984" s="122"/>
      <c r="I984" s="118"/>
      <c r="J984" s="122"/>
      <c r="K984" s="122"/>
      <c r="L984" s="122"/>
      <c r="M984" s="118"/>
      <c r="N984" s="122"/>
      <c r="O984" s="122"/>
      <c r="P984" s="122"/>
    </row>
    <row r="985" spans="1:16" ht="12.75">
      <c r="A985" s="126"/>
      <c r="B985" s="127"/>
      <c r="C985" s="122"/>
      <c r="D985" s="122"/>
      <c r="E985" s="122"/>
      <c r="F985" s="118"/>
      <c r="G985" s="127"/>
      <c r="H985" s="122"/>
      <c r="I985" s="118"/>
      <c r="J985" s="122"/>
      <c r="K985" s="122"/>
      <c r="L985" s="122"/>
      <c r="M985" s="118"/>
      <c r="N985" s="122"/>
      <c r="O985" s="122"/>
      <c r="P985" s="122"/>
    </row>
    <row r="986" spans="1:16" ht="12.75">
      <c r="A986" s="126"/>
      <c r="B986" s="127"/>
      <c r="C986" s="122"/>
      <c r="D986" s="122"/>
      <c r="E986" s="122"/>
      <c r="F986" s="118"/>
      <c r="G986" s="127"/>
      <c r="H986" s="122"/>
      <c r="I986" s="118"/>
      <c r="J986" s="122"/>
      <c r="K986" s="122"/>
      <c r="L986" s="122"/>
      <c r="M986" s="118"/>
      <c r="N986" s="122"/>
      <c r="O986" s="122"/>
      <c r="P986" s="122"/>
    </row>
    <row r="987" spans="1:16" ht="12.75">
      <c r="A987" s="126"/>
      <c r="B987" s="127"/>
      <c r="C987" s="122"/>
      <c r="D987" s="122"/>
      <c r="E987" s="122"/>
      <c r="F987" s="118"/>
      <c r="G987" s="127"/>
      <c r="H987" s="122"/>
      <c r="I987" s="118"/>
      <c r="J987" s="122"/>
      <c r="K987" s="122"/>
      <c r="L987" s="122"/>
      <c r="M987" s="118"/>
      <c r="N987" s="122"/>
      <c r="O987" s="122"/>
      <c r="P987" s="122"/>
    </row>
    <row r="988" spans="1:16" ht="12.75">
      <c r="A988" s="126"/>
      <c r="B988" s="127"/>
      <c r="C988" s="122"/>
      <c r="D988" s="122"/>
      <c r="E988" s="122"/>
      <c r="F988" s="118"/>
      <c r="G988" s="127"/>
      <c r="H988" s="122"/>
      <c r="I988" s="118"/>
      <c r="J988" s="122"/>
      <c r="K988" s="122"/>
      <c r="L988" s="122"/>
      <c r="M988" s="118"/>
      <c r="N988" s="122"/>
      <c r="O988" s="122"/>
      <c r="P988" s="122"/>
    </row>
    <row r="989" spans="1:16" ht="12.75">
      <c r="A989" s="126"/>
      <c r="B989" s="127"/>
      <c r="C989" s="122"/>
      <c r="D989" s="122"/>
      <c r="E989" s="122"/>
      <c r="F989" s="118"/>
      <c r="G989" s="127"/>
      <c r="H989" s="122"/>
      <c r="I989" s="118"/>
      <c r="J989" s="122"/>
      <c r="K989" s="122"/>
      <c r="L989" s="122"/>
      <c r="M989" s="118"/>
      <c r="N989" s="122"/>
      <c r="O989" s="122"/>
      <c r="P989" s="122"/>
    </row>
    <row r="990" spans="1:16" ht="12.75">
      <c r="A990" s="126"/>
      <c r="B990" s="127"/>
      <c r="C990" s="122"/>
      <c r="D990" s="122"/>
      <c r="E990" s="122"/>
      <c r="F990" s="118"/>
      <c r="G990" s="127"/>
      <c r="H990" s="122"/>
      <c r="I990" s="118"/>
      <c r="J990" s="122"/>
      <c r="K990" s="122"/>
      <c r="L990" s="122"/>
      <c r="M990" s="118"/>
      <c r="N990" s="122"/>
      <c r="O990" s="122"/>
      <c r="P990" s="122"/>
    </row>
    <row r="991" spans="1:16" ht="12.75">
      <c r="A991" s="126"/>
      <c r="B991" s="127"/>
      <c r="C991" s="122"/>
      <c r="D991" s="122"/>
      <c r="E991" s="122"/>
      <c r="F991" s="118"/>
      <c r="G991" s="127"/>
      <c r="H991" s="122"/>
      <c r="I991" s="118"/>
      <c r="J991" s="122"/>
      <c r="K991" s="122"/>
      <c r="L991" s="122"/>
      <c r="M991" s="118"/>
      <c r="N991" s="122"/>
      <c r="O991" s="122"/>
      <c r="P991" s="122"/>
    </row>
    <row r="992" spans="1:16" ht="12.75">
      <c r="A992" s="126"/>
      <c r="B992" s="127"/>
      <c r="C992" s="122"/>
      <c r="D992" s="122"/>
      <c r="E992" s="122"/>
      <c r="F992" s="118"/>
      <c r="G992" s="127"/>
      <c r="H992" s="122"/>
      <c r="I992" s="118"/>
      <c r="J992" s="122"/>
      <c r="K992" s="122"/>
      <c r="L992" s="122"/>
      <c r="M992" s="118"/>
      <c r="N992" s="122"/>
      <c r="O992" s="122"/>
      <c r="P992" s="122"/>
    </row>
    <row r="993" spans="1:16" ht="12.75">
      <c r="A993" s="126"/>
      <c r="B993" s="127"/>
      <c r="C993" s="122"/>
      <c r="D993" s="122"/>
      <c r="E993" s="122"/>
      <c r="F993" s="118"/>
      <c r="G993" s="127"/>
      <c r="H993" s="122"/>
      <c r="I993" s="118"/>
      <c r="J993" s="122"/>
      <c r="K993" s="122"/>
      <c r="L993" s="122"/>
      <c r="M993" s="118"/>
      <c r="N993" s="122"/>
      <c r="O993" s="122"/>
      <c r="P993" s="122"/>
    </row>
    <row r="994" spans="1:16" ht="12.75">
      <c r="A994" s="126"/>
      <c r="B994" s="127"/>
      <c r="C994" s="122"/>
      <c r="D994" s="122"/>
      <c r="E994" s="122"/>
      <c r="F994" s="118"/>
      <c r="G994" s="127"/>
      <c r="H994" s="122"/>
      <c r="I994" s="118"/>
      <c r="J994" s="122"/>
      <c r="K994" s="122"/>
      <c r="L994" s="122"/>
      <c r="M994" s="118"/>
      <c r="N994" s="122"/>
      <c r="O994" s="122"/>
      <c r="P994" s="122"/>
    </row>
    <row r="995" spans="1:16" ht="12.75">
      <c r="A995" s="126"/>
      <c r="B995" s="127"/>
      <c r="C995" s="122"/>
      <c r="D995" s="122"/>
      <c r="E995" s="122"/>
      <c r="F995" s="118"/>
      <c r="G995" s="127"/>
      <c r="H995" s="122"/>
      <c r="I995" s="118"/>
      <c r="J995" s="122"/>
      <c r="K995" s="122"/>
      <c r="L995" s="122"/>
      <c r="M995" s="118"/>
      <c r="N995" s="122"/>
      <c r="O995" s="122"/>
      <c r="P995" s="122"/>
    </row>
    <row r="996" spans="1:16" ht="12.75">
      <c r="A996" s="126"/>
      <c r="B996" s="127"/>
      <c r="C996" s="122"/>
      <c r="D996" s="122"/>
      <c r="E996" s="122"/>
      <c r="F996" s="118"/>
      <c r="G996" s="127"/>
      <c r="H996" s="122"/>
      <c r="I996" s="118"/>
      <c r="J996" s="122"/>
      <c r="K996" s="122"/>
      <c r="L996" s="122"/>
      <c r="M996" s="118"/>
      <c r="N996" s="122"/>
      <c r="O996" s="122"/>
      <c r="P996" s="122"/>
    </row>
    <row r="997" spans="1:16" ht="12.75">
      <c r="A997" s="126"/>
      <c r="B997" s="127"/>
      <c r="C997" s="122"/>
      <c r="D997" s="122"/>
      <c r="E997" s="122"/>
      <c r="F997" s="118"/>
      <c r="G997" s="127"/>
      <c r="H997" s="122"/>
      <c r="I997" s="118"/>
      <c r="J997" s="122"/>
      <c r="K997" s="122"/>
      <c r="L997" s="122"/>
      <c r="M997" s="118"/>
      <c r="N997" s="122"/>
      <c r="O997" s="122"/>
      <c r="P997" s="122"/>
    </row>
    <row r="998" spans="1:16" ht="12.75">
      <c r="A998" s="126"/>
      <c r="B998" s="127"/>
      <c r="C998" s="122"/>
      <c r="D998" s="122"/>
      <c r="E998" s="122"/>
      <c r="F998" s="118"/>
      <c r="G998" s="127"/>
      <c r="H998" s="122"/>
      <c r="I998" s="118"/>
      <c r="J998" s="122"/>
      <c r="K998" s="122"/>
      <c r="L998" s="122"/>
      <c r="M998" s="118"/>
      <c r="N998" s="122"/>
      <c r="O998" s="122"/>
      <c r="P998" s="122"/>
    </row>
    <row r="999" spans="1:16" ht="12.75">
      <c r="A999" s="126"/>
      <c r="B999" s="127"/>
      <c r="C999" s="122"/>
      <c r="D999" s="122"/>
      <c r="E999" s="122"/>
      <c r="F999" s="118"/>
      <c r="G999" s="127"/>
      <c r="H999" s="122"/>
      <c r="I999" s="118"/>
      <c r="J999" s="122"/>
      <c r="K999" s="122"/>
      <c r="L999" s="122"/>
      <c r="M999" s="118"/>
      <c r="N999" s="122"/>
      <c r="O999" s="122"/>
      <c r="P999" s="122"/>
    </row>
    <row r="1000" spans="1:16" ht="12.75">
      <c r="A1000" s="126"/>
      <c r="B1000" s="127"/>
      <c r="C1000" s="122"/>
      <c r="D1000" s="122"/>
      <c r="E1000" s="122"/>
      <c r="F1000" s="118"/>
      <c r="G1000" s="127"/>
      <c r="H1000" s="122"/>
      <c r="I1000" s="118"/>
      <c r="J1000" s="122"/>
      <c r="K1000" s="122"/>
      <c r="L1000" s="122"/>
      <c r="M1000" s="118"/>
      <c r="N1000" s="122"/>
      <c r="O1000" s="122"/>
      <c r="P1000" s="122"/>
    </row>
    <row r="1001" spans="1:16" ht="12.75">
      <c r="A1001" s="126"/>
      <c r="B1001" s="127"/>
      <c r="C1001" s="122"/>
      <c r="D1001" s="122"/>
      <c r="E1001" s="122"/>
      <c r="F1001" s="118"/>
      <c r="G1001" s="127"/>
      <c r="H1001" s="122"/>
      <c r="I1001" s="118"/>
      <c r="J1001" s="122"/>
      <c r="K1001" s="122"/>
      <c r="L1001" s="122"/>
      <c r="M1001" s="118"/>
      <c r="N1001" s="122"/>
      <c r="O1001" s="122"/>
      <c r="P1001" s="122"/>
    </row>
    <row r="1002" spans="1:16" ht="12.75">
      <c r="A1002" s="128"/>
      <c r="B1002" s="122"/>
      <c r="C1002" s="122"/>
      <c r="D1002" s="122"/>
      <c r="E1002" s="122"/>
      <c r="F1002" s="118"/>
      <c r="G1002" s="127"/>
      <c r="H1002" s="122"/>
      <c r="I1002" s="122"/>
      <c r="J1002" s="122"/>
      <c r="K1002" s="122"/>
      <c r="L1002" s="122"/>
      <c r="M1002" s="122"/>
      <c r="N1002" s="122"/>
      <c r="O1002" s="122"/>
      <c r="P1002" s="122"/>
    </row>
  </sheetData>
  <mergeCells count="4">
    <mergeCell ref="B1:E1"/>
    <mergeCell ref="G1:H1"/>
    <mergeCell ref="J1:L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Drivers</vt:lpstr>
      <vt:lpstr>Combined Monthly</vt:lpstr>
      <vt:lpstr>New 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 Makris</cp:lastModifiedBy>
  <dcterms:modified xsi:type="dcterms:W3CDTF">2026-04-28T22:59:26Z</dcterms:modified>
</cp:coreProperties>
</file>